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areer-Rebuild\aditiyapratama-dev\Projects\Project-01-Sales-Dashboard\Excel\"/>
    </mc:Choice>
  </mc:AlternateContent>
  <xr:revisionPtr revIDLastSave="0" documentId="8_{1A74E8B0-FC49-40D5-8F84-947363243356}" xr6:coauthVersionLast="47" xr6:coauthVersionMax="47" xr10:uidLastSave="{00000000-0000-0000-0000-000000000000}"/>
  <bookViews>
    <workbookView xWindow="-108" yWindow="-108" windowWidth="23256" windowHeight="13176" firstSheet="2" activeTab="4" xr2:uid="{00000000-000D-0000-FFFF-FFFF00000000}"/>
  </bookViews>
  <sheets>
    <sheet name="Readme" sheetId="1" r:id="rId1"/>
    <sheet name="Orders" sheetId="2" r:id="rId2"/>
    <sheet name="Products" sheetId="3" r:id="rId3"/>
    <sheet name="SalesPerson" sheetId="4" r:id="rId4"/>
    <sheet name="Dashboard" sheetId="9" r:id="rId5"/>
    <sheet name="Pivot" sheetId="8" r:id="rId6"/>
    <sheet name="Customers" sheetId="5" r:id="rId7"/>
  </sheets>
  <definedNames>
    <definedName name="NativeTimeline_Date">#N/A</definedName>
    <definedName name="Slicer_Category">#N/A</definedName>
    <definedName name="Slicer_Kota">#N/A</definedName>
    <definedName name="Slicer_Sales_Name">#N/A</definedName>
    <definedName name="tblCustomers">Table4[#All]</definedName>
  </definedNames>
  <calcPr calcId="191029"/>
  <pivotCaches>
    <pivotCache cacheId="105" r:id="rId8"/>
  </pivotCaches>
  <fileRecoveryPr repairLoad="1"/>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8" l="1"/>
  <c r="B10" i="8"/>
  <c r="B6" i="8"/>
  <c r="J100" i="2"/>
  <c r="E100" i="2" a="1"/>
  <c r="E100" i="2" s="1"/>
  <c r="I100" i="2" s="1"/>
  <c r="D100" i="2" a="1"/>
  <c r="D100" i="2" s="1"/>
  <c r="C100" i="2" a="1"/>
  <c r="C100" i="2" s="1"/>
  <c r="F100" i="2" s="1"/>
  <c r="A100" i="2"/>
  <c r="J99" i="2"/>
  <c r="E99" i="2" a="1"/>
  <c r="E99" i="2" s="1"/>
  <c r="D99" i="2" a="1"/>
  <c r="D99" i="2" s="1"/>
  <c r="C99" i="2" a="1"/>
  <c r="C99" i="2" s="1"/>
  <c r="F99" i="2" s="1"/>
  <c r="A99" i="2"/>
  <c r="J98" i="2"/>
  <c r="E98" i="2" a="1"/>
  <c r="E98" i="2" s="1"/>
  <c r="I98" i="2" s="1"/>
  <c r="D98" i="2" a="1"/>
  <c r="D98" i="2" s="1"/>
  <c r="K98" i="2" s="1"/>
  <c r="C98" i="2" a="1"/>
  <c r="C98" i="2" s="1"/>
  <c r="F98" i="2" s="1"/>
  <c r="A98" i="2"/>
  <c r="J97" i="2"/>
  <c r="E97" i="2" a="1"/>
  <c r="E97" i="2" s="1"/>
  <c r="D97" i="2" a="1"/>
  <c r="D97" i="2" s="1"/>
  <c r="L97" i="2" s="1"/>
  <c r="C97" i="2" a="1"/>
  <c r="C97" i="2" s="1"/>
  <c r="F97" i="2" s="1"/>
  <c r="A97" i="2"/>
  <c r="J96" i="2"/>
  <c r="E96" i="2" a="1"/>
  <c r="E96" i="2" s="1"/>
  <c r="H96" i="2" s="1"/>
  <c r="D96" i="2" a="1"/>
  <c r="D96" i="2" s="1"/>
  <c r="C96" i="2" a="1"/>
  <c r="C96" i="2" s="1"/>
  <c r="F96" i="2" s="1"/>
  <c r="A96" i="2"/>
  <c r="J95" i="2"/>
  <c r="E95" i="2" a="1"/>
  <c r="E95" i="2" s="1"/>
  <c r="I95" i="2" s="1"/>
  <c r="D95" i="2" a="1"/>
  <c r="D95" i="2" s="1"/>
  <c r="L95" i="2" s="1"/>
  <c r="C95" i="2" a="1"/>
  <c r="C95" i="2" s="1"/>
  <c r="F95" i="2" s="1"/>
  <c r="A95" i="2"/>
  <c r="J94" i="2"/>
  <c r="E94" i="2" a="1"/>
  <c r="E94" i="2" s="1"/>
  <c r="H94" i="2" s="1"/>
  <c r="D94" i="2" a="1"/>
  <c r="D94" i="2" s="1"/>
  <c r="L94" i="2" s="1"/>
  <c r="C94" i="2" a="1"/>
  <c r="C94" i="2" s="1"/>
  <c r="F94" i="2" s="1"/>
  <c r="A94" i="2"/>
  <c r="J93" i="2"/>
  <c r="E93" i="2" a="1"/>
  <c r="E93" i="2" s="1"/>
  <c r="H93" i="2" s="1"/>
  <c r="D93" i="2" a="1"/>
  <c r="D93" i="2" s="1"/>
  <c r="K93" i="2" s="1"/>
  <c r="C93" i="2" a="1"/>
  <c r="C93" i="2" s="1"/>
  <c r="F93" i="2" s="1"/>
  <c r="A93" i="2"/>
  <c r="J92" i="2"/>
  <c r="E92" i="2" a="1"/>
  <c r="E92" i="2" s="1"/>
  <c r="I92" i="2" s="1"/>
  <c r="D92" i="2" a="1"/>
  <c r="D92" i="2" s="1"/>
  <c r="L92" i="2" s="1"/>
  <c r="C92" i="2" a="1"/>
  <c r="C92" i="2" s="1"/>
  <c r="F92" i="2" s="1"/>
  <c r="A92" i="2"/>
  <c r="J91" i="2"/>
  <c r="E91" i="2" a="1"/>
  <c r="E91" i="2" s="1"/>
  <c r="H91" i="2" s="1"/>
  <c r="D91" i="2" a="1"/>
  <c r="D91" i="2" s="1"/>
  <c r="C91" i="2" a="1"/>
  <c r="C91" i="2" s="1"/>
  <c r="F91" i="2" s="1"/>
  <c r="A91" i="2"/>
  <c r="J90" i="2"/>
  <c r="E90" i="2" a="1"/>
  <c r="E90" i="2" s="1"/>
  <c r="D90" i="2" a="1"/>
  <c r="D90" i="2" s="1"/>
  <c r="C90" i="2" a="1"/>
  <c r="C90" i="2" s="1"/>
  <c r="F90" i="2" s="1"/>
  <c r="A90" i="2"/>
  <c r="J89" i="2"/>
  <c r="E89" i="2" a="1"/>
  <c r="E89" i="2" s="1"/>
  <c r="I89" i="2" s="1"/>
  <c r="D89" i="2" a="1"/>
  <c r="D89" i="2" s="1"/>
  <c r="P89" i="2" s="1"/>
  <c r="C89" i="2" a="1"/>
  <c r="C89" i="2" s="1"/>
  <c r="F89" i="2" s="1"/>
  <c r="A89" i="2"/>
  <c r="J88" i="2"/>
  <c r="E88" i="2" a="1"/>
  <c r="E88" i="2" s="1"/>
  <c r="H88" i="2" s="1"/>
  <c r="D88" i="2" a="1"/>
  <c r="D88" i="2" s="1"/>
  <c r="K88" i="2" s="1"/>
  <c r="C88" i="2" a="1"/>
  <c r="C88" i="2" s="1"/>
  <c r="F88" i="2" s="1"/>
  <c r="A88" i="2"/>
  <c r="J87" i="2"/>
  <c r="E87" i="2" a="1"/>
  <c r="E87" i="2" s="1"/>
  <c r="D87" i="2" a="1"/>
  <c r="D87" i="2" s="1"/>
  <c r="K87" i="2" s="1"/>
  <c r="C87" i="2" a="1"/>
  <c r="C87" i="2" s="1"/>
  <c r="F87" i="2" s="1"/>
  <c r="A87" i="2"/>
  <c r="J86" i="2"/>
  <c r="E86" i="2" a="1"/>
  <c r="E86" i="2" s="1"/>
  <c r="I86" i="2" s="1"/>
  <c r="D86" i="2" a="1"/>
  <c r="D86" i="2" s="1"/>
  <c r="K86" i="2" s="1"/>
  <c r="C86" i="2" a="1"/>
  <c r="C86" i="2" s="1"/>
  <c r="F86" i="2" s="1"/>
  <c r="A86" i="2"/>
  <c r="J85" i="2"/>
  <c r="E85" i="2" a="1"/>
  <c r="E85" i="2" s="1"/>
  <c r="D85" i="2" a="1"/>
  <c r="D85" i="2" s="1"/>
  <c r="L85" i="2" s="1"/>
  <c r="C85" i="2" a="1"/>
  <c r="C85" i="2" s="1"/>
  <c r="F85" i="2" s="1"/>
  <c r="A85" i="2"/>
  <c r="J84" i="2"/>
  <c r="E84" i="2" a="1"/>
  <c r="E84" i="2" s="1"/>
  <c r="H84" i="2" s="1"/>
  <c r="D84" i="2" a="1"/>
  <c r="D84" i="2" s="1"/>
  <c r="K84" i="2" s="1"/>
  <c r="C84" i="2" a="1"/>
  <c r="C84" i="2" s="1"/>
  <c r="F84" i="2" s="1"/>
  <c r="A84" i="2"/>
  <c r="J83" i="2"/>
  <c r="E83" i="2" a="1"/>
  <c r="E83" i="2" s="1"/>
  <c r="D83" i="2" a="1"/>
  <c r="D83" i="2" s="1"/>
  <c r="L83" i="2" s="1"/>
  <c r="C83" i="2" a="1"/>
  <c r="C83" i="2" s="1"/>
  <c r="F83" i="2" s="1"/>
  <c r="A83" i="2"/>
  <c r="J82" i="2"/>
  <c r="E82" i="2" a="1"/>
  <c r="E82" i="2" s="1"/>
  <c r="D82" i="2" a="1"/>
  <c r="D82" i="2" s="1"/>
  <c r="C82" i="2" a="1"/>
  <c r="C82" i="2" s="1"/>
  <c r="F82" i="2" s="1"/>
  <c r="A82" i="2"/>
  <c r="J81" i="2"/>
  <c r="E81" i="2" a="1"/>
  <c r="E81" i="2" s="1"/>
  <c r="D81" i="2" a="1"/>
  <c r="D81" i="2" s="1"/>
  <c r="K81" i="2" s="1"/>
  <c r="C81" i="2" a="1"/>
  <c r="C81" i="2" s="1"/>
  <c r="F81" i="2" s="1"/>
  <c r="A81" i="2"/>
  <c r="J80" i="2"/>
  <c r="E80" i="2" a="1"/>
  <c r="E80" i="2" s="1"/>
  <c r="I80" i="2" s="1"/>
  <c r="D80" i="2" a="1"/>
  <c r="D80" i="2" s="1"/>
  <c r="L80" i="2" s="1"/>
  <c r="C80" i="2" a="1"/>
  <c r="C80" i="2" s="1"/>
  <c r="F80" i="2" s="1"/>
  <c r="A80" i="2"/>
  <c r="J79" i="2"/>
  <c r="E79" i="2" a="1"/>
  <c r="E79" i="2" s="1"/>
  <c r="H79" i="2" s="1"/>
  <c r="D79" i="2" a="1"/>
  <c r="D79" i="2" s="1"/>
  <c r="C79" i="2" a="1"/>
  <c r="C79" i="2" s="1"/>
  <c r="F79" i="2" s="1"/>
  <c r="A79" i="2"/>
  <c r="J78" i="2"/>
  <c r="E78" i="2" a="1"/>
  <c r="E78" i="2" s="1"/>
  <c r="H78" i="2" s="1"/>
  <c r="D78" i="2" a="1"/>
  <c r="D78" i="2" s="1"/>
  <c r="P78" i="2" s="1"/>
  <c r="C78" i="2" a="1"/>
  <c r="C78" i="2" s="1"/>
  <c r="F78" i="2" s="1"/>
  <c r="A78" i="2"/>
  <c r="J77" i="2"/>
  <c r="E77" i="2" a="1"/>
  <c r="E77" i="2" s="1"/>
  <c r="D77" i="2" a="1"/>
  <c r="D77" i="2" s="1"/>
  <c r="K77" i="2" s="1"/>
  <c r="C77" i="2" a="1"/>
  <c r="C77" i="2" s="1"/>
  <c r="F77" i="2" s="1"/>
  <c r="A77" i="2"/>
  <c r="J76" i="2"/>
  <c r="E76" i="2" a="1"/>
  <c r="E76" i="2" s="1"/>
  <c r="I76" i="2" s="1"/>
  <c r="D76" i="2" a="1"/>
  <c r="D76" i="2" s="1"/>
  <c r="C76" i="2" a="1"/>
  <c r="C76" i="2" s="1"/>
  <c r="F76" i="2" s="1"/>
  <c r="A76" i="2"/>
  <c r="J75" i="2"/>
  <c r="E75" i="2" a="1"/>
  <c r="E75" i="2" s="1"/>
  <c r="D75" i="2" a="1"/>
  <c r="D75" i="2" s="1"/>
  <c r="C75" i="2" a="1"/>
  <c r="C75" i="2" s="1"/>
  <c r="F75" i="2" s="1"/>
  <c r="A75" i="2"/>
  <c r="J74" i="2"/>
  <c r="E74" i="2" a="1"/>
  <c r="E74" i="2" s="1"/>
  <c r="D74" i="2" a="1"/>
  <c r="D74" i="2" s="1"/>
  <c r="G74" i="2" s="1"/>
  <c r="C74" i="2" a="1"/>
  <c r="C74" i="2" s="1"/>
  <c r="F74" i="2" s="1"/>
  <c r="A74" i="2"/>
  <c r="J73" i="2"/>
  <c r="E73" i="2" a="1"/>
  <c r="E73" i="2" s="1"/>
  <c r="D73" i="2" a="1"/>
  <c r="D73" i="2" s="1"/>
  <c r="C73" i="2" a="1"/>
  <c r="C73" i="2" s="1"/>
  <c r="F73" i="2" s="1"/>
  <c r="A73" i="2"/>
  <c r="J72" i="2"/>
  <c r="E72" i="2" a="1"/>
  <c r="E72" i="2" s="1"/>
  <c r="H72" i="2" s="1"/>
  <c r="D72" i="2" a="1"/>
  <c r="D72" i="2" s="1"/>
  <c r="C72" i="2" a="1"/>
  <c r="C72" i="2" s="1"/>
  <c r="F72" i="2" s="1"/>
  <c r="A72" i="2"/>
  <c r="J71" i="2"/>
  <c r="E71" i="2" a="1"/>
  <c r="E71" i="2" s="1"/>
  <c r="I71" i="2" s="1"/>
  <c r="D71" i="2" a="1"/>
  <c r="D71" i="2" s="1"/>
  <c r="L71" i="2" s="1"/>
  <c r="C71" i="2" a="1"/>
  <c r="C71" i="2" s="1"/>
  <c r="F71" i="2" s="1"/>
  <c r="A71" i="2"/>
  <c r="J70" i="2"/>
  <c r="E70" i="2" a="1"/>
  <c r="E70" i="2" s="1"/>
  <c r="H70" i="2" s="1"/>
  <c r="D70" i="2" a="1"/>
  <c r="D70" i="2" s="1"/>
  <c r="C70" i="2" a="1"/>
  <c r="C70" i="2" s="1"/>
  <c r="F70" i="2" s="1"/>
  <c r="A70" i="2"/>
  <c r="J69" i="2"/>
  <c r="E69" i="2" a="1"/>
  <c r="E69" i="2" s="1"/>
  <c r="H69" i="2" s="1"/>
  <c r="D69" i="2" a="1"/>
  <c r="D69" i="2" s="1"/>
  <c r="K69" i="2" s="1"/>
  <c r="C69" i="2" a="1"/>
  <c r="C69" i="2" s="1"/>
  <c r="F69" i="2" s="1"/>
  <c r="A69" i="2"/>
  <c r="J68" i="2"/>
  <c r="E68" i="2" a="1"/>
  <c r="E68" i="2" s="1"/>
  <c r="I68" i="2" s="1"/>
  <c r="D68" i="2" a="1"/>
  <c r="D68" i="2" s="1"/>
  <c r="C68" i="2" a="1"/>
  <c r="C68" i="2" s="1"/>
  <c r="F68" i="2" s="1"/>
  <c r="A68" i="2"/>
  <c r="J67" i="2"/>
  <c r="E67" i="2" a="1"/>
  <c r="E67" i="2" s="1"/>
  <c r="D67" i="2" a="1"/>
  <c r="D67" i="2" s="1"/>
  <c r="C67" i="2" a="1"/>
  <c r="C67" i="2" s="1"/>
  <c r="F67" i="2" s="1"/>
  <c r="A67" i="2"/>
  <c r="J66" i="2"/>
  <c r="E66" i="2" a="1"/>
  <c r="E66" i="2" s="1"/>
  <c r="H66" i="2" s="1"/>
  <c r="D66" i="2" a="1"/>
  <c r="D66" i="2" s="1"/>
  <c r="C66" i="2" a="1"/>
  <c r="C66" i="2" s="1"/>
  <c r="F66" i="2" s="1"/>
  <c r="A66" i="2"/>
  <c r="J65" i="2"/>
  <c r="E65" i="2" a="1"/>
  <c r="E65" i="2" s="1"/>
  <c r="I65" i="2" s="1"/>
  <c r="D65" i="2" a="1"/>
  <c r="D65" i="2" s="1"/>
  <c r="K65" i="2" s="1"/>
  <c r="C65" i="2" a="1"/>
  <c r="C65" i="2" s="1"/>
  <c r="F65" i="2" s="1"/>
  <c r="A65" i="2"/>
  <c r="J64" i="2"/>
  <c r="E64" i="2" a="1"/>
  <c r="E64" i="2" s="1"/>
  <c r="I64" i="2" s="1"/>
  <c r="D64" i="2" a="1"/>
  <c r="D64" i="2" s="1"/>
  <c r="C64" i="2" a="1"/>
  <c r="C64" i="2" s="1"/>
  <c r="F64" i="2" s="1"/>
  <c r="A64" i="2"/>
  <c r="J63" i="2"/>
  <c r="E63" i="2" a="1"/>
  <c r="E63" i="2" s="1"/>
  <c r="D63" i="2" a="1"/>
  <c r="D63" i="2" s="1"/>
  <c r="C63" i="2" a="1"/>
  <c r="C63" i="2" s="1"/>
  <c r="F63" i="2" s="1"/>
  <c r="A63" i="2"/>
  <c r="J62" i="2"/>
  <c r="E62" i="2" a="1"/>
  <c r="E62" i="2" s="1"/>
  <c r="I62" i="2" s="1"/>
  <c r="D62" i="2" a="1"/>
  <c r="D62" i="2" s="1"/>
  <c r="L62" i="2" s="1"/>
  <c r="C62" i="2" a="1"/>
  <c r="C62" i="2" s="1"/>
  <c r="F62" i="2" s="1"/>
  <c r="A62" i="2"/>
  <c r="J61" i="2"/>
  <c r="E61" i="2" a="1"/>
  <c r="E61" i="2" s="1"/>
  <c r="D61" i="2" a="1"/>
  <c r="D61" i="2" s="1"/>
  <c r="K61" i="2" s="1"/>
  <c r="C61" i="2" a="1"/>
  <c r="C61" i="2" s="1"/>
  <c r="F61" i="2" s="1"/>
  <c r="A61" i="2"/>
  <c r="J60" i="2"/>
  <c r="E60" i="2" a="1"/>
  <c r="E60" i="2" s="1"/>
  <c r="D60" i="2" a="1"/>
  <c r="D60" i="2" s="1"/>
  <c r="C60" i="2" a="1"/>
  <c r="C60" i="2" s="1"/>
  <c r="F60" i="2" s="1"/>
  <c r="A60" i="2"/>
  <c r="J59" i="2"/>
  <c r="E59" i="2" a="1"/>
  <c r="E59" i="2" s="1"/>
  <c r="I59" i="2" s="1"/>
  <c r="D59" i="2" a="1"/>
  <c r="D59" i="2" s="1"/>
  <c r="G59" i="2" s="1"/>
  <c r="C59" i="2" a="1"/>
  <c r="C59" i="2" s="1"/>
  <c r="F59" i="2" s="1"/>
  <c r="A59" i="2"/>
  <c r="J58" i="2"/>
  <c r="E58" i="2" a="1"/>
  <c r="E58" i="2" s="1"/>
  <c r="D58" i="2" a="1"/>
  <c r="D58" i="2" s="1"/>
  <c r="L58" i="2" s="1"/>
  <c r="C58" i="2" a="1"/>
  <c r="C58" i="2" s="1"/>
  <c r="F58" i="2" s="1"/>
  <c r="A58" i="2"/>
  <c r="J57" i="2"/>
  <c r="E57" i="2" a="1"/>
  <c r="E57" i="2" s="1"/>
  <c r="H57" i="2" s="1"/>
  <c r="D57" i="2" a="1"/>
  <c r="D57" i="2" s="1"/>
  <c r="P57" i="2" s="1"/>
  <c r="C57" i="2" a="1"/>
  <c r="C57" i="2" s="1"/>
  <c r="F57" i="2" s="1"/>
  <c r="A57" i="2"/>
  <c r="J56" i="2"/>
  <c r="E56" i="2" a="1"/>
  <c r="E56" i="2" s="1"/>
  <c r="I56" i="2" s="1"/>
  <c r="D56" i="2" a="1"/>
  <c r="D56" i="2" s="1"/>
  <c r="L56" i="2" s="1"/>
  <c r="C56" i="2" a="1"/>
  <c r="C56" i="2" s="1"/>
  <c r="F56" i="2" s="1"/>
  <c r="A56" i="2"/>
  <c r="J55" i="2"/>
  <c r="E55" i="2" a="1"/>
  <c r="E55" i="2" s="1"/>
  <c r="D55" i="2" a="1"/>
  <c r="D55" i="2" s="1"/>
  <c r="P55" i="2" s="1"/>
  <c r="C55" i="2" a="1"/>
  <c r="C55" i="2" s="1"/>
  <c r="F55" i="2" s="1"/>
  <c r="A55" i="2"/>
  <c r="J54" i="2"/>
  <c r="E54" i="2" a="1"/>
  <c r="E54" i="2" s="1"/>
  <c r="D54" i="2" a="1"/>
  <c r="D54" i="2" s="1"/>
  <c r="C54" i="2" a="1"/>
  <c r="C54" i="2" s="1"/>
  <c r="F54" i="2" s="1"/>
  <c r="A54" i="2"/>
  <c r="J53" i="2"/>
  <c r="E53" i="2" a="1"/>
  <c r="E53" i="2" s="1"/>
  <c r="I53" i="2" s="1"/>
  <c r="D53" i="2" a="1"/>
  <c r="D53" i="2" s="1"/>
  <c r="L53" i="2" s="1"/>
  <c r="C53" i="2" a="1"/>
  <c r="C53" i="2" s="1"/>
  <c r="F53" i="2" s="1"/>
  <c r="A53" i="2"/>
  <c r="J52" i="2"/>
  <c r="E52" i="2" a="1"/>
  <c r="E52" i="2" s="1"/>
  <c r="D52" i="2" a="1"/>
  <c r="D52" i="2" s="1"/>
  <c r="L52" i="2" s="1"/>
  <c r="C52" i="2" a="1"/>
  <c r="C52" i="2" s="1"/>
  <c r="F52" i="2" s="1"/>
  <c r="A52" i="2"/>
  <c r="J51" i="2"/>
  <c r="E51" i="2" a="1"/>
  <c r="E51" i="2" s="1"/>
  <c r="I51" i="2" s="1"/>
  <c r="D51" i="2" a="1"/>
  <c r="D51" i="2" s="1"/>
  <c r="C51" i="2" a="1"/>
  <c r="C51" i="2" s="1"/>
  <c r="F51" i="2" s="1"/>
  <c r="A51" i="2"/>
  <c r="J50" i="2"/>
  <c r="E50" i="2" a="1"/>
  <c r="E50" i="2" s="1"/>
  <c r="I50" i="2" s="1"/>
  <c r="D50" i="2" a="1"/>
  <c r="D50" i="2" s="1"/>
  <c r="P50" i="2" s="1"/>
  <c r="C50" i="2" a="1"/>
  <c r="C50" i="2" s="1"/>
  <c r="F50" i="2" s="1"/>
  <c r="A50" i="2"/>
  <c r="J49" i="2"/>
  <c r="E49" i="2" a="1"/>
  <c r="E49" i="2" s="1"/>
  <c r="I49" i="2" s="1"/>
  <c r="D49" i="2" a="1"/>
  <c r="D49" i="2" s="1"/>
  <c r="C49" i="2" a="1"/>
  <c r="C49" i="2" s="1"/>
  <c r="F49" i="2" s="1"/>
  <c r="A49" i="2"/>
  <c r="J48" i="2"/>
  <c r="E48" i="2" a="1"/>
  <c r="E48" i="2" s="1"/>
  <c r="H48" i="2" s="1"/>
  <c r="D48" i="2" a="1"/>
  <c r="D48" i="2" s="1"/>
  <c r="C48" i="2" a="1"/>
  <c r="C48" i="2" s="1"/>
  <c r="F48" i="2" s="1"/>
  <c r="A48" i="2"/>
  <c r="J47" i="2"/>
  <c r="E47" i="2" a="1"/>
  <c r="E47" i="2" s="1"/>
  <c r="D47" i="2" a="1"/>
  <c r="D47" i="2" s="1"/>
  <c r="C47" i="2" a="1"/>
  <c r="C47" i="2" s="1"/>
  <c r="F47" i="2" s="1"/>
  <c r="A47" i="2"/>
  <c r="J46" i="2"/>
  <c r="E46" i="2" a="1"/>
  <c r="E46" i="2" s="1"/>
  <c r="D46" i="2" a="1"/>
  <c r="D46" i="2" s="1"/>
  <c r="C46" i="2" a="1"/>
  <c r="C46" i="2" s="1"/>
  <c r="F46" i="2" s="1"/>
  <c r="A46" i="2"/>
  <c r="J45" i="2"/>
  <c r="E45" i="2" a="1"/>
  <c r="E45" i="2" s="1"/>
  <c r="H45" i="2" s="1"/>
  <c r="D45" i="2" a="1"/>
  <c r="D45" i="2" s="1"/>
  <c r="C45" i="2" a="1"/>
  <c r="C45" i="2" s="1"/>
  <c r="F45" i="2" s="1"/>
  <c r="A45" i="2"/>
  <c r="J44" i="2"/>
  <c r="E44" i="2" a="1"/>
  <c r="E44" i="2" s="1"/>
  <c r="H44" i="2" s="1"/>
  <c r="D44" i="2" a="1"/>
  <c r="D44" i="2" s="1"/>
  <c r="P44" i="2" s="1"/>
  <c r="C44" i="2" a="1"/>
  <c r="C44" i="2" s="1"/>
  <c r="F44" i="2" s="1"/>
  <c r="A44" i="2"/>
  <c r="J43" i="2"/>
  <c r="E43" i="2" a="1"/>
  <c r="E43" i="2" s="1"/>
  <c r="D43" i="2" a="1"/>
  <c r="D43" i="2" s="1"/>
  <c r="P43" i="2" s="1"/>
  <c r="C43" i="2" a="1"/>
  <c r="C43" i="2" s="1"/>
  <c r="F43" i="2" s="1"/>
  <c r="A43" i="2"/>
  <c r="J42" i="2"/>
  <c r="E42" i="2" a="1"/>
  <c r="E42" i="2" s="1"/>
  <c r="D42" i="2" a="1"/>
  <c r="D42" i="2" s="1"/>
  <c r="C42" i="2" a="1"/>
  <c r="C42" i="2" s="1"/>
  <c r="F42" i="2" s="1"/>
  <c r="A42" i="2"/>
  <c r="J41" i="2"/>
  <c r="E41" i="2" a="1"/>
  <c r="E41" i="2" s="1"/>
  <c r="H41" i="2" s="1"/>
  <c r="D41" i="2" a="1"/>
  <c r="D41" i="2" s="1"/>
  <c r="L41" i="2" s="1"/>
  <c r="C41" i="2" a="1"/>
  <c r="C41" i="2" s="1"/>
  <c r="F41" i="2" s="1"/>
  <c r="A41" i="2"/>
  <c r="J40" i="2"/>
  <c r="E40" i="2" a="1"/>
  <c r="E40" i="2" s="1"/>
  <c r="I40" i="2" s="1"/>
  <c r="D40" i="2" a="1"/>
  <c r="D40" i="2" s="1"/>
  <c r="P40" i="2" s="1"/>
  <c r="C40" i="2" a="1"/>
  <c r="C40" i="2" s="1"/>
  <c r="F40" i="2" s="1"/>
  <c r="A40" i="2"/>
  <c r="J39" i="2"/>
  <c r="E39" i="2" a="1"/>
  <c r="E39" i="2" s="1"/>
  <c r="H39" i="2" s="1"/>
  <c r="D39" i="2" a="1"/>
  <c r="D39" i="2" s="1"/>
  <c r="C39" i="2" a="1"/>
  <c r="C39" i="2" s="1"/>
  <c r="F39" i="2" s="1"/>
  <c r="A39" i="2"/>
  <c r="J38" i="2"/>
  <c r="E38" i="2" a="1"/>
  <c r="E38" i="2" s="1"/>
  <c r="D38" i="2" a="1"/>
  <c r="D38" i="2" s="1"/>
  <c r="C38" i="2" a="1"/>
  <c r="C38" i="2" s="1"/>
  <c r="F38" i="2" s="1"/>
  <c r="A38" i="2"/>
  <c r="J37" i="2"/>
  <c r="E37" i="2" a="1"/>
  <c r="E37" i="2" s="1"/>
  <c r="D37" i="2" a="1"/>
  <c r="D37" i="2" s="1"/>
  <c r="K37" i="2" s="1"/>
  <c r="C37" i="2" a="1"/>
  <c r="C37" i="2" s="1"/>
  <c r="F37" i="2" s="1"/>
  <c r="A37" i="2"/>
  <c r="J36" i="2"/>
  <c r="E36" i="2" a="1"/>
  <c r="E36" i="2" s="1"/>
  <c r="I36" i="2" s="1"/>
  <c r="D36" i="2" a="1"/>
  <c r="D36" i="2" s="1"/>
  <c r="C36" i="2" a="1"/>
  <c r="C36" i="2" s="1"/>
  <c r="F36" i="2" s="1"/>
  <c r="A36" i="2"/>
  <c r="J35" i="2"/>
  <c r="E35" i="2" a="1"/>
  <c r="E35" i="2" s="1"/>
  <c r="D35" i="2" a="1"/>
  <c r="D35" i="2" s="1"/>
  <c r="C35" i="2" a="1"/>
  <c r="C35" i="2" s="1"/>
  <c r="F35" i="2" s="1"/>
  <c r="A35" i="2"/>
  <c r="J34" i="2"/>
  <c r="E34" i="2" a="1"/>
  <c r="E34" i="2" s="1"/>
  <c r="H34" i="2" s="1"/>
  <c r="D34" i="2" a="1"/>
  <c r="D34" i="2" s="1"/>
  <c r="G34" i="2" s="1"/>
  <c r="C34" i="2" a="1"/>
  <c r="C34" i="2" s="1"/>
  <c r="F34" i="2" s="1"/>
  <c r="A34" i="2"/>
  <c r="J33" i="2"/>
  <c r="E33" i="2" a="1"/>
  <c r="E33" i="2" s="1"/>
  <c r="D33" i="2" a="1"/>
  <c r="D33" i="2" s="1"/>
  <c r="C33" i="2" a="1"/>
  <c r="C33" i="2" s="1"/>
  <c r="F33" i="2" s="1"/>
  <c r="A33" i="2"/>
  <c r="J32" i="2"/>
  <c r="E32" i="2" a="1"/>
  <c r="E32" i="2" s="1"/>
  <c r="D32" i="2" a="1"/>
  <c r="D32" i="2" s="1"/>
  <c r="L32" i="2" s="1"/>
  <c r="C32" i="2" a="1"/>
  <c r="C32" i="2" s="1"/>
  <c r="F32" i="2" s="1"/>
  <c r="A32" i="2"/>
  <c r="J31" i="2"/>
  <c r="E31" i="2" a="1"/>
  <c r="E31" i="2" s="1"/>
  <c r="D31" i="2" a="1"/>
  <c r="D31" i="2" s="1"/>
  <c r="L31" i="2" s="1"/>
  <c r="C31" i="2" a="1"/>
  <c r="C31" i="2" s="1"/>
  <c r="F31" i="2" s="1"/>
  <c r="A31" i="2"/>
  <c r="J30" i="2"/>
  <c r="E30" i="2" a="1"/>
  <c r="E30" i="2" s="1"/>
  <c r="H30" i="2" s="1"/>
  <c r="D30" i="2" a="1"/>
  <c r="D30" i="2" s="1"/>
  <c r="P30" i="2" s="1"/>
  <c r="C30" i="2" a="1"/>
  <c r="C30" i="2" s="1"/>
  <c r="F30" i="2" s="1"/>
  <c r="A30" i="2"/>
  <c r="J29" i="2"/>
  <c r="E29" i="2" a="1"/>
  <c r="E29" i="2" s="1"/>
  <c r="I29" i="2" s="1"/>
  <c r="D29" i="2" a="1"/>
  <c r="D29" i="2" s="1"/>
  <c r="K29" i="2" s="1"/>
  <c r="C29" i="2" a="1"/>
  <c r="C29" i="2" s="1"/>
  <c r="F29" i="2" s="1"/>
  <c r="A29" i="2"/>
  <c r="J28" i="2"/>
  <c r="E28" i="2" a="1"/>
  <c r="E28" i="2" s="1"/>
  <c r="I28" i="2" s="1"/>
  <c r="D28" i="2" a="1"/>
  <c r="D28" i="2" s="1"/>
  <c r="C28" i="2" a="1"/>
  <c r="C28" i="2" s="1"/>
  <c r="F28" i="2" s="1"/>
  <c r="A28" i="2"/>
  <c r="J27" i="2"/>
  <c r="E27" i="2" a="1"/>
  <c r="E27" i="2" s="1"/>
  <c r="I27" i="2" s="1"/>
  <c r="D27" i="2" a="1"/>
  <c r="D27" i="2" s="1"/>
  <c r="C27" i="2" a="1"/>
  <c r="C27" i="2" s="1"/>
  <c r="F27" i="2" s="1"/>
  <c r="A27" i="2"/>
  <c r="J26" i="2"/>
  <c r="E26" i="2" a="1"/>
  <c r="E26" i="2" s="1"/>
  <c r="I26" i="2" s="1"/>
  <c r="D26" i="2" a="1"/>
  <c r="D26" i="2" s="1"/>
  <c r="C26" i="2" a="1"/>
  <c r="C26" i="2" s="1"/>
  <c r="F26" i="2" s="1"/>
  <c r="A26" i="2"/>
  <c r="J25" i="2"/>
  <c r="E25" i="2" a="1"/>
  <c r="E25" i="2" s="1"/>
  <c r="I25" i="2" s="1"/>
  <c r="D25" i="2" a="1"/>
  <c r="D25" i="2" s="1"/>
  <c r="C25" i="2" a="1"/>
  <c r="C25" i="2" s="1"/>
  <c r="F25" i="2" s="1"/>
  <c r="A25" i="2"/>
  <c r="J24" i="2"/>
  <c r="E24" i="2" a="1"/>
  <c r="E24" i="2" s="1"/>
  <c r="I24" i="2" s="1"/>
  <c r="D24" i="2" a="1"/>
  <c r="D24" i="2" s="1"/>
  <c r="L24" i="2" s="1"/>
  <c r="C24" i="2" a="1"/>
  <c r="C24" i="2" s="1"/>
  <c r="F24" i="2" s="1"/>
  <c r="A24" i="2"/>
  <c r="J23" i="2"/>
  <c r="E23" i="2" a="1"/>
  <c r="E23" i="2" s="1"/>
  <c r="I23" i="2" s="1"/>
  <c r="D23" i="2" a="1"/>
  <c r="D23" i="2" s="1"/>
  <c r="K23" i="2" s="1"/>
  <c r="C23" i="2" a="1"/>
  <c r="C23" i="2" s="1"/>
  <c r="F23" i="2" s="1"/>
  <c r="A23" i="2"/>
  <c r="J22" i="2"/>
  <c r="E22" i="2" a="1"/>
  <c r="E22" i="2" s="1"/>
  <c r="I22" i="2" s="1"/>
  <c r="D22" i="2" a="1"/>
  <c r="D22" i="2" s="1"/>
  <c r="C22" i="2" a="1"/>
  <c r="C22" i="2" s="1"/>
  <c r="F22" i="2" s="1"/>
  <c r="A22" i="2"/>
  <c r="J21" i="2"/>
  <c r="E21" i="2" a="1"/>
  <c r="E21" i="2" s="1"/>
  <c r="I21" i="2" s="1"/>
  <c r="D21" i="2" a="1"/>
  <c r="D21" i="2" s="1"/>
  <c r="G21" i="2" s="1"/>
  <c r="C21" i="2" a="1"/>
  <c r="C21" i="2" s="1"/>
  <c r="F21" i="2" s="1"/>
  <c r="A21" i="2"/>
  <c r="J20" i="2"/>
  <c r="E20" i="2" a="1"/>
  <c r="E20" i="2" s="1"/>
  <c r="D20" i="2" a="1"/>
  <c r="D20" i="2" s="1"/>
  <c r="C20" i="2" a="1"/>
  <c r="C20" i="2" s="1"/>
  <c r="F20" i="2" s="1"/>
  <c r="A20" i="2"/>
  <c r="J19" i="2"/>
  <c r="E19" i="2" a="1"/>
  <c r="E19" i="2" s="1"/>
  <c r="H19" i="2" s="1"/>
  <c r="D19" i="2" a="1"/>
  <c r="D19" i="2" s="1"/>
  <c r="G19" i="2" s="1"/>
  <c r="C19" i="2" a="1"/>
  <c r="C19" i="2" s="1"/>
  <c r="F19" i="2" s="1"/>
  <c r="A19" i="2"/>
  <c r="J18" i="2"/>
  <c r="E18" i="2" a="1"/>
  <c r="E18" i="2" s="1"/>
  <c r="D18" i="2" a="1"/>
  <c r="D18" i="2" s="1"/>
  <c r="C18" i="2" a="1"/>
  <c r="C18" i="2" s="1"/>
  <c r="F18" i="2" s="1"/>
  <c r="A18" i="2"/>
  <c r="J17" i="2"/>
  <c r="E17" i="2" a="1"/>
  <c r="E17" i="2" s="1"/>
  <c r="I17" i="2" s="1"/>
  <c r="D17" i="2" a="1"/>
  <c r="D17" i="2" s="1"/>
  <c r="L17" i="2" s="1"/>
  <c r="C17" i="2" a="1"/>
  <c r="C17" i="2" s="1"/>
  <c r="F17" i="2" s="1"/>
  <c r="A17" i="2"/>
  <c r="J16" i="2"/>
  <c r="E16" i="2" a="1"/>
  <c r="E16" i="2" s="1"/>
  <c r="I16" i="2" s="1"/>
  <c r="D16" i="2" a="1"/>
  <c r="D16" i="2" s="1"/>
  <c r="G16" i="2" s="1"/>
  <c r="C16" i="2" a="1"/>
  <c r="C16" i="2" s="1"/>
  <c r="F16" i="2" s="1"/>
  <c r="A16" i="2"/>
  <c r="J15" i="2"/>
  <c r="E15" i="2" a="1"/>
  <c r="E15" i="2" s="1"/>
  <c r="I15" i="2" s="1"/>
  <c r="D15" i="2" a="1"/>
  <c r="D15" i="2" s="1"/>
  <c r="C15" i="2" a="1"/>
  <c r="C15" i="2" s="1"/>
  <c r="F15" i="2" s="1"/>
  <c r="A15" i="2"/>
  <c r="J14" i="2"/>
  <c r="E14" i="2" a="1"/>
  <c r="E14" i="2" s="1"/>
  <c r="D14" i="2" a="1"/>
  <c r="D14" i="2" s="1"/>
  <c r="K14" i="2" s="1"/>
  <c r="C14" i="2" a="1"/>
  <c r="C14" i="2" s="1"/>
  <c r="F14" i="2" s="1"/>
  <c r="A14" i="2"/>
  <c r="J13" i="2"/>
  <c r="E13" i="2" a="1"/>
  <c r="E13" i="2" s="1"/>
  <c r="D13" i="2" a="1"/>
  <c r="D13" i="2" s="1"/>
  <c r="C13" i="2" a="1"/>
  <c r="C13" i="2" s="1"/>
  <c r="F13" i="2" s="1"/>
  <c r="A13" i="2"/>
  <c r="J12" i="2"/>
  <c r="E12" i="2" a="1"/>
  <c r="E12" i="2" s="1"/>
  <c r="D12" i="2" a="1"/>
  <c r="D12" i="2" s="1"/>
  <c r="C12" i="2" a="1"/>
  <c r="C12" i="2" s="1"/>
  <c r="F12" i="2" s="1"/>
  <c r="A12" i="2"/>
  <c r="J11" i="2"/>
  <c r="E11" i="2" a="1"/>
  <c r="E11" i="2" s="1"/>
  <c r="D11" i="2" a="1"/>
  <c r="D11" i="2" s="1"/>
  <c r="P11" i="2" s="1"/>
  <c r="C11" i="2" a="1"/>
  <c r="C11" i="2" s="1"/>
  <c r="F11" i="2" s="1"/>
  <c r="A11" i="2"/>
  <c r="J10" i="2"/>
  <c r="E10" i="2" a="1"/>
  <c r="E10" i="2" s="1"/>
  <c r="H10" i="2" s="1"/>
  <c r="D10" i="2" a="1"/>
  <c r="D10" i="2" s="1"/>
  <c r="C10" i="2" a="1"/>
  <c r="C10" i="2" s="1"/>
  <c r="F10" i="2" s="1"/>
  <c r="A10" i="2"/>
  <c r="J9" i="2"/>
  <c r="E9" i="2" a="1"/>
  <c r="E9" i="2" s="1"/>
  <c r="I9" i="2" s="1"/>
  <c r="D9" i="2" a="1"/>
  <c r="D9" i="2" s="1"/>
  <c r="G9" i="2" s="1"/>
  <c r="C9" i="2" a="1"/>
  <c r="C9" i="2" s="1"/>
  <c r="F9" i="2" s="1"/>
  <c r="A9" i="2"/>
  <c r="J8" i="2"/>
  <c r="E8" i="2" a="1"/>
  <c r="E8" i="2" s="1"/>
  <c r="D8" i="2" a="1"/>
  <c r="D8" i="2" s="1"/>
  <c r="C8" i="2" a="1"/>
  <c r="C8" i="2" s="1"/>
  <c r="F8" i="2" s="1"/>
  <c r="A8" i="2"/>
  <c r="J7" i="2"/>
  <c r="E7" i="2" a="1"/>
  <c r="E7" i="2" s="1"/>
  <c r="H7" i="2" s="1"/>
  <c r="D7" i="2" a="1"/>
  <c r="D7" i="2" s="1"/>
  <c r="G7" i="2" s="1"/>
  <c r="C7" i="2" a="1"/>
  <c r="C7" i="2" s="1"/>
  <c r="F7" i="2" s="1"/>
  <c r="A7" i="2"/>
  <c r="J6" i="2"/>
  <c r="E6" i="2" a="1"/>
  <c r="E6" i="2" s="1"/>
  <c r="D6" i="2" a="1"/>
  <c r="D6" i="2" s="1"/>
  <c r="L6" i="2" s="1"/>
  <c r="C6" i="2" a="1"/>
  <c r="C6" i="2" s="1"/>
  <c r="F6" i="2" s="1"/>
  <c r="A6" i="2"/>
  <c r="J5" i="2"/>
  <c r="E5" i="2" a="1"/>
  <c r="E5" i="2" s="1"/>
  <c r="I5" i="2" s="1"/>
  <c r="D5" i="2" a="1"/>
  <c r="D5" i="2" s="1"/>
  <c r="L5" i="2" s="1"/>
  <c r="C5" i="2" a="1"/>
  <c r="C5" i="2" s="1"/>
  <c r="F5" i="2" s="1"/>
  <c r="A5" i="2"/>
  <c r="J4" i="2"/>
  <c r="E4" i="2" a="1"/>
  <c r="E4" i="2" s="1"/>
  <c r="I4" i="2" s="1"/>
  <c r="D4" i="2" a="1"/>
  <c r="D4" i="2" s="1"/>
  <c r="P4" i="2" s="1"/>
  <c r="C4" i="2" a="1"/>
  <c r="C4" i="2" s="1"/>
  <c r="F4" i="2" s="1"/>
  <c r="A4" i="2"/>
  <c r="J3" i="2"/>
  <c r="E3" i="2" a="1"/>
  <c r="E3" i="2" s="1"/>
  <c r="I3" i="2" s="1"/>
  <c r="D3" i="2" a="1"/>
  <c r="D3" i="2" s="1"/>
  <c r="C3" i="2" a="1"/>
  <c r="C3" i="2" s="1"/>
  <c r="F3" i="2" s="1"/>
  <c r="A3" i="2"/>
  <c r="J2" i="2"/>
  <c r="E2" i="2" a="1"/>
  <c r="E2" i="2" s="1"/>
  <c r="I2" i="2" s="1"/>
  <c r="D2" i="2" a="1"/>
  <c r="D2" i="2" s="1"/>
  <c r="K2" i="2" s="1"/>
  <c r="C2" i="2" a="1"/>
  <c r="C2" i="2" s="1"/>
  <c r="F2" i="2" s="1"/>
  <c r="A2" i="2"/>
  <c r="B3" i="8"/>
  <c r="N52" i="2" l="1"/>
  <c r="G80" i="2"/>
  <c r="M98" i="2"/>
  <c r="N5" i="2"/>
  <c r="N31" i="2"/>
  <c r="K80" i="2"/>
  <c r="M80" i="2" s="1"/>
  <c r="M61" i="2"/>
  <c r="M65" i="2"/>
  <c r="N71" i="2"/>
  <c r="N85" i="2"/>
  <c r="H97" i="2"/>
  <c r="I97" i="2"/>
  <c r="G83" i="2"/>
  <c r="K83" i="2"/>
  <c r="M83" i="2" s="1"/>
  <c r="L93" i="2"/>
  <c r="N93" i="2" s="1"/>
  <c r="L61" i="2"/>
  <c r="N61" i="2" s="1"/>
  <c r="G11" i="2"/>
  <c r="N95" i="2"/>
  <c r="K33" i="2"/>
  <c r="M33" i="2" s="1"/>
  <c r="L33" i="2"/>
  <c r="N33" i="2" s="1"/>
  <c r="G33" i="2"/>
  <c r="P39" i="2"/>
  <c r="L39" i="2"/>
  <c r="N39" i="2" s="1"/>
  <c r="K39" i="2"/>
  <c r="M39" i="2" s="1"/>
  <c r="G39" i="2"/>
  <c r="H14" i="2"/>
  <c r="I14" i="2"/>
  <c r="L38" i="2"/>
  <c r="N38" i="2" s="1"/>
  <c r="K38" i="2"/>
  <c r="M38" i="2" s="1"/>
  <c r="G38" i="2"/>
  <c r="L79" i="2"/>
  <c r="N79" i="2" s="1"/>
  <c r="K79" i="2"/>
  <c r="M79" i="2" s="1"/>
  <c r="G90" i="2"/>
  <c r="P90" i="2"/>
  <c r="I41" i="2"/>
  <c r="I79" i="2"/>
  <c r="I69" i="2"/>
  <c r="K62" i="2"/>
  <c r="M62" i="2" s="1"/>
  <c r="I78" i="2"/>
  <c r="N92" i="2"/>
  <c r="H95" i="2"/>
  <c r="P41" i="2"/>
  <c r="H62" i="2"/>
  <c r="H51" i="2"/>
  <c r="H3" i="2"/>
  <c r="H80" i="2"/>
  <c r="P9" i="2"/>
  <c r="L19" i="2"/>
  <c r="N19" i="2" s="1"/>
  <c r="P62" i="2"/>
  <c r="P71" i="2"/>
  <c r="M88" i="2"/>
  <c r="K95" i="2"/>
  <c r="M95" i="2" s="1"/>
  <c r="N97" i="2"/>
  <c r="G81" i="2"/>
  <c r="H15" i="2"/>
  <c r="M37" i="2"/>
  <c r="P52" i="2"/>
  <c r="N80" i="2"/>
  <c r="M81" i="2"/>
  <c r="P95" i="2"/>
  <c r="K48" i="2"/>
  <c r="M48" i="2" s="1"/>
  <c r="L48" i="2"/>
  <c r="N48" i="2" s="1"/>
  <c r="G48" i="2"/>
  <c r="H58" i="2"/>
  <c r="I58" i="2"/>
  <c r="K3" i="2"/>
  <c r="M3" i="2" s="1"/>
  <c r="L3" i="2"/>
  <c r="N3" i="2" s="1"/>
  <c r="G3" i="2"/>
  <c r="P3" i="2"/>
  <c r="K72" i="2"/>
  <c r="M72" i="2" s="1"/>
  <c r="P72" i="2"/>
  <c r="L72" i="2"/>
  <c r="N72" i="2" s="1"/>
  <c r="G72" i="2"/>
  <c r="K12" i="2"/>
  <c r="M12" i="2" s="1"/>
  <c r="P12" i="2"/>
  <c r="L12" i="2"/>
  <c r="N12" i="2" s="1"/>
  <c r="G12" i="2"/>
  <c r="H43" i="2"/>
  <c r="I43" i="2"/>
  <c r="I67" i="2"/>
  <c r="H67" i="2"/>
  <c r="K96" i="2"/>
  <c r="M96" i="2" s="1"/>
  <c r="P96" i="2"/>
  <c r="L96" i="2"/>
  <c r="N96" i="2" s="1"/>
  <c r="G96" i="2"/>
  <c r="I31" i="2"/>
  <c r="H31" i="2"/>
  <c r="I55" i="2"/>
  <c r="H55" i="2"/>
  <c r="I85" i="2"/>
  <c r="H85" i="2"/>
  <c r="I73" i="2"/>
  <c r="H73" i="2"/>
  <c r="I77" i="2"/>
  <c r="H77" i="2"/>
  <c r="I46" i="2"/>
  <c r="H46" i="2"/>
  <c r="H61" i="2"/>
  <c r="I61" i="2"/>
  <c r="G64" i="2"/>
  <c r="L64" i="2"/>
  <c r="N64" i="2" s="1"/>
  <c r="P64" i="2"/>
  <c r="L18" i="2"/>
  <c r="N18" i="2" s="1"/>
  <c r="P18" i="2"/>
  <c r="L51" i="2"/>
  <c r="N51" i="2" s="1"/>
  <c r="P51" i="2"/>
  <c r="K51" i="2"/>
  <c r="M51" i="2" s="1"/>
  <c r="G51" i="2"/>
  <c r="H17" i="2"/>
  <c r="N94" i="2"/>
  <c r="N17" i="2"/>
  <c r="I30" i="2"/>
  <c r="P32" i="2"/>
  <c r="K44" i="2"/>
  <c r="M44" i="2" s="1"/>
  <c r="P56" i="2"/>
  <c r="P65" i="2"/>
  <c r="L69" i="2"/>
  <c r="N69" i="2" s="1"/>
  <c r="P80" i="2"/>
  <c r="I88" i="2"/>
  <c r="P93" i="2"/>
  <c r="K56" i="2"/>
  <c r="M56" i="2" s="1"/>
  <c r="H21" i="2"/>
  <c r="G44" i="2"/>
  <c r="H64" i="2"/>
  <c r="G6" i="2"/>
  <c r="K7" i="2"/>
  <c r="M7" i="2" s="1"/>
  <c r="K11" i="2"/>
  <c r="M11" i="2" s="1"/>
  <c r="H29" i="2"/>
  <c r="P31" i="2"/>
  <c r="L43" i="2"/>
  <c r="N43" i="2" s="1"/>
  <c r="L55" i="2"/>
  <c r="N55" i="2" s="1"/>
  <c r="I72" i="2"/>
  <c r="P77" i="2"/>
  <c r="P83" i="2"/>
  <c r="H86" i="2"/>
  <c r="K92" i="2"/>
  <c r="M92" i="2" s="1"/>
  <c r="M2" i="2"/>
  <c r="N32" i="2"/>
  <c r="K32" i="2"/>
  <c r="M32" i="2" s="1"/>
  <c r="G29" i="2"/>
  <c r="K31" i="2"/>
  <c r="M31" i="2" s="1"/>
  <c r="K43" i="2"/>
  <c r="M43" i="2" s="1"/>
  <c r="L44" i="2"/>
  <c r="N44" i="2" s="1"/>
  <c r="P69" i="2"/>
  <c r="K5" i="2"/>
  <c r="M5" i="2" s="1"/>
  <c r="N6" i="2"/>
  <c r="L7" i="2"/>
  <c r="N7" i="2" s="1"/>
  <c r="L11" i="2"/>
  <c r="N11" i="2" s="1"/>
  <c r="G41" i="2"/>
  <c r="H53" i="2"/>
  <c r="K71" i="2"/>
  <c r="M71" i="2" s="1"/>
  <c r="M86" i="2"/>
  <c r="P87" i="2"/>
  <c r="N56" i="2"/>
  <c r="K89" i="2"/>
  <c r="M89" i="2" s="1"/>
  <c r="K55" i="2"/>
  <c r="M55" i="2" s="1"/>
  <c r="G87" i="2"/>
  <c r="K6" i="2"/>
  <c r="M6" i="2" s="1"/>
  <c r="P7" i="2"/>
  <c r="I10" i="2"/>
  <c r="L29" i="2"/>
  <c r="N29" i="2" s="1"/>
  <c r="G62" i="2"/>
  <c r="G98" i="2"/>
  <c r="P6" i="2"/>
  <c r="G43" i="2"/>
  <c r="P19" i="2"/>
  <c r="H40" i="2"/>
  <c r="H50" i="2"/>
  <c r="K53" i="2"/>
  <c r="M53" i="2" s="1"/>
  <c r="G95" i="2"/>
  <c r="H22" i="2"/>
  <c r="N58" i="2"/>
  <c r="M69" i="2"/>
  <c r="G56" i="2"/>
  <c r="H65" i="2"/>
  <c r="I66" i="2"/>
  <c r="M77" i="2"/>
  <c r="P81" i="2"/>
  <c r="N83" i="2"/>
  <c r="H89" i="2"/>
  <c r="I93" i="2"/>
  <c r="I94" i="2"/>
  <c r="H12" i="2"/>
  <c r="I12" i="2"/>
  <c r="I47" i="2"/>
  <c r="H47" i="2"/>
  <c r="G42" i="2"/>
  <c r="L42" i="2"/>
  <c r="N42" i="2" s="1"/>
  <c r="K42" i="2"/>
  <c r="M42" i="2" s="1"/>
  <c r="P42" i="2"/>
  <c r="L26" i="2"/>
  <c r="N26" i="2" s="1"/>
  <c r="K26" i="2"/>
  <c r="M26" i="2" s="1"/>
  <c r="G26" i="2"/>
  <c r="P26" i="2"/>
  <c r="I8" i="2"/>
  <c r="H8" i="2"/>
  <c r="P10" i="2"/>
  <c r="K10" i="2"/>
  <c r="M10" i="2" s="1"/>
  <c r="L10" i="2"/>
  <c r="N10" i="2" s="1"/>
  <c r="G10" i="2"/>
  <c r="K15" i="2"/>
  <c r="M15" i="2" s="1"/>
  <c r="G15" i="2"/>
  <c r="L15" i="2"/>
  <c r="N15" i="2" s="1"/>
  <c r="P15" i="2"/>
  <c r="L20" i="2"/>
  <c r="N20" i="2" s="1"/>
  <c r="G20" i="2"/>
  <c r="K20" i="2"/>
  <c r="M20" i="2" s="1"/>
  <c r="P20" i="2"/>
  <c r="H20" i="2"/>
  <c r="I20" i="2"/>
  <c r="K47" i="2"/>
  <c r="M47" i="2" s="1"/>
  <c r="P47" i="2"/>
  <c r="L47" i="2"/>
  <c r="N47" i="2" s="1"/>
  <c r="G47" i="2"/>
  <c r="K28" i="2"/>
  <c r="M28" i="2" s="1"/>
  <c r="G28" i="2"/>
  <c r="P28" i="2"/>
  <c r="L28" i="2"/>
  <c r="N28" i="2" s="1"/>
  <c r="I11" i="2"/>
  <c r="H11" i="2"/>
  <c r="P22" i="2"/>
  <c r="K22" i="2"/>
  <c r="M22" i="2" s="1"/>
  <c r="G22" i="2"/>
  <c r="L22" i="2"/>
  <c r="N22" i="2" s="1"/>
  <c r="G13" i="2"/>
  <c r="K13" i="2"/>
  <c r="M13" i="2" s="1"/>
  <c r="L13" i="2"/>
  <c r="N13" i="2" s="1"/>
  <c r="P13" i="2"/>
  <c r="I13" i="2"/>
  <c r="H13" i="2"/>
  <c r="K45" i="2"/>
  <c r="M45" i="2" s="1"/>
  <c r="L45" i="2"/>
  <c r="N45" i="2" s="1"/>
  <c r="P45" i="2"/>
  <c r="G45" i="2"/>
  <c r="L8" i="2"/>
  <c r="N8" i="2" s="1"/>
  <c r="G8" i="2"/>
  <c r="K8" i="2"/>
  <c r="M8" i="2" s="1"/>
  <c r="P8" i="2"/>
  <c r="I35" i="2"/>
  <c r="H35" i="2"/>
  <c r="I44" i="2"/>
  <c r="P46" i="2"/>
  <c r="L46" i="2"/>
  <c r="N46" i="2" s="1"/>
  <c r="K60" i="2"/>
  <c r="M60" i="2" s="1"/>
  <c r="G60" i="2"/>
  <c r="P60" i="2"/>
  <c r="L60" i="2"/>
  <c r="N60" i="2" s="1"/>
  <c r="G67" i="2"/>
  <c r="P67" i="2"/>
  <c r="L67" i="2"/>
  <c r="N67" i="2" s="1"/>
  <c r="K67" i="2"/>
  <c r="M67" i="2" s="1"/>
  <c r="H82" i="2"/>
  <c r="I82" i="2"/>
  <c r="K36" i="2"/>
  <c r="M36" i="2" s="1"/>
  <c r="P36" i="2"/>
  <c r="L27" i="2"/>
  <c r="N27" i="2" s="1"/>
  <c r="P27" i="2"/>
  <c r="I7" i="2"/>
  <c r="G23" i="2"/>
  <c r="N24" i="2"/>
  <c r="H25" i="2"/>
  <c r="H26" i="2"/>
  <c r="G27" i="2"/>
  <c r="I34" i="2"/>
  <c r="G49" i="2"/>
  <c r="P49" i="2"/>
  <c r="L49" i="2"/>
  <c r="N49" i="2" s="1"/>
  <c r="K49" i="2"/>
  <c r="M49" i="2" s="1"/>
  <c r="H60" i="2"/>
  <c r="I60" i="2"/>
  <c r="K73" i="2"/>
  <c r="M73" i="2" s="1"/>
  <c r="G73" i="2"/>
  <c r="P73" i="2"/>
  <c r="L73" i="2"/>
  <c r="N73" i="2" s="1"/>
  <c r="H81" i="2"/>
  <c r="I81" i="2"/>
  <c r="M87" i="2"/>
  <c r="I75" i="2"/>
  <c r="H75" i="2"/>
  <c r="G82" i="2"/>
  <c r="P82" i="2"/>
  <c r="L82" i="2"/>
  <c r="N82" i="2" s="1"/>
  <c r="K82" i="2"/>
  <c r="M82" i="2" s="1"/>
  <c r="H37" i="2"/>
  <c r="I37" i="2"/>
  <c r="N41" i="2"/>
  <c r="G36" i="2"/>
  <c r="H16" i="2"/>
  <c r="H23" i="2"/>
  <c r="H36" i="2"/>
  <c r="K9" i="2"/>
  <c r="M9" i="2" s="1"/>
  <c r="L9" i="2"/>
  <c r="N9" i="2" s="1"/>
  <c r="M23" i="2"/>
  <c r="H27" i="2"/>
  <c r="H28" i="2"/>
  <c r="G58" i="2"/>
  <c r="P58" i="2"/>
  <c r="I74" i="2"/>
  <c r="H74" i="2"/>
  <c r="G91" i="2"/>
  <c r="P91" i="2"/>
  <c r="L91" i="2"/>
  <c r="N91" i="2" s="1"/>
  <c r="K91" i="2"/>
  <c r="M91" i="2" s="1"/>
  <c r="M14" i="2"/>
  <c r="G25" i="2"/>
  <c r="L25" i="2"/>
  <c r="N25" i="2" s="1"/>
  <c r="P25" i="2"/>
  <c r="G4" i="2"/>
  <c r="L50" i="2"/>
  <c r="N50" i="2" s="1"/>
  <c r="K50" i="2"/>
  <c r="M50" i="2" s="1"/>
  <c r="N53" i="2"/>
  <c r="L68" i="2"/>
  <c r="N68" i="2" s="1"/>
  <c r="G68" i="2"/>
  <c r="P68" i="2"/>
  <c r="K68" i="2"/>
  <c r="M68" i="2" s="1"/>
  <c r="L30" i="2"/>
  <c r="N30" i="2" s="1"/>
  <c r="G30" i="2"/>
  <c r="H4" i="2"/>
  <c r="L14" i="2"/>
  <c r="N14" i="2" s="1"/>
  <c r="P14" i="2"/>
  <c r="K17" i="2"/>
  <c r="M17" i="2" s="1"/>
  <c r="K25" i="2"/>
  <c r="M25" i="2" s="1"/>
  <c r="L36" i="2"/>
  <c r="N36" i="2" s="1"/>
  <c r="I39" i="2"/>
  <c r="G70" i="2"/>
  <c r="P70" i="2"/>
  <c r="K70" i="2"/>
  <c r="M70" i="2" s="1"/>
  <c r="H71" i="2"/>
  <c r="P76" i="2"/>
  <c r="G76" i="2"/>
  <c r="K76" i="2"/>
  <c r="M76" i="2" s="1"/>
  <c r="K35" i="2"/>
  <c r="M35" i="2" s="1"/>
  <c r="G35" i="2"/>
  <c r="K75" i="2"/>
  <c r="M75" i="2" s="1"/>
  <c r="G75" i="2"/>
  <c r="P75" i="2"/>
  <c r="L75" i="2"/>
  <c r="N75" i="2" s="1"/>
  <c r="I48" i="2"/>
  <c r="L23" i="2"/>
  <c r="N23" i="2" s="1"/>
  <c r="P23" i="2"/>
  <c r="K99" i="2"/>
  <c r="M99" i="2" s="1"/>
  <c r="P99" i="2"/>
  <c r="G99" i="2"/>
  <c r="L99" i="2"/>
  <c r="N99" i="2" s="1"/>
  <c r="L2" i="2"/>
  <c r="N2" i="2" s="1"/>
  <c r="P2" i="2"/>
  <c r="G5" i="2"/>
  <c r="P5" i="2"/>
  <c r="H18" i="2"/>
  <c r="I18" i="2"/>
  <c r="L66" i="2"/>
  <c r="N66" i="2" s="1"/>
  <c r="K66" i="2"/>
  <c r="M66" i="2" s="1"/>
  <c r="P66" i="2"/>
  <c r="K27" i="2"/>
  <c r="M27" i="2" s="1"/>
  <c r="H49" i="2"/>
  <c r="H90" i="2"/>
  <c r="I90" i="2"/>
  <c r="G2" i="2"/>
  <c r="H9" i="2"/>
  <c r="I19" i="2"/>
  <c r="K21" i="2"/>
  <c r="M21" i="2" s="1"/>
  <c r="L21" i="2"/>
  <c r="N21" i="2" s="1"/>
  <c r="P21" i="2"/>
  <c r="G50" i="2"/>
  <c r="G54" i="2"/>
  <c r="P54" i="2"/>
  <c r="L54" i="2"/>
  <c r="N54" i="2" s="1"/>
  <c r="K54" i="2"/>
  <c r="M54" i="2" s="1"/>
  <c r="H59" i="2"/>
  <c r="G66" i="2"/>
  <c r="I83" i="2"/>
  <c r="H83" i="2"/>
  <c r="G37" i="2"/>
  <c r="P37" i="2"/>
  <c r="L37" i="2"/>
  <c r="N37" i="2" s="1"/>
  <c r="K24" i="2"/>
  <c r="M24" i="2" s="1"/>
  <c r="G24" i="2"/>
  <c r="H24" i="2"/>
  <c r="L35" i="2"/>
  <c r="N35" i="2" s="1"/>
  <c r="P35" i="2"/>
  <c r="G40" i="2"/>
  <c r="K40" i="2"/>
  <c r="M40" i="2" s="1"/>
  <c r="G46" i="2"/>
  <c r="G18" i="2"/>
  <c r="P24" i="2"/>
  <c r="K57" i="2"/>
  <c r="M57" i="2" s="1"/>
  <c r="L57" i="2"/>
  <c r="N57" i="2" s="1"/>
  <c r="G57" i="2"/>
  <c r="H2" i="2"/>
  <c r="K4" i="2"/>
  <c r="M4" i="2" s="1"/>
  <c r="H5" i="2"/>
  <c r="G14" i="2"/>
  <c r="K18" i="2"/>
  <c r="M18" i="2" s="1"/>
  <c r="M29" i="2"/>
  <c r="K30" i="2"/>
  <c r="M30" i="2" s="1"/>
  <c r="G31" i="2"/>
  <c r="H32" i="2"/>
  <c r="I32" i="2"/>
  <c r="P34" i="2"/>
  <c r="L34" i="2"/>
  <c r="N34" i="2" s="1"/>
  <c r="K34" i="2"/>
  <c r="M34" i="2" s="1"/>
  <c r="H42" i="2"/>
  <c r="I42" i="2"/>
  <c r="K46" i="2"/>
  <c r="M46" i="2" s="1"/>
  <c r="G52" i="2"/>
  <c r="K52" i="2"/>
  <c r="M52" i="2" s="1"/>
  <c r="O52" i="2" s="1"/>
  <c r="H54" i="2"/>
  <c r="I54" i="2"/>
  <c r="H56" i="2"/>
  <c r="G61" i="2"/>
  <c r="P61" i="2"/>
  <c r="G63" i="2"/>
  <c r="P63" i="2"/>
  <c r="L63" i="2"/>
  <c r="N63" i="2" s="1"/>
  <c r="K63" i="2"/>
  <c r="M63" i="2" s="1"/>
  <c r="G17" i="2"/>
  <c r="P17" i="2"/>
  <c r="I38" i="2"/>
  <c r="H38" i="2"/>
  <c r="L59" i="2"/>
  <c r="N59" i="2" s="1"/>
  <c r="K59" i="2"/>
  <c r="M59" i="2" s="1"/>
  <c r="P59" i="2"/>
  <c r="L4" i="2"/>
  <c r="N4" i="2" s="1"/>
  <c r="H6" i="2"/>
  <c r="I6" i="2"/>
  <c r="P16" i="2"/>
  <c r="L16" i="2"/>
  <c r="N16" i="2" s="1"/>
  <c r="K16" i="2"/>
  <c r="M16" i="2" s="1"/>
  <c r="K19" i="2"/>
  <c r="M19" i="2" s="1"/>
  <c r="G32" i="2"/>
  <c r="H33" i="2"/>
  <c r="I33" i="2"/>
  <c r="L40" i="2"/>
  <c r="N40" i="2" s="1"/>
  <c r="I52" i="2"/>
  <c r="H52" i="2"/>
  <c r="K58" i="2"/>
  <c r="M58" i="2" s="1"/>
  <c r="H63" i="2"/>
  <c r="I63" i="2"/>
  <c r="L70" i="2"/>
  <c r="N70" i="2" s="1"/>
  <c r="L76" i="2"/>
  <c r="N76" i="2" s="1"/>
  <c r="P53" i="2"/>
  <c r="N62" i="2"/>
  <c r="H68" i="2"/>
  <c r="H76" i="2"/>
  <c r="L78" i="2"/>
  <c r="N78" i="2" s="1"/>
  <c r="K78" i="2"/>
  <c r="M78" i="2" s="1"/>
  <c r="I84" i="2"/>
  <c r="P86" i="2"/>
  <c r="L86" i="2"/>
  <c r="N86" i="2" s="1"/>
  <c r="I91" i="2"/>
  <c r="I57" i="2"/>
  <c r="G65" i="2"/>
  <c r="L65" i="2"/>
  <c r="N65" i="2" s="1"/>
  <c r="G69" i="2"/>
  <c r="G79" i="2"/>
  <c r="P79" i="2"/>
  <c r="G92" i="2"/>
  <c r="G94" i="2"/>
  <c r="P94" i="2"/>
  <c r="L84" i="2"/>
  <c r="N84" i="2" s="1"/>
  <c r="H92" i="2"/>
  <c r="G55" i="2"/>
  <c r="P29" i="2"/>
  <c r="I45" i="2"/>
  <c r="I70" i="2"/>
  <c r="G71" i="2"/>
  <c r="G78" i="2"/>
  <c r="M84" i="2"/>
  <c r="G86" i="2"/>
  <c r="I87" i="2"/>
  <c r="H87" i="2"/>
  <c r="P88" i="2"/>
  <c r="G88" i="2"/>
  <c r="G93" i="2"/>
  <c r="G53" i="2"/>
  <c r="K64" i="2"/>
  <c r="M64" i="2" s="1"/>
  <c r="P74" i="2"/>
  <c r="L74" i="2"/>
  <c r="N74" i="2" s="1"/>
  <c r="P84" i="2"/>
  <c r="G89" i="2"/>
  <c r="L89" i="2"/>
  <c r="N89" i="2" s="1"/>
  <c r="K97" i="2"/>
  <c r="M97" i="2" s="1"/>
  <c r="G97" i="2"/>
  <c r="P97" i="2"/>
  <c r="P100" i="2"/>
  <c r="L100" i="2"/>
  <c r="N100" i="2" s="1"/>
  <c r="K100" i="2"/>
  <c r="M100" i="2" s="1"/>
  <c r="G100" i="2"/>
  <c r="L87" i="2"/>
  <c r="N87" i="2" s="1"/>
  <c r="L90" i="2"/>
  <c r="N90" i="2" s="1"/>
  <c r="K90" i="2"/>
  <c r="M90" i="2" s="1"/>
  <c r="P92" i="2"/>
  <c r="M93" i="2"/>
  <c r="K94" i="2"/>
  <c r="M94" i="2" s="1"/>
  <c r="I96" i="2"/>
  <c r="P98" i="2"/>
  <c r="L98" i="2"/>
  <c r="N98" i="2" s="1"/>
  <c r="I99" i="2"/>
  <c r="H99" i="2"/>
  <c r="G77" i="2"/>
  <c r="L77" i="2"/>
  <c r="N77" i="2" s="1"/>
  <c r="K85" i="2"/>
  <c r="M85" i="2" s="1"/>
  <c r="O85" i="2" s="1"/>
  <c r="G85" i="2"/>
  <c r="P85" i="2"/>
  <c r="P33" i="2"/>
  <c r="P38" i="2"/>
  <c r="K41" i="2"/>
  <c r="M41" i="2" s="1"/>
  <c r="P48" i="2"/>
  <c r="K74" i="2"/>
  <c r="M74" i="2" s="1"/>
  <c r="L81" i="2"/>
  <c r="N81" i="2" s="1"/>
  <c r="G84" i="2"/>
  <c r="L88" i="2"/>
  <c r="N88" i="2" s="1"/>
  <c r="H98" i="2"/>
  <c r="H100" i="2"/>
  <c r="O6" i="2" l="1"/>
  <c r="O94" i="2"/>
  <c r="O98" i="2"/>
  <c r="O5" i="2"/>
  <c r="O31" i="2"/>
  <c r="O43" i="2"/>
  <c r="O69" i="2"/>
  <c r="O71" i="2"/>
  <c r="O83" i="2"/>
  <c r="O61" i="2"/>
  <c r="O32" i="2"/>
  <c r="O77" i="2"/>
  <c r="O64" i="2"/>
  <c r="O65" i="2"/>
  <c r="O80" i="2"/>
  <c r="O100" i="2"/>
  <c r="O79" i="2"/>
  <c r="O41" i="2"/>
  <c r="O39" i="2"/>
  <c r="O2" i="2"/>
  <c r="O53" i="2"/>
  <c r="O55" i="2"/>
  <c r="O93" i="2"/>
  <c r="O88" i="2"/>
  <c r="O20" i="2"/>
  <c r="O35" i="2"/>
  <c r="O17" i="2"/>
  <c r="O95" i="2"/>
  <c r="O38" i="2"/>
  <c r="O29" i="2"/>
  <c r="O67" i="2"/>
  <c r="O72" i="2"/>
  <c r="O82" i="2"/>
  <c r="O91" i="2"/>
  <c r="O58" i="2"/>
  <c r="O59" i="2"/>
  <c r="O49" i="2"/>
  <c r="O44" i="2"/>
  <c r="O27" i="2"/>
  <c r="O33" i="2"/>
  <c r="O21" i="2"/>
  <c r="O81" i="2"/>
  <c r="O56" i="2"/>
  <c r="O26" i="2"/>
  <c r="O92" i="2"/>
  <c r="O97" i="2"/>
  <c r="O73" i="2"/>
  <c r="O13" i="2"/>
  <c r="O19" i="2"/>
  <c r="O86" i="2"/>
  <c r="O37" i="2"/>
  <c r="O16" i="2"/>
  <c r="O3" i="2"/>
  <c r="O50" i="2"/>
  <c r="O78" i="2"/>
  <c r="O51" i="2"/>
  <c r="O89" i="2"/>
  <c r="O48" i="2"/>
  <c r="O68" i="2"/>
  <c r="O12" i="2"/>
  <c r="O36" i="2"/>
  <c r="O62" i="2"/>
  <c r="O4" i="2"/>
  <c r="O75" i="2"/>
  <c r="O11" i="2"/>
  <c r="O22" i="2"/>
  <c r="O74" i="2"/>
  <c r="O15" i="2"/>
  <c r="O57" i="2"/>
  <c r="O7" i="2"/>
  <c r="O42" i="2"/>
  <c r="O47" i="2"/>
  <c r="O70" i="2"/>
  <c r="O30" i="2"/>
  <c r="O66" i="2"/>
  <c r="O84" i="2"/>
  <c r="O24" i="2"/>
  <c r="O99" i="2"/>
  <c r="O76" i="2"/>
  <c r="O14" i="2"/>
  <c r="O23" i="2"/>
  <c r="O60" i="2"/>
  <c r="O90" i="2"/>
  <c r="O45" i="2"/>
  <c r="O54" i="2"/>
  <c r="O25" i="2"/>
  <c r="O10" i="2"/>
  <c r="O34" i="2"/>
  <c r="O40" i="2"/>
  <c r="O87" i="2"/>
  <c r="O46" i="2"/>
  <c r="O18" i="2"/>
  <c r="O63" i="2"/>
  <c r="O96" i="2"/>
  <c r="O9" i="2"/>
  <c r="O8" i="2"/>
  <c r="O28"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<sst xmlns="http://schemas.openxmlformats.org/spreadsheetml/2006/main" count="609" uniqueCount="267">
  <si>
    <t>Product ID</t>
  </si>
  <si>
    <t>Product Name</t>
  </si>
  <si>
    <t>Category</t>
  </si>
  <si>
    <t>Price</t>
  </si>
  <si>
    <t>Cost</t>
  </si>
  <si>
    <t>P001</t>
  </si>
  <si>
    <t>Laptop</t>
  </si>
  <si>
    <t>P002</t>
  </si>
  <si>
    <t>Accessories</t>
  </si>
  <si>
    <t>P003</t>
  </si>
  <si>
    <t>Mechanical Keyboard</t>
  </si>
  <si>
    <t>P004</t>
  </si>
  <si>
    <t>Monitor</t>
  </si>
  <si>
    <t>P005</t>
  </si>
  <si>
    <t>Storage</t>
  </si>
  <si>
    <t>Sales ID</t>
  </si>
  <si>
    <t>Region</t>
  </si>
  <si>
    <t>S001</t>
  </si>
  <si>
    <t>Jakarta</t>
  </si>
  <si>
    <t>S002</t>
  </si>
  <si>
    <t>Bandung</t>
  </si>
  <si>
    <t>S003</t>
  </si>
  <si>
    <t>Surabaya</t>
  </si>
  <si>
    <t>S004</t>
  </si>
  <si>
    <t>Medan</t>
  </si>
  <si>
    <t>S005</t>
  </si>
  <si>
    <t>Makassar</t>
  </si>
  <si>
    <t>Customer ID</t>
  </si>
  <si>
    <t>Customer Name</t>
  </si>
  <si>
    <t>City</t>
  </si>
  <si>
    <t>C001</t>
  </si>
  <si>
    <t>PT Maju Jaya</t>
  </si>
  <si>
    <t>C002</t>
  </si>
  <si>
    <t>C003</t>
  </si>
  <si>
    <t>C004</t>
  </si>
  <si>
    <t>C005</t>
  </si>
  <si>
    <t>Order ID</t>
  </si>
  <si>
    <t>Date</t>
  </si>
  <si>
    <t>Qty</t>
  </si>
  <si>
    <t>Revenue</t>
  </si>
  <si>
    <t>Total Cost</t>
  </si>
  <si>
    <t>Profit</t>
  </si>
  <si>
    <t>Sum of Revenue</t>
  </si>
  <si>
    <t>Row Labels</t>
  </si>
  <si>
    <t>Grand Total</t>
  </si>
  <si>
    <t>Sum of Profit</t>
  </si>
  <si>
    <t>Laptop ASUS Vivobook</t>
  </si>
  <si>
    <t>Laptop Lenovo IdeaPad</t>
  </si>
  <si>
    <t>Laptop HP 14</t>
  </si>
  <si>
    <t>Monitor LG 24"</t>
  </si>
  <si>
    <t>Monitor Samsung 27"</t>
  </si>
  <si>
    <t>P006</t>
  </si>
  <si>
    <t>P007</t>
  </si>
  <si>
    <t>Wireless Mouse Logitech</t>
  </si>
  <si>
    <t>P008</t>
  </si>
  <si>
    <t>SSD 1TB Kingston</t>
  </si>
  <si>
    <t>P009</t>
  </si>
  <si>
    <t>SSD 512GB Samsung</t>
  </si>
  <si>
    <t>P010</t>
  </si>
  <si>
    <t>Flashdisk 64GB</t>
  </si>
  <si>
    <t>P011</t>
  </si>
  <si>
    <t>Printer Epson L3250</t>
  </si>
  <si>
    <t>Printer</t>
  </si>
  <si>
    <t>P012</t>
  </si>
  <si>
    <t>Webcam Logitech</t>
  </si>
  <si>
    <t>P013</t>
  </si>
  <si>
    <t>Headset HyperX</t>
  </si>
  <si>
    <t>P014</t>
  </si>
  <si>
    <t>Speaker Logitech</t>
  </si>
  <si>
    <t>Audio</t>
  </si>
  <si>
    <t>P015</t>
  </si>
  <si>
    <t>UPS APC 650VA</t>
  </si>
  <si>
    <t>Power</t>
  </si>
  <si>
    <t>P016</t>
  </si>
  <si>
    <t>Router TP-Link</t>
  </si>
  <si>
    <t>Network</t>
  </si>
  <si>
    <t>P017</t>
  </si>
  <si>
    <t>External HDD 2TB</t>
  </si>
  <si>
    <t>P018</t>
  </si>
  <si>
    <t>RAM DDR4 16GB</t>
  </si>
  <si>
    <t>Components</t>
  </si>
  <si>
    <t>P019</t>
  </si>
  <si>
    <t>HDMI Cable</t>
  </si>
  <si>
    <t>P020</t>
  </si>
  <si>
    <t>USB Hub 4 Port</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</si>
  <si>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</si>
  <si>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</si>
  <si>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</si>
  <si>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</si>
  <si>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</si>
  <si>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</si>
  <si>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</si>
  <si>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</si>
  <si>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</si>
  <si>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</si>
  <si>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</si>
  <si>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</si>
  <si>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</si>
  <si>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</si>
  <si>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</si>
  <si>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</si>
  <si>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</si>
  <si>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</si>
  <si>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</si>
  <si>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</si>
  <si>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</si>
  <si>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</si>
  <si>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</si>
  <si>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</si>
  <si>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</si>
  <si>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</si>
  <si>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</si>
  <si>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</si>
  <si>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</si>
  <si>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</si>
  <si>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</si>
  <si>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</si>
  <si>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</si>
  <si>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</si>
  <si>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</si>
  <si>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</si>
  <si>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</si>
  <si>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</si>
  <si>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</si>
  <si>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</si>
  <si>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P061</t>
  </si>
  <si>
    <t>P062</t>
  </si>
  <si>
    <t>P063</t>
  </si>
  <si>
    <t>P064</t>
  </si>
  <si>
    <t>P065</t>
  </si>
  <si>
    <t>P066</t>
  </si>
  <si>
    <t>P067</t>
  </si>
  <si>
    <t>P068</t>
  </si>
  <si>
    <t>P069</t>
  </si>
  <si>
    <t>P070</t>
  </si>
  <si>
    <t>P071</t>
  </si>
  <si>
    <t>P072</t>
  </si>
  <si>
    <t>P073</t>
  </si>
  <si>
    <t>P074</t>
  </si>
  <si>
    <t>P075</t>
  </si>
  <si>
    <t>P076</t>
  </si>
  <si>
    <t>P077</t>
  </si>
  <si>
    <t>P078</t>
  </si>
  <si>
    <t>P079</t>
  </si>
  <si>
    <t>P080</t>
  </si>
  <si>
    <t>P081</t>
  </si>
  <si>
    <t>P082</t>
  </si>
  <si>
    <t>P083</t>
  </si>
  <si>
    <t>P084</t>
  </si>
  <si>
    <t>P085</t>
  </si>
  <si>
    <t>P086</t>
  </si>
  <si>
    <t>P087</t>
  </si>
  <si>
    <t>P088</t>
  </si>
  <si>
    <t>P089</t>
  </si>
  <si>
    <t>P090</t>
  </si>
  <si>
    <t>P091</t>
  </si>
  <si>
    <t>P092</t>
  </si>
  <si>
    <t>P093</t>
  </si>
  <si>
    <t>P094</t>
  </si>
  <si>
    <t>P095</t>
  </si>
  <si>
    <t>P096</t>
  </si>
  <si>
    <t>P097</t>
  </si>
  <si>
    <t>P098</t>
  </si>
  <si>
    <t>P099</t>
  </si>
  <si>
    <t>P100</t>
  </si>
  <si>
    <t>Laptop HP 15</t>
  </si>
  <si>
    <t>Printer Epson L3251</t>
  </si>
  <si>
    <t>Laptop HP 16</t>
  </si>
  <si>
    <t>Printer Epson L3252</t>
  </si>
  <si>
    <t>Laptop HP 17</t>
  </si>
  <si>
    <t>Printer Epson L3253</t>
  </si>
  <si>
    <t>Laptop HP 18</t>
  </si>
  <si>
    <t>Printer Epson L3254</t>
  </si>
  <si>
    <t>C006</t>
  </si>
  <si>
    <t>C007</t>
  </si>
  <si>
    <t>C008</t>
  </si>
  <si>
    <t>Sales Name</t>
  </si>
  <si>
    <t>Andi Pratama</t>
  </si>
  <si>
    <t>Budi Santoso</t>
  </si>
  <si>
    <t>Citra Lestari</t>
  </si>
  <si>
    <t>Dimas Saputra</t>
  </si>
  <si>
    <t>Eka Putri</t>
  </si>
  <si>
    <t>S006</t>
  </si>
  <si>
    <t>Fajar Nugroho</t>
  </si>
  <si>
    <t>Semarang</t>
  </si>
  <si>
    <t>S007</t>
  </si>
  <si>
    <t>Gita Maharani</t>
  </si>
  <si>
    <t>Yogyakarta</t>
  </si>
  <si>
    <t>S008</t>
  </si>
  <si>
    <t>Hendra Wijaya</t>
  </si>
  <si>
    <t>Bali</t>
  </si>
  <si>
    <t>S009</t>
  </si>
  <si>
    <t>Intan Permata</t>
  </si>
  <si>
    <t>Palembang</t>
  </si>
  <si>
    <t>S010</t>
  </si>
  <si>
    <t>Joko Susilo</t>
  </si>
  <si>
    <t>Bekasi</t>
  </si>
  <si>
    <t>S011</t>
  </si>
  <si>
    <t>Kevin Saputra</t>
  </si>
  <si>
    <t>Tangerang</t>
  </si>
  <si>
    <t>S012</t>
  </si>
  <si>
    <t>Lestari Wulandari</t>
  </si>
  <si>
    <t>Depok</t>
  </si>
  <si>
    <t>S013</t>
  </si>
  <si>
    <t>Muhammad Rizki</t>
  </si>
  <si>
    <t>Bogor</t>
  </si>
  <si>
    <t>S014</t>
  </si>
  <si>
    <t>Nanda Prasetyo</t>
  </si>
  <si>
    <t>Malang</t>
  </si>
  <si>
    <t>S015</t>
  </si>
  <si>
    <t>Olivia Putri</t>
  </si>
  <si>
    <t>Batam</t>
  </si>
  <si>
    <t>S016</t>
  </si>
  <si>
    <t>Putra Ramadhan</t>
  </si>
  <si>
    <t>Pekanbaru</t>
  </si>
  <si>
    <t>S017</t>
  </si>
  <si>
    <t>Qori Amanda</t>
  </si>
  <si>
    <t>Pontianak</t>
  </si>
  <si>
    <t>S018</t>
  </si>
  <si>
    <t>Rian Kurniawan</t>
  </si>
  <si>
    <t>Banjarmasin</t>
  </si>
  <si>
    <t>S019</t>
  </si>
  <si>
    <t>Sinta Maharani</t>
  </si>
  <si>
    <t>Solo</t>
  </si>
  <si>
    <t>S020</t>
  </si>
  <si>
    <t>Teguh Hidayat</t>
  </si>
  <si>
    <t>Cirebon</t>
  </si>
  <si>
    <t>PT Nusantara Abadi</t>
  </si>
  <si>
    <t>CV Sinar Teknologi</t>
  </si>
  <si>
    <t>PT Global Digital</t>
  </si>
  <si>
    <t>PT Berkah Sejahtera</t>
  </si>
  <si>
    <t>CV Maju Bersama</t>
  </si>
  <si>
    <t>PT Mitra Solusi</t>
  </si>
  <si>
    <t>PT Cahaya Abadi</t>
  </si>
  <si>
    <t>C009</t>
  </si>
  <si>
    <t>PT Andalan Prima</t>
  </si>
  <si>
    <t>C010</t>
  </si>
  <si>
    <t>PT Bintang Timur</t>
  </si>
  <si>
    <t>C011</t>
  </si>
  <si>
    <t>CV Karya Mandiri</t>
  </si>
  <si>
    <t>C012</t>
  </si>
  <si>
    <t>PT Sukses Makmur</t>
  </si>
  <si>
    <t>C013</t>
  </si>
  <si>
    <t>PT Prima Teknologi</t>
  </si>
  <si>
    <t>C014</t>
  </si>
  <si>
    <t>CV Nusantara Jaya</t>
  </si>
  <si>
    <t>C015</t>
  </si>
  <si>
    <t>PT Sentosa Abadi</t>
  </si>
  <si>
    <t>C016</t>
  </si>
  <si>
    <t>PT Global Nusantara</t>
  </si>
  <si>
    <t>C017</t>
  </si>
  <si>
    <t>CV Berkah Mandiri</t>
  </si>
  <si>
    <t>C018</t>
  </si>
  <si>
    <t>PT Indo Retail</t>
  </si>
  <si>
    <t>C019</t>
  </si>
  <si>
    <t>PT Harapan Baru</t>
  </si>
  <si>
    <t>C020</t>
  </si>
  <si>
    <t>PT Surya Teknologi</t>
  </si>
  <si>
    <t>Total Revenue per Product</t>
  </si>
  <si>
    <t>Top Sales</t>
  </si>
  <si>
    <t>Penjualan per Kota</t>
  </si>
  <si>
    <t>Profit per Product</t>
  </si>
  <si>
    <t>Qty Terjual</t>
  </si>
  <si>
    <t>Kota</t>
  </si>
  <si>
    <t>Sum of Qty</t>
  </si>
  <si>
    <t>Penjualan Bulanan</t>
  </si>
  <si>
    <t>Count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</si>
</sst>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Rp&quot;#,##0"/>
    <numFmt numFmtId="165" formatCode="yyyy\-mm\-dd;@"/>
  </numFmts>
  <fonts count="3" x14ac:knownFonts="1">
    <font>
      <sz val="11"/>
      <color theme="1"/>
      <name val="Calibri"/>
      <family val="2"/>
      <scheme val="minor"/>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theme="9" tint="0.39997558519241921"/>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2" fontId="0" fillId="0" borderId="0" xfId="0" applyNumberFormat="1" applyAlignment="1">
      <alignment vertical="center" wrapText="1"/>
    </xf>
    <xf numFmtId="0" fontId="0" fillId="0" borderId="0" xfId="0" pivotButton="1"/>
    <xf numFmtId="0" fontId="0" fillId="0" borderId="0" xfId="0" applyAlignment="1">
      <alignment horizontal="left"/>
    </xf>
    <xf numFmtId="2" fontId="0" fillId="0" borderId="0" xfId="0" applyNumberFormat="1"/>
    <xf numFmtId="0" fontId="0" fillId="2" borderId="0" xfId="0" applyFill="1"/>
    <xf numFmtId="0" fontId="1" fillId="0" borderId="0" xfId="0" applyFont="1" applyAlignment="1">
      <alignment horizontal="right" vertical="center" wrapText="1"/>
    </xf>
    <xf numFmtId="1" fontId="0" fillId="0" borderId="0" xfId="0" applyNumberFormat="1" applyAlignment="1">
      <alignment horizontal="right" vertical="center" wrapText="1"/>
    </xf>
    <xf numFmtId="0" fontId="0" fillId="2" borderId="0" xfId="0" applyFill="1" applyAlignment="1">
      <alignment vertical="center" wrapText="1"/>
    </xf>
    <xf numFmtId="164" fontId="0" fillId="0" borderId="0" xfId="0" applyNumberFormat="1"/>
    <xf numFmtId="0" fontId="0" fillId="3" borderId="0" xfId="0" applyFill="1"/>
    <xf numFmtId="165" fontId="0" fillId="0" borderId="0" xfId="0" applyNumberFormat="1"/>
    <xf numFmtId="0" fontId="0" fillId="0" borderId="0" xfId="0" applyNumberFormat="1"/>
    <xf numFmtId="14" fontId="0" fillId="0" borderId="0" xfId="0" applyNumberFormat="1" applyAlignment="1">
      <alignment horizontal="left"/>
    </xf>
    <xf numFmtId="165" fontId="1" fillId="0" borderId="0" xfId="0" applyNumberFormat="1" applyFont="1" applyAlignment="1">
      <alignment horizontal="center" vertical="center" wrapText="1"/>
    </xf>
  </cellXfs>
  <cellStyles count="1">
    <cellStyle name="Normal" xfId="0" builtinId="0"/>
  </cellStyles>
  <dxfs count="45">
    <dxf>
      <numFmt numFmtId="169" formatCode="[$-13809]d\ mmm\ yyyy;@"/>
    </dxf>
    <dxf>
      <numFmt numFmtId="169" formatCode="[$-13809]d\ mmm\ yyyy;@"/>
    </dxf>
    <dxf>
      <numFmt numFmtId="169" formatCode="[$-13809]d\ mmm\ yyyy;@"/>
    </dxf>
    <dxf>
      <numFmt numFmtId="169" formatCode="[$-13809]d\ mmm\ yyyy;@"/>
    </dxf>
    <dxf>
      <numFmt numFmtId="169" formatCode="[$-13809]d\ mmm\ yyyy;@"/>
    </dxf>
    <dxf>
      <numFmt numFmtId="169" formatCode="[$-13809]d\ mmm\ yyyy;@"/>
    </dxf>
    <dxf>
      <numFmt numFmtId="169" formatCode="[$-13809]d\ mmm\ yyyy;@"/>
    </dxf>
    <dxf>
      <numFmt numFmtId="169" formatCode="[$-13809]d\ mmm\ yyyy;@"/>
    </dxf>
    <dxf>
      <numFmt numFmtId="169" formatCode="[$-13809]d\ mmm\ yyyy;@"/>
    </dxf>
    <dxf>
      <numFmt numFmtId="169" formatCode="[$-13809]d\ mmm\ yyyy;@"/>
    </dxf>
    <dxf>
      <numFmt numFmtId="169" formatCode="[$-13809]d\ mmm\ yyyy;@"/>
    </dxf>
    <dxf>
      <numFmt numFmtId="165" formatCode="yyyy\-mm\-dd;@"/>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1" formatCode="0"/>
      <alignment horizontal="right" vertical="center" textRotation="0" wrapText="1" indent="0" justifyLastLine="0" shrinkToFit="0" readingOrder="0"/>
    </dxf>
    <dxf>
      <numFmt numFmtId="1" formatCode="0"/>
      <alignment horizontal="righ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alignment horizontal="general" vertical="center" textRotation="0" wrapText="1" indent="0" justifyLastLine="0" shrinkToFit="0" readingOrder="0"/>
    </dxf>
    <dxf>
      <numFmt numFmtId="2" formatCode="0.00"/>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409A4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[Sales_Analytics_Dashboard.xlsx]Pivot!PivotTable6</c:name>
    <c:fmtId val="25"/>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Pivot!$Q$2</c:f>
              <c:strCache>
                <c:ptCount val="1"/>
                <c:pt idx="0">
                  <c:v>Total</c:v>
                </c:pt>
              </c:strCache>
            </c:strRef>
          </c:tx>
          <c:spPr>
            <a:ln w="28575" cap="rnd">
              <a:solidFill>
                <a:schemeClr val="accent1"/>
              </a:solidFill>
              <a:round/>
            </a:ln>
            <a:effectLst/>
          </c:spPr>
          <c:marker>
            <c:symbol val="none"/>
          </c:marker>
          <c:cat>
            <c:strRef>
              <c:f>Pivot!$P$3</c:f>
              <c:strCache>
                <c:ptCount val="1"/>
                <c:pt idx="0">
                  <c:v>Grand Total</c:v>
                </c:pt>
              </c:strCache>
            </c:strRef>
          </c:cat>
          <c:val>
            <c:numRef>
              <c:f>Pivot!$Q$3</c:f>
              <c:numCache>
                <c:formatCode>General</c:formatCode>
                <c:ptCount val="1"/>
              </c:numCache>
            </c:numRef>
          </c:val>
          <c:smooth val="0"/>
          <c:extLst>
            <c:ext xmlns:c16="http://schemas.microsoft.com/office/drawing/2014/chart" uri="{C3380CC4-5D6E-409C-BE32-E72D297353CC}">
              <c16:uniqueId val="{00000000-C3F1-4517-869E-ADDEA4B0C36A}"/>
            </c:ext>
          </c:extLst>
        </c:ser>
        <c:dLbls>
          <c:showLegendKey val="0"/>
          <c:showVal val="0"/>
          <c:showCatName val="0"/>
          <c:showSerName val="0"/>
          <c:showPercent val="0"/>
          <c:showBubbleSize val="0"/>
        </c:dLbls>
        <c:smooth val="0"/>
        <c:axId val="489948224"/>
        <c:axId val="29483248"/>
      </c:lineChart>
      <c:catAx>
        <c:axId val="48994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83248"/>
        <c:crosses val="autoZero"/>
        <c:auto val="1"/>
        <c:lblAlgn val="ctr"/>
        <c:lblOffset val="100"/>
        <c:noMultiLvlLbl val="0"/>
      </c:catAx>
      <c:valAx>
        <c:axId val="294832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48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Pivot!$E$2</c:f>
              <c:strCache>
                <c:ptCount val="1"/>
                <c:pt idx="0">
                  <c:v>Total</c:v>
                </c:pt>
              </c:strCache>
            </c:strRef>
          </c:tx>
          <c:spPr>
            <a:solidFill>
              <a:schemeClr val="accent1"/>
            </a:solidFill>
            <a:ln>
              <a:noFill/>
            </a:ln>
            <a:effectLst/>
          </c:spPr>
          <c:invertIfNegative val="0"/>
          <c:cat>
            <c:strRef>
              <c:f>Pivot!$D$3:$D$13</c:f>
              <c:strCache>
                <c:ptCount val="10"/>
                <c:pt idx="0">
                  <c:v>Citra Lestari</c:v>
                </c:pt>
                <c:pt idx="1">
                  <c:v>Eka Putri</c:v>
                </c:pt>
                <c:pt idx="2">
                  <c:v>Joko Susilo</c:v>
                </c:pt>
                <c:pt idx="3">
                  <c:v>Muhammad Rizki</c:v>
                </c:pt>
                <c:pt idx="4">
                  <c:v>Olivia Putri</c:v>
                </c:pt>
                <c:pt idx="5">
                  <c:v>Putra Ramadhan</c:v>
                </c:pt>
                <c:pt idx="6">
                  <c:v>Qori Amanda</c:v>
                </c:pt>
                <c:pt idx="7">
                  <c:v>Rian Kurniawan</c:v>
                </c:pt>
                <c:pt idx="8">
                  <c:v>Sinta Maharani</c:v>
                </c:pt>
                <c:pt idx="9">
                  <c:v>Teguh Hidayat</c:v>
                </c:pt>
              </c:strCache>
            </c:strRef>
          </c:cat>
          <c:val>
            <c:numRef>
              <c:f>Pivot!$E$3:$E$13</c:f>
              <c:numCache>
                <c:formatCode>General</c:formatCode>
                <c:ptCount val="10"/>
                <c:pt idx="0">
                  <c:v>80120000</c:v>
                </c:pt>
                <c:pt idx="1">
                  <c:v>60560000</c:v>
                </c:pt>
                <c:pt idx="2">
                  <c:v>101500000</c:v>
                </c:pt>
                <c:pt idx="3">
                  <c:v>105160000</c:v>
                </c:pt>
                <c:pt idx="4">
                  <c:v>58850000</c:v>
                </c:pt>
                <c:pt idx="5">
                  <c:v>171000000</c:v>
                </c:pt>
                <c:pt idx="6">
                  <c:v>44660000</c:v>
                </c:pt>
                <c:pt idx="7">
                  <c:v>141330000</c:v>
                </c:pt>
                <c:pt idx="8">
                  <c:v>85650000</c:v>
                </c:pt>
                <c:pt idx="9">
                  <c:v>102080000</c:v>
                </c:pt>
              </c:numCache>
            </c:numRef>
          </c:val>
          <c:extLst>
            <c:ext xmlns:c16="http://schemas.microsoft.com/office/drawing/2014/chart" uri="{C3380CC4-5D6E-409C-BE32-E72D297353CC}">
              <c16:uniqueId val="{00000000-E660-4D95-9CF0-6116FCFCE717}"/>
            </c:ext>
          </c:extLst>
        </c:ser>
        <c:dLbls>
          <c:showLegendKey val="0"/>
          <c:showVal val="0"/>
          <c:showCatName val="0"/>
          <c:showSerName val="0"/>
          <c:showPercent val="0"/>
          <c:showBubbleSize val="0"/>
        </c:dLbls>
        <c:gapWidth val="182"/>
        <c:axId val="489957040"/>
        <c:axId val="1927758032"/>
      </c:barChart>
      <c:catAx>
        <c:axId val="48995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758032"/>
        <c:crosses val="autoZero"/>
        <c:auto val="1"/>
        <c:lblAlgn val="ctr"/>
        <c:lblOffset val="100"/>
        <c:noMultiLvlLbl val="0"/>
      </c:catAx>
      <c:valAx>
        <c:axId val="19277580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5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[Sales_Analytics_Dashboard.xlsx]Pivot!PivotTable5</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15048118985127"/>
          <c:y val="5.0925925925925923E-2"/>
          <c:w val="0.79529396325459323"/>
          <c:h val="0.4926447214931467"/>
        </c:manualLayout>
      </c:layout>
      <c:barChart>
        <c:barDir val="col"/>
        <c:grouping val="stacked"/>
        <c:varyColors val="0"/>
        <c:ser>
          <c:idx val="0"/>
          <c:order val="0"/>
          <c:tx>
            <c:strRef>
              <c:f>Pivot!$N$2</c:f>
              <c:strCache>
                <c:ptCount val="1"/>
                <c:pt idx="0">
                  <c:v>Total</c:v>
                </c:pt>
              </c:strCache>
            </c:strRef>
          </c:tx>
          <c:spPr>
            <a:solidFill>
              <a:schemeClr val="accent1"/>
            </a:solidFill>
            <a:ln>
              <a:noFill/>
            </a:ln>
            <a:effectLst/>
          </c:spPr>
          <c:invertIfNegative val="0"/>
          <c:cat>
            <c:strRef>
              <c:f>Pivot!$M$3:$M$30</c:f>
              <c:strCache>
                <c:ptCount val="27"/>
                <c:pt idx="0">
                  <c:v>External HDD 2TB</c:v>
                </c:pt>
                <c:pt idx="1">
                  <c:v>Flashdisk 64GB</c:v>
                </c:pt>
                <c:pt idx="2">
                  <c:v>HDMI Cable</c:v>
                </c:pt>
                <c:pt idx="3">
                  <c:v>Headset HyperX</c:v>
                </c:pt>
                <c:pt idx="4">
                  <c:v>Laptop ASUS Vivobook</c:v>
                </c:pt>
                <c:pt idx="5">
                  <c:v>Laptop HP 14</c:v>
                </c:pt>
                <c:pt idx="6">
                  <c:v>Laptop HP 15</c:v>
                </c:pt>
                <c:pt idx="7">
                  <c:v>Laptop HP 16</c:v>
                </c:pt>
                <c:pt idx="8">
                  <c:v>Laptop HP 17</c:v>
                </c:pt>
                <c:pt idx="9">
                  <c:v>Laptop HP 18</c:v>
                </c:pt>
                <c:pt idx="10">
                  <c:v>Laptop Lenovo IdeaPad</c:v>
                </c:pt>
                <c:pt idx="11">
                  <c:v>Mechanical Keyboard</c:v>
                </c:pt>
                <c:pt idx="12">
                  <c:v>Monitor LG 24"</c:v>
                </c:pt>
                <c:pt idx="13">
                  <c:v>Monitor Samsung 27"</c:v>
                </c:pt>
                <c:pt idx="14">
                  <c:v>Printer Epson L3252</c:v>
                </c:pt>
                <c:pt idx="15">
                  <c:v>Printer Epson L3254</c:v>
                </c:pt>
                <c:pt idx="16">
                  <c:v>RAM DDR4 16GB</c:v>
                </c:pt>
                <c:pt idx="17">
                  <c:v>Router TP-Link</c:v>
                </c:pt>
                <c:pt idx="18">
                  <c:v>Speaker Logitech</c:v>
                </c:pt>
                <c:pt idx="19">
                  <c:v>SSD 1TB Kingston</c:v>
                </c:pt>
                <c:pt idx="20">
                  <c:v>SSD 512GB Samsung</c:v>
                </c:pt>
                <c:pt idx="21">
                  <c:v>UPS APC 650VA</c:v>
                </c:pt>
                <c:pt idx="22">
                  <c:v>USB Hub 4 Port</c:v>
                </c:pt>
                <c:pt idx="23">
                  <c:v>Webcam Logitech</c:v>
                </c:pt>
                <c:pt idx="24">
                  <c:v>Wireless Mouse Logitech</c:v>
                </c:pt>
                <c:pt idx="25">
                  <c:v>Printer Epson L3250</c:v>
                </c:pt>
                <c:pt idx="26">
                  <c:v>Printer Epson L3251</c:v>
                </c:pt>
              </c:strCache>
            </c:strRef>
          </c:cat>
          <c:val>
            <c:numRef>
              <c:f>Pivot!$N$3:$N$30</c:f>
              <c:numCache>
                <c:formatCode>0.00</c:formatCode>
                <c:ptCount val="27"/>
                <c:pt idx="0">
                  <c:v>2100000</c:v>
                </c:pt>
                <c:pt idx="1">
                  <c:v>1280000</c:v>
                </c:pt>
                <c:pt idx="2">
                  <c:v>2280000</c:v>
                </c:pt>
                <c:pt idx="3">
                  <c:v>4600000</c:v>
                </c:pt>
                <c:pt idx="4">
                  <c:v>57200000</c:v>
                </c:pt>
                <c:pt idx="5">
                  <c:v>14300000</c:v>
                </c:pt>
                <c:pt idx="6">
                  <c:v>3900000</c:v>
                </c:pt>
                <c:pt idx="7">
                  <c:v>18200000</c:v>
                </c:pt>
                <c:pt idx="8">
                  <c:v>6500000</c:v>
                </c:pt>
                <c:pt idx="9">
                  <c:v>6500000</c:v>
                </c:pt>
                <c:pt idx="10">
                  <c:v>19500000</c:v>
                </c:pt>
                <c:pt idx="11">
                  <c:v>5060000</c:v>
                </c:pt>
                <c:pt idx="12">
                  <c:v>8000000</c:v>
                </c:pt>
                <c:pt idx="13">
                  <c:v>16200000</c:v>
                </c:pt>
                <c:pt idx="14">
                  <c:v>1000000</c:v>
                </c:pt>
                <c:pt idx="15">
                  <c:v>4500000</c:v>
                </c:pt>
                <c:pt idx="16">
                  <c:v>1000000</c:v>
                </c:pt>
                <c:pt idx="17">
                  <c:v>4000000</c:v>
                </c:pt>
                <c:pt idx="18">
                  <c:v>2470000</c:v>
                </c:pt>
                <c:pt idx="19">
                  <c:v>2700000</c:v>
                </c:pt>
                <c:pt idx="20">
                  <c:v>3060000</c:v>
                </c:pt>
                <c:pt idx="21">
                  <c:v>3040000</c:v>
                </c:pt>
                <c:pt idx="22">
                  <c:v>1260000</c:v>
                </c:pt>
                <c:pt idx="23">
                  <c:v>5280000</c:v>
                </c:pt>
                <c:pt idx="24">
                  <c:v>3100000</c:v>
                </c:pt>
                <c:pt idx="25">
                  <c:v>9000000</c:v>
                </c:pt>
                <c:pt idx="26">
                  <c:v>3500000</c:v>
                </c:pt>
              </c:numCache>
            </c:numRef>
          </c:val>
          <c:extLst>
            <c:ext xmlns:c16="http://schemas.microsoft.com/office/drawing/2014/chart" uri="{C3380CC4-5D6E-409C-BE32-E72D297353CC}">
              <c16:uniqueId val="{00000000-7457-4C31-B966-C85253963B0A}"/>
            </c:ext>
          </c:extLst>
        </c:ser>
        <c:dLbls>
          <c:showLegendKey val="0"/>
          <c:showVal val="0"/>
          <c:showCatName val="0"/>
          <c:showSerName val="0"/>
          <c:showPercent val="0"/>
          <c:showBubbleSize val="0"/>
        </c:dLbls>
        <c:gapWidth val="150"/>
        <c:overlap val="100"/>
        <c:axId val="489907856"/>
        <c:axId val="1927772912"/>
      </c:barChart>
      <c:catAx>
        <c:axId val="48990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772912"/>
        <c:crosses val="autoZero"/>
        <c:auto val="1"/>
        <c:lblAlgn val="ctr"/>
        <c:lblOffset val="100"/>
        <c:noMultiLvlLbl val="0"/>
      </c:catAx>
      <c:valAx>
        <c:axId val="192777291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07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[Sales_Analytics_Dashboard.xlsx]Pivot!PivotTable3</c:name>
    <c:fmtId val="3"/>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Pivot!$H$2</c:f>
              <c:strCache>
                <c:ptCount val="1"/>
                <c:pt idx="0">
                  <c:v>Total</c:v>
                </c:pt>
              </c:strCache>
            </c:strRef>
          </c:tx>
          <c:spPr>
            <a:solidFill>
              <a:schemeClr val="accent1"/>
            </a:solidFill>
            <a:ln>
              <a:noFill/>
            </a:ln>
            <a:effectLst/>
            <a:sp3d/>
          </c:spPr>
          <c:invertIfNegative val="0"/>
          <c:cat>
            <c:strRef>
              <c:f>Pivot!$G$3:$G$23</c:f>
              <c:strCache>
                <c:ptCount val="20"/>
                <c:pt idx="0">
                  <c:v>Bali</c:v>
                </c:pt>
                <c:pt idx="1">
                  <c:v>Bandung</c:v>
                </c:pt>
                <c:pt idx="2">
                  <c:v>Banjarmasin</c:v>
                </c:pt>
                <c:pt idx="3">
                  <c:v>Batam</c:v>
                </c:pt>
                <c:pt idx="4">
                  <c:v>Bekasi</c:v>
                </c:pt>
                <c:pt idx="5">
                  <c:v>Bogor</c:v>
                </c:pt>
                <c:pt idx="6">
                  <c:v>Cirebon</c:v>
                </c:pt>
                <c:pt idx="7">
                  <c:v>Depok</c:v>
                </c:pt>
                <c:pt idx="8">
                  <c:v>Jakarta</c:v>
                </c:pt>
                <c:pt idx="9">
                  <c:v>Makassar</c:v>
                </c:pt>
                <c:pt idx="10">
                  <c:v>Malang</c:v>
                </c:pt>
                <c:pt idx="11">
                  <c:v>Medan</c:v>
                </c:pt>
                <c:pt idx="12">
                  <c:v>Palembang</c:v>
                </c:pt>
                <c:pt idx="13">
                  <c:v>Pekanbaru</c:v>
                </c:pt>
                <c:pt idx="14">
                  <c:v>Pontianak</c:v>
                </c:pt>
                <c:pt idx="15">
                  <c:v>Semarang</c:v>
                </c:pt>
                <c:pt idx="16">
                  <c:v>Solo</c:v>
                </c:pt>
                <c:pt idx="17">
                  <c:v>Surabaya</c:v>
                </c:pt>
                <c:pt idx="18">
                  <c:v>Tangerang</c:v>
                </c:pt>
                <c:pt idx="19">
                  <c:v>Yogyakarta</c:v>
                </c:pt>
              </c:strCache>
            </c:strRef>
          </c:cat>
          <c:val>
            <c:numRef>
              <c:f>Pivot!$H$3:$H$23</c:f>
              <c:numCache>
                <c:formatCode>General</c:formatCode>
                <c:ptCount val="20"/>
                <c:pt idx="0">
                  <c:v>25780000</c:v>
                </c:pt>
                <c:pt idx="1">
                  <c:v>40050000</c:v>
                </c:pt>
                <c:pt idx="2">
                  <c:v>141330000</c:v>
                </c:pt>
                <c:pt idx="3">
                  <c:v>58850000</c:v>
                </c:pt>
                <c:pt idx="4">
                  <c:v>101500000</c:v>
                </c:pt>
                <c:pt idx="5">
                  <c:v>105160000</c:v>
                </c:pt>
                <c:pt idx="6">
                  <c:v>102080000</c:v>
                </c:pt>
                <c:pt idx="7">
                  <c:v>14690000</c:v>
                </c:pt>
                <c:pt idx="8">
                  <c:v>9700000</c:v>
                </c:pt>
                <c:pt idx="9">
                  <c:v>60560000</c:v>
                </c:pt>
                <c:pt idx="10">
                  <c:v>28730000</c:v>
                </c:pt>
                <c:pt idx="11">
                  <c:v>24080000</c:v>
                </c:pt>
                <c:pt idx="12">
                  <c:v>36080000</c:v>
                </c:pt>
                <c:pt idx="13">
                  <c:v>171000000</c:v>
                </c:pt>
                <c:pt idx="14">
                  <c:v>44660000</c:v>
                </c:pt>
                <c:pt idx="15">
                  <c:v>24520000</c:v>
                </c:pt>
                <c:pt idx="16">
                  <c:v>85650000</c:v>
                </c:pt>
                <c:pt idx="17">
                  <c:v>80120000</c:v>
                </c:pt>
                <c:pt idx="18">
                  <c:v>35500000</c:v>
                </c:pt>
                <c:pt idx="19">
                  <c:v>15930000</c:v>
                </c:pt>
              </c:numCache>
            </c:numRef>
          </c:val>
          <c:extLst>
            <c:ext xmlns:c16="http://schemas.microsoft.com/office/drawing/2014/chart" uri="{C3380CC4-5D6E-409C-BE32-E72D297353CC}">
              <c16:uniqueId val="{00000000-B8A4-41D0-A32F-78043F881123}"/>
            </c:ext>
          </c:extLst>
        </c:ser>
        <c:dLbls>
          <c:showLegendKey val="0"/>
          <c:showVal val="0"/>
          <c:showCatName val="0"/>
          <c:showSerName val="0"/>
          <c:showPercent val="0"/>
          <c:showBubbleSize val="0"/>
        </c:dLbls>
        <c:gapWidth val="150"/>
        <c:shape val="box"/>
        <c:axId val="489972352"/>
        <c:axId val="1927758512"/>
        <c:axId val="0"/>
      </c:bar3DChart>
      <c:catAx>
        <c:axId val="4899723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758512"/>
        <c:crosses val="autoZero"/>
        <c:auto val="1"/>
        <c:lblAlgn val="ctr"/>
        <c:lblOffset val="100"/>
        <c:noMultiLvlLbl val="0"/>
      </c:catAx>
      <c:valAx>
        <c:axId val="19277585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72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[Sales_Analytics_Dashboard.xlsx]Pivot!PivotTable6</c:name>
    <c:fmtId val="2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Pivot!$Q$2</c:f>
              <c:strCache>
                <c:ptCount val="1"/>
                <c:pt idx="0">
                  <c:v>Total</c:v>
                </c:pt>
              </c:strCache>
            </c:strRef>
          </c:tx>
          <c:spPr>
            <a:ln w="28575" cap="rnd">
              <a:solidFill>
                <a:schemeClr val="accent1"/>
              </a:solidFill>
              <a:round/>
            </a:ln>
            <a:effectLst/>
          </c:spPr>
          <c:marker>
            <c:symbol val="none"/>
          </c:marker>
          <c:cat>
            <c:strRef>
              <c:f>Pivot!$P$3</c:f>
              <c:strCache>
                <c:ptCount val="1"/>
                <c:pt idx="0">
                  <c:v>Grand Total</c:v>
                </c:pt>
              </c:strCache>
            </c:strRef>
          </c:cat>
          <c:val>
            <c:numRef>
              <c:f>Pivot!$Q$3</c:f>
              <c:numCache>
                <c:formatCode>General</c:formatCode>
                <c:ptCount val="1"/>
              </c:numCache>
            </c:numRef>
          </c:val>
          <c:smooth val="0"/>
          <c:extLst>
            <c:ext xmlns:c16="http://schemas.microsoft.com/office/drawing/2014/chart" uri="{C3380CC4-5D6E-409C-BE32-E72D297353CC}">
              <c16:uniqueId val="{00000000-FAF0-420C-95C6-6792EFB92E9B}"/>
            </c:ext>
          </c:extLst>
        </c:ser>
        <c:dLbls>
          <c:showLegendKey val="0"/>
          <c:showVal val="0"/>
          <c:showCatName val="0"/>
          <c:showSerName val="0"/>
          <c:showPercent val="0"/>
          <c:showBubbleSize val="0"/>
        </c:dLbls>
        <c:smooth val="0"/>
        <c:axId val="489948224"/>
        <c:axId val="29483248"/>
      </c:lineChart>
      <c:catAx>
        <c:axId val="48994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83248"/>
        <c:crosses val="autoZero"/>
        <c:auto val="1"/>
        <c:lblAlgn val="ctr"/>
        <c:lblOffset val="100"/>
        <c:noMultiLvlLbl val="0"/>
      </c:catAx>
      <c:valAx>
        <c:axId val="294832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48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[Sales_Analytics_Dashboard.xlsx]Pivot!PivotTable2</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Pivot!$E$2</c:f>
              <c:strCache>
                <c:ptCount val="1"/>
                <c:pt idx="0">
                  <c:v>Total</c:v>
                </c:pt>
              </c:strCache>
            </c:strRef>
          </c:tx>
          <c:spPr>
            <a:solidFill>
              <a:schemeClr val="accent1"/>
            </a:solidFill>
            <a:ln>
              <a:noFill/>
            </a:ln>
            <a:effectLst/>
          </c:spPr>
          <c:invertIfNegative val="0"/>
          <c:cat>
            <c:strRef>
              <c:f>Pivot!$D$3:$D$13</c:f>
              <c:strCache>
                <c:ptCount val="10"/>
                <c:pt idx="0">
                  <c:v>Citra Lestari</c:v>
                </c:pt>
                <c:pt idx="1">
                  <c:v>Eka Putri</c:v>
                </c:pt>
                <c:pt idx="2">
                  <c:v>Joko Susilo</c:v>
                </c:pt>
                <c:pt idx="3">
                  <c:v>Muhammad Rizki</c:v>
                </c:pt>
                <c:pt idx="4">
                  <c:v>Olivia Putri</c:v>
                </c:pt>
                <c:pt idx="5">
                  <c:v>Putra Ramadhan</c:v>
                </c:pt>
                <c:pt idx="6">
                  <c:v>Qori Amanda</c:v>
                </c:pt>
                <c:pt idx="7">
                  <c:v>Rian Kurniawan</c:v>
                </c:pt>
                <c:pt idx="8">
                  <c:v>Sinta Maharani</c:v>
                </c:pt>
                <c:pt idx="9">
                  <c:v>Teguh Hidayat</c:v>
                </c:pt>
              </c:strCache>
            </c:strRef>
          </c:cat>
          <c:val>
            <c:numRef>
              <c:f>Pivot!$E$3:$E$13</c:f>
              <c:numCache>
                <c:formatCode>General</c:formatCode>
                <c:ptCount val="10"/>
                <c:pt idx="0">
                  <c:v>80120000</c:v>
                </c:pt>
                <c:pt idx="1">
                  <c:v>60560000</c:v>
                </c:pt>
                <c:pt idx="2">
                  <c:v>101500000</c:v>
                </c:pt>
                <c:pt idx="3">
                  <c:v>105160000</c:v>
                </c:pt>
                <c:pt idx="4">
                  <c:v>58850000</c:v>
                </c:pt>
                <c:pt idx="5">
                  <c:v>171000000</c:v>
                </c:pt>
                <c:pt idx="6">
                  <c:v>44660000</c:v>
                </c:pt>
                <c:pt idx="7">
                  <c:v>141330000</c:v>
                </c:pt>
                <c:pt idx="8">
                  <c:v>85650000</c:v>
                </c:pt>
                <c:pt idx="9">
                  <c:v>102080000</c:v>
                </c:pt>
              </c:numCache>
            </c:numRef>
          </c:val>
          <c:extLst>
            <c:ext xmlns:c16="http://schemas.microsoft.com/office/drawing/2014/chart" uri="{C3380CC4-5D6E-409C-BE32-E72D297353CC}">
              <c16:uniqueId val="{00000000-5C98-4D8C-88D6-AFB0D40324F3}"/>
            </c:ext>
          </c:extLst>
        </c:ser>
        <c:dLbls>
          <c:showLegendKey val="0"/>
          <c:showVal val="0"/>
          <c:showCatName val="0"/>
          <c:showSerName val="0"/>
          <c:showPercent val="0"/>
          <c:showBubbleSize val="0"/>
        </c:dLbls>
        <c:gapWidth val="182"/>
        <c:axId val="489957040"/>
        <c:axId val="1927758032"/>
      </c:barChart>
      <c:catAx>
        <c:axId val="48995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758032"/>
        <c:crosses val="autoZero"/>
        <c:auto val="1"/>
        <c:lblAlgn val="ctr"/>
        <c:lblOffset val="100"/>
        <c:noMultiLvlLbl val="0"/>
      </c:catAx>
      <c:valAx>
        <c:axId val="19277580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5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[Sales_Analytics_Dashboard.xlsx]Pivot!PivotTable5</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192825896762906"/>
          <c:y val="4.3226855054267731E-2"/>
          <c:w val="0.79529396325459323"/>
          <c:h val="0.4926447214931467"/>
        </c:manualLayout>
      </c:layout>
      <c:barChart>
        <c:barDir val="col"/>
        <c:grouping val="stacked"/>
        <c:varyColors val="0"/>
        <c:ser>
          <c:idx val="0"/>
          <c:order val="0"/>
          <c:tx>
            <c:strRef>
              <c:f>Pivot!$N$2</c:f>
              <c:strCache>
                <c:ptCount val="1"/>
                <c:pt idx="0">
                  <c:v>Total</c:v>
                </c:pt>
              </c:strCache>
            </c:strRef>
          </c:tx>
          <c:spPr>
            <a:solidFill>
              <a:schemeClr val="accent1"/>
            </a:solidFill>
            <a:ln>
              <a:noFill/>
            </a:ln>
            <a:effectLst/>
          </c:spPr>
          <c:invertIfNegative val="0"/>
          <c:cat>
            <c:strRef>
              <c:f>Pivot!$M$3:$M$30</c:f>
              <c:strCache>
                <c:ptCount val="27"/>
                <c:pt idx="0">
                  <c:v>External HDD 2TB</c:v>
                </c:pt>
                <c:pt idx="1">
                  <c:v>Flashdisk 64GB</c:v>
                </c:pt>
                <c:pt idx="2">
                  <c:v>HDMI Cable</c:v>
                </c:pt>
                <c:pt idx="3">
                  <c:v>Headset HyperX</c:v>
                </c:pt>
                <c:pt idx="4">
                  <c:v>Laptop ASUS Vivobook</c:v>
                </c:pt>
                <c:pt idx="5">
                  <c:v>Laptop HP 14</c:v>
                </c:pt>
                <c:pt idx="6">
                  <c:v>Laptop HP 15</c:v>
                </c:pt>
                <c:pt idx="7">
                  <c:v>Laptop HP 16</c:v>
                </c:pt>
                <c:pt idx="8">
                  <c:v>Laptop HP 17</c:v>
                </c:pt>
                <c:pt idx="9">
                  <c:v>Laptop HP 18</c:v>
                </c:pt>
                <c:pt idx="10">
                  <c:v>Laptop Lenovo IdeaPad</c:v>
                </c:pt>
                <c:pt idx="11">
                  <c:v>Mechanical Keyboard</c:v>
                </c:pt>
                <c:pt idx="12">
                  <c:v>Monitor LG 24"</c:v>
                </c:pt>
                <c:pt idx="13">
                  <c:v>Monitor Samsung 27"</c:v>
                </c:pt>
                <c:pt idx="14">
                  <c:v>Printer Epson L3252</c:v>
                </c:pt>
                <c:pt idx="15">
                  <c:v>Printer Epson L3254</c:v>
                </c:pt>
                <c:pt idx="16">
                  <c:v>RAM DDR4 16GB</c:v>
                </c:pt>
                <c:pt idx="17">
                  <c:v>Router TP-Link</c:v>
                </c:pt>
                <c:pt idx="18">
                  <c:v>Speaker Logitech</c:v>
                </c:pt>
                <c:pt idx="19">
                  <c:v>SSD 1TB Kingston</c:v>
                </c:pt>
                <c:pt idx="20">
                  <c:v>SSD 512GB Samsung</c:v>
                </c:pt>
                <c:pt idx="21">
                  <c:v>UPS APC 650VA</c:v>
                </c:pt>
                <c:pt idx="22">
                  <c:v>USB Hub 4 Port</c:v>
                </c:pt>
                <c:pt idx="23">
                  <c:v>Webcam Logitech</c:v>
                </c:pt>
                <c:pt idx="24">
                  <c:v>Wireless Mouse Logitech</c:v>
                </c:pt>
                <c:pt idx="25">
                  <c:v>Printer Epson L3250</c:v>
                </c:pt>
                <c:pt idx="26">
                  <c:v>Printer Epson L3251</c:v>
                </c:pt>
              </c:strCache>
            </c:strRef>
          </c:cat>
          <c:val>
            <c:numRef>
              <c:f>Pivot!$N$3:$N$30</c:f>
              <c:numCache>
                <c:formatCode>0.00</c:formatCode>
                <c:ptCount val="27"/>
                <c:pt idx="0">
                  <c:v>2100000</c:v>
                </c:pt>
                <c:pt idx="1">
                  <c:v>1280000</c:v>
                </c:pt>
                <c:pt idx="2">
                  <c:v>2280000</c:v>
                </c:pt>
                <c:pt idx="3">
                  <c:v>4600000</c:v>
                </c:pt>
                <c:pt idx="4">
                  <c:v>57200000</c:v>
                </c:pt>
                <c:pt idx="5">
                  <c:v>14300000</c:v>
                </c:pt>
                <c:pt idx="6">
                  <c:v>3900000</c:v>
                </c:pt>
                <c:pt idx="7">
                  <c:v>18200000</c:v>
                </c:pt>
                <c:pt idx="8">
                  <c:v>6500000</c:v>
                </c:pt>
                <c:pt idx="9">
                  <c:v>6500000</c:v>
                </c:pt>
                <c:pt idx="10">
                  <c:v>19500000</c:v>
                </c:pt>
                <c:pt idx="11">
                  <c:v>5060000</c:v>
                </c:pt>
                <c:pt idx="12">
                  <c:v>8000000</c:v>
                </c:pt>
                <c:pt idx="13">
                  <c:v>16200000</c:v>
                </c:pt>
                <c:pt idx="14">
                  <c:v>1000000</c:v>
                </c:pt>
                <c:pt idx="15">
                  <c:v>4500000</c:v>
                </c:pt>
                <c:pt idx="16">
                  <c:v>1000000</c:v>
                </c:pt>
                <c:pt idx="17">
                  <c:v>4000000</c:v>
                </c:pt>
                <c:pt idx="18">
                  <c:v>2470000</c:v>
                </c:pt>
                <c:pt idx="19">
                  <c:v>2700000</c:v>
                </c:pt>
                <c:pt idx="20">
                  <c:v>3060000</c:v>
                </c:pt>
                <c:pt idx="21">
                  <c:v>3040000</c:v>
                </c:pt>
                <c:pt idx="22">
                  <c:v>1260000</c:v>
                </c:pt>
                <c:pt idx="23">
                  <c:v>5280000</c:v>
                </c:pt>
                <c:pt idx="24">
                  <c:v>3100000</c:v>
                </c:pt>
                <c:pt idx="25">
                  <c:v>9000000</c:v>
                </c:pt>
                <c:pt idx="26">
                  <c:v>3500000</c:v>
                </c:pt>
              </c:numCache>
            </c:numRef>
          </c:val>
          <c:extLst>
            <c:ext xmlns:c16="http://schemas.microsoft.com/office/drawing/2014/chart" uri="{C3380CC4-5D6E-409C-BE32-E72D297353CC}">
              <c16:uniqueId val="{00000000-FC71-4A74-9684-6DA6BDFAA702}"/>
            </c:ext>
          </c:extLst>
        </c:ser>
        <c:dLbls>
          <c:showLegendKey val="0"/>
          <c:showVal val="0"/>
          <c:showCatName val="0"/>
          <c:showSerName val="0"/>
          <c:showPercent val="0"/>
          <c:showBubbleSize val="0"/>
        </c:dLbls>
        <c:gapWidth val="150"/>
        <c:overlap val="100"/>
        <c:axId val="489907856"/>
        <c:axId val="1927772912"/>
      </c:barChart>
      <c:catAx>
        <c:axId val="48990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772912"/>
        <c:crosses val="autoZero"/>
        <c:auto val="1"/>
        <c:lblAlgn val="ctr"/>
        <c:lblOffset val="100"/>
        <c:noMultiLvlLbl val="0"/>
      </c:catAx>
      <c:valAx>
        <c:axId val="192777291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07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[Sales_Analytics_Dashboard.xlsx]Pivot!PivotTable3</c:name>
    <c:fmtId val="0"/>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Pivot!$H$2</c:f>
              <c:strCache>
                <c:ptCount val="1"/>
                <c:pt idx="0">
                  <c:v>Total</c:v>
                </c:pt>
              </c:strCache>
            </c:strRef>
          </c:tx>
          <c:spPr>
            <a:solidFill>
              <a:schemeClr val="accent1"/>
            </a:solidFill>
            <a:ln>
              <a:noFill/>
            </a:ln>
            <a:effectLst/>
            <a:sp3d/>
          </c:spPr>
          <c:invertIfNegative val="0"/>
          <c:cat>
            <c:strRef>
              <c:f>Pivot!$G$3:$G$23</c:f>
              <c:strCache>
                <c:ptCount val="20"/>
                <c:pt idx="0">
                  <c:v>Bali</c:v>
                </c:pt>
                <c:pt idx="1">
                  <c:v>Bandung</c:v>
                </c:pt>
                <c:pt idx="2">
                  <c:v>Banjarmasin</c:v>
                </c:pt>
                <c:pt idx="3">
                  <c:v>Batam</c:v>
                </c:pt>
                <c:pt idx="4">
                  <c:v>Bekasi</c:v>
                </c:pt>
                <c:pt idx="5">
                  <c:v>Bogor</c:v>
                </c:pt>
                <c:pt idx="6">
                  <c:v>Cirebon</c:v>
                </c:pt>
                <c:pt idx="7">
                  <c:v>Depok</c:v>
                </c:pt>
                <c:pt idx="8">
                  <c:v>Jakarta</c:v>
                </c:pt>
                <c:pt idx="9">
                  <c:v>Makassar</c:v>
                </c:pt>
                <c:pt idx="10">
                  <c:v>Malang</c:v>
                </c:pt>
                <c:pt idx="11">
                  <c:v>Medan</c:v>
                </c:pt>
                <c:pt idx="12">
                  <c:v>Palembang</c:v>
                </c:pt>
                <c:pt idx="13">
                  <c:v>Pekanbaru</c:v>
                </c:pt>
                <c:pt idx="14">
                  <c:v>Pontianak</c:v>
                </c:pt>
                <c:pt idx="15">
                  <c:v>Semarang</c:v>
                </c:pt>
                <c:pt idx="16">
                  <c:v>Solo</c:v>
                </c:pt>
                <c:pt idx="17">
                  <c:v>Surabaya</c:v>
                </c:pt>
                <c:pt idx="18">
                  <c:v>Tangerang</c:v>
                </c:pt>
                <c:pt idx="19">
                  <c:v>Yogyakarta</c:v>
                </c:pt>
              </c:strCache>
            </c:strRef>
          </c:cat>
          <c:val>
            <c:numRef>
              <c:f>Pivot!$H$3:$H$23</c:f>
              <c:numCache>
                <c:formatCode>General</c:formatCode>
                <c:ptCount val="20"/>
                <c:pt idx="0">
                  <c:v>25780000</c:v>
                </c:pt>
                <c:pt idx="1">
                  <c:v>40050000</c:v>
                </c:pt>
                <c:pt idx="2">
                  <c:v>141330000</c:v>
                </c:pt>
                <c:pt idx="3">
                  <c:v>58850000</c:v>
                </c:pt>
                <c:pt idx="4">
                  <c:v>101500000</c:v>
                </c:pt>
                <c:pt idx="5">
                  <c:v>105160000</c:v>
                </c:pt>
                <c:pt idx="6">
                  <c:v>102080000</c:v>
                </c:pt>
                <c:pt idx="7">
                  <c:v>14690000</c:v>
                </c:pt>
                <c:pt idx="8">
                  <c:v>9700000</c:v>
                </c:pt>
                <c:pt idx="9">
                  <c:v>60560000</c:v>
                </c:pt>
                <c:pt idx="10">
                  <c:v>28730000</c:v>
                </c:pt>
                <c:pt idx="11">
                  <c:v>24080000</c:v>
                </c:pt>
                <c:pt idx="12">
                  <c:v>36080000</c:v>
                </c:pt>
                <c:pt idx="13">
                  <c:v>171000000</c:v>
                </c:pt>
                <c:pt idx="14">
                  <c:v>44660000</c:v>
                </c:pt>
                <c:pt idx="15">
                  <c:v>24520000</c:v>
                </c:pt>
                <c:pt idx="16">
                  <c:v>85650000</c:v>
                </c:pt>
                <c:pt idx="17">
                  <c:v>80120000</c:v>
                </c:pt>
                <c:pt idx="18">
                  <c:v>35500000</c:v>
                </c:pt>
                <c:pt idx="19">
                  <c:v>15930000</c:v>
                </c:pt>
              </c:numCache>
            </c:numRef>
          </c:val>
          <c:extLst>
            <c:ext xmlns:c16="http://schemas.microsoft.com/office/drawing/2014/chart" uri="{C3380CC4-5D6E-409C-BE32-E72D297353CC}">
              <c16:uniqueId val="{00000000-8E2B-4AC0-AABB-D1AC7AECEEBB}"/>
            </c:ext>
          </c:extLst>
        </c:ser>
        <c:dLbls>
          <c:showLegendKey val="0"/>
          <c:showVal val="0"/>
          <c:showCatName val="0"/>
          <c:showSerName val="0"/>
          <c:showPercent val="0"/>
          <c:showBubbleSize val="0"/>
        </c:dLbls>
        <c:gapWidth val="150"/>
        <c:shape val="box"/>
        <c:axId val="489972352"/>
        <c:axId val="1927758512"/>
        <c:axId val="0"/>
      </c:bar3DChart>
      <c:catAx>
        <c:axId val="4899723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758512"/>
        <c:crosses val="autoZero"/>
        <c:auto val="1"/>
        <c:lblAlgn val="ctr"/>
        <c:lblOffset val="100"/>
        <c:noMultiLvlLbl val="0"/>
      </c:catAx>
      <c:valAx>
        <c:axId val="19277585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72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243840</xdr:colOff>
      <xdr:row>0</xdr:row>
      <xdr:rowOff>121920</xdr:rowOff>
    </xdr:from>
    <xdr:to>
      <xdr:col>14</xdr:col>
      <xdr:colOff>38100</xdr:colOff>
      <xdr:row>4</xdr:row>
      <xdr:rowOff>15240</xdr:rowOff>
    </xdr:to>
    <xdr:sp macro="" textlink="">
      <xdr:nvSpPr>
        <xdr:cNvPr id="2" name="TextBox 1">
          <a:extLst>
            <a:ext uri="{FF2B5EF4-FFF2-40B4-BE49-F238E27FC236}">
              <a16:creationId xmlns:a16="http://schemas.microsoft.com/office/drawing/2014/main" id="{7C8D0D3B-20D4-2CB3-D41C-B93CBA94CE09}"/>
            </a:ext>
          </a:extLst>
        </xdr:cNvPr>
        <xdr:cNvSpPr txBox="1"/>
      </xdr:nvSpPr>
      <xdr:spPr>
        <a:xfrm>
          <a:off x="3291840" y="121920"/>
          <a:ext cx="528066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2400" b="0" cap="none" spc="0">
              <a:ln w="0"/>
              <a:solidFill>
                <a:schemeClr val="tx1"/>
              </a:solidFill>
              <a:effectLst>
                <a:outerShdw blurRad="38100" dist="19050" dir="2700000" algn="tl" rotWithShape="0">
                  <a:schemeClr val="dk1">
                    <a:alpha val="40000"/>
                  </a:schemeClr>
                </a:outerShdw>
              </a:effectLst>
              <a:latin typeface="Bahnschrift" panose="020B0502040204020203" pitchFamily="34" charset="0"/>
            </a:rPr>
            <a:t>SALES PERFORMANCE DASHBOARD </a:t>
          </a:r>
        </a:p>
      </xdr:txBody>
    </xdr:sp>
    <xdr:clientData/>
  </xdr:twoCellAnchor>
  <xdr:twoCellAnchor>
    <xdr:from>
      <xdr:col>0</xdr:col>
      <xdr:colOff>0</xdr:colOff>
      <xdr:row>4</xdr:row>
      <xdr:rowOff>7620</xdr:rowOff>
    </xdr:from>
    <xdr:to>
      <xdr:col>19</xdr:col>
      <xdr:colOff>0</xdr:colOff>
      <xdr:row>4</xdr:row>
      <xdr:rowOff>15240</xdr:rowOff>
    </xdr:to>
    <xdr:cxnSp macro="">
      <xdr:nvCxnSpPr>
        <xdr:cNvPr id="4" name="Straight Connector 3">
          <a:extLst>
            <a:ext uri="{FF2B5EF4-FFF2-40B4-BE49-F238E27FC236}">
              <a16:creationId xmlns:a16="http://schemas.microsoft.com/office/drawing/2014/main" id="{54823C5C-07AA-9A7A-4F48-1E33265448EB}"/>
            </a:ext>
          </a:extLst>
        </xdr:cNvPr>
        <xdr:cNvCxnSpPr/>
      </xdr:nvCxnSpPr>
      <xdr:spPr>
        <a:xfrm>
          <a:off x="0" y="739140"/>
          <a:ext cx="11582400" cy="762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5</xdr:col>
      <xdr:colOff>350520</xdr:colOff>
      <xdr:row>4</xdr:row>
      <xdr:rowOff>114300</xdr:rowOff>
    </xdr:from>
    <xdr:to>
      <xdr:col>8</xdr:col>
      <xdr:colOff>525780</xdr:colOff>
      <xdr:row>18</xdr:row>
      <xdr:rowOff>20955</xdr:rowOff>
    </xdr:to>
    <mc:AlternateContent xmlns:mc="http://schemas.openxmlformats.org/markup-compatibility/2006" xmlns:a14="http://schemas.microsoft.com/office/drawing/2010/main">
      <mc:Choice Requires="a14">
        <xdr:graphicFrame macro="">
          <xdr:nvGraphicFramePr>
            <xdr:cNvPr id="13" name="Category 1">
              <a:extLst>
                <a:ext uri="{FF2B5EF4-FFF2-40B4-BE49-F238E27FC236}">
                  <a16:creationId xmlns:a16="http://schemas.microsoft.com/office/drawing/2014/main" id="{3B43F564-146C-4539-BEA4-3040E3F306F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3398520" y="845820"/>
              <a:ext cx="2004060" cy="246697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403860</xdr:colOff>
      <xdr:row>4</xdr:row>
      <xdr:rowOff>106680</xdr:rowOff>
    </xdr:from>
    <xdr:to>
      <xdr:col>13</xdr:col>
      <xdr:colOff>68580</xdr:colOff>
      <xdr:row>18</xdr:row>
      <xdr:rowOff>13335</xdr:rowOff>
    </xdr:to>
    <mc:AlternateContent xmlns:mc="http://schemas.openxmlformats.org/markup-compatibility/2006" xmlns:a14="http://schemas.microsoft.com/office/drawing/2010/main">
      <mc:Choice Requires="a14">
        <xdr:graphicFrame macro="">
          <xdr:nvGraphicFramePr>
            <xdr:cNvPr id="14" name="Sales Name 1">
              <a:extLst>
                <a:ext uri="{FF2B5EF4-FFF2-40B4-BE49-F238E27FC236}">
                  <a16:creationId xmlns:a16="http://schemas.microsoft.com/office/drawing/2014/main" id="{7F980026-32E0-4113-806B-6472DFB5C65D}"/>
                </a:ext>
              </a:extLst>
            </xdr:cNvPr>
            <xdr:cNvGraphicFramePr/>
          </xdr:nvGraphicFramePr>
          <xdr:xfrm>
            <a:off x="0" y="0"/>
            <a:ext cx="0" cy="0"/>
          </xdr:xfrm>
          <a:graphic>
            <a:graphicData uri="http://schemas.microsoft.com/office/drawing/2010/slicer">
              <sle:slicer xmlns:sle="http://schemas.microsoft.com/office/drawing/2010/slicer" name="Sales Name 1"/>
            </a:graphicData>
          </a:graphic>
        </xdr:graphicFrame>
      </mc:Choice>
      <mc:Fallback xmlns="">
        <xdr:sp macro="" textlink="">
          <xdr:nvSpPr>
            <xdr:cNvPr id="0" name=""/>
            <xdr:cNvSpPr>
              <a:spLocks noTextEdit="1"/>
            </xdr:cNvSpPr>
          </xdr:nvSpPr>
          <xdr:spPr>
            <a:xfrm>
              <a:off x="5890260" y="838200"/>
              <a:ext cx="2103120" cy="246697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182880</xdr:colOff>
      <xdr:row>4</xdr:row>
      <xdr:rowOff>129540</xdr:rowOff>
    </xdr:from>
    <xdr:to>
      <xdr:col>4</xdr:col>
      <xdr:colOff>502920</xdr:colOff>
      <xdr:row>18</xdr:row>
      <xdr:rowOff>36195</xdr:rowOff>
    </xdr:to>
    <mc:AlternateContent xmlns:mc="http://schemas.openxmlformats.org/markup-compatibility/2006" xmlns:a14="http://schemas.microsoft.com/office/drawing/2010/main">
      <mc:Choice Requires="a14">
        <xdr:graphicFrame macro="">
          <xdr:nvGraphicFramePr>
            <xdr:cNvPr id="15" name="Kota 1">
              <a:extLst>
                <a:ext uri="{FF2B5EF4-FFF2-40B4-BE49-F238E27FC236}">
                  <a16:creationId xmlns:a16="http://schemas.microsoft.com/office/drawing/2014/main" id="{321044DA-F567-4634-8136-0203794A8477}"/>
                </a:ext>
              </a:extLst>
            </xdr:cNvPr>
            <xdr:cNvGraphicFramePr/>
          </xdr:nvGraphicFramePr>
          <xdr:xfrm>
            <a:off x="0" y="0"/>
            <a:ext cx="0" cy="0"/>
          </xdr:xfrm>
          <a:graphic>
            <a:graphicData uri="http://schemas.microsoft.com/office/drawing/2010/slicer">
              <sle:slicer xmlns:sle="http://schemas.microsoft.com/office/drawing/2010/slicer" name="Kota 1"/>
            </a:graphicData>
          </a:graphic>
        </xdr:graphicFrame>
      </mc:Choice>
      <mc:Fallback xmlns="">
        <xdr:sp macro="" textlink="">
          <xdr:nvSpPr>
            <xdr:cNvPr id="0" name=""/>
            <xdr:cNvSpPr>
              <a:spLocks noTextEdit="1"/>
            </xdr:cNvSpPr>
          </xdr:nvSpPr>
          <xdr:spPr>
            <a:xfrm>
              <a:off x="792480" y="861060"/>
              <a:ext cx="2148840" cy="246697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83820</xdr:colOff>
      <xdr:row>19</xdr:row>
      <xdr:rowOff>152400</xdr:rowOff>
    </xdr:from>
    <xdr:to>
      <xdr:col>19</xdr:col>
      <xdr:colOff>0</xdr:colOff>
      <xdr:row>20</xdr:row>
      <xdr:rowOff>7620</xdr:rowOff>
    </xdr:to>
    <xdr:cxnSp macro="">
      <xdr:nvCxnSpPr>
        <xdr:cNvPr id="17" name="Straight Connector 16">
          <a:extLst>
            <a:ext uri="{FF2B5EF4-FFF2-40B4-BE49-F238E27FC236}">
              <a16:creationId xmlns:a16="http://schemas.microsoft.com/office/drawing/2014/main" id="{3C9C6479-A38B-8470-93BE-2E26F75DBC3B}"/>
            </a:ext>
          </a:extLst>
        </xdr:cNvPr>
        <xdr:cNvCxnSpPr/>
      </xdr:nvCxnSpPr>
      <xdr:spPr>
        <a:xfrm flipV="1">
          <a:off x="83820" y="3627120"/>
          <a:ext cx="11498580" cy="3810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304800</xdr:colOff>
      <xdr:row>21</xdr:row>
      <xdr:rowOff>91440</xdr:rowOff>
    </xdr:from>
    <xdr:to>
      <xdr:col>4</xdr:col>
      <xdr:colOff>320040</xdr:colOff>
      <xdr:row>25</xdr:row>
      <xdr:rowOff>99060</xdr:rowOff>
    </xdr:to>
    <xdr:sp macro="" textlink="">
      <xdr:nvSpPr>
        <xdr:cNvPr id="18" name="Rectangle: Rounded Corners 17">
          <a:extLst>
            <a:ext uri="{FF2B5EF4-FFF2-40B4-BE49-F238E27FC236}">
              <a16:creationId xmlns:a16="http://schemas.microsoft.com/office/drawing/2014/main" id="{F461E275-DC9C-B673-6EC6-5B42738633CF}"/>
            </a:ext>
          </a:extLst>
        </xdr:cNvPr>
        <xdr:cNvSpPr/>
      </xdr:nvSpPr>
      <xdr:spPr>
        <a:xfrm>
          <a:off x="914400" y="3931920"/>
          <a:ext cx="1844040" cy="739140"/>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5</xdr:col>
      <xdr:colOff>388620</xdr:colOff>
      <xdr:row>21</xdr:row>
      <xdr:rowOff>91440</xdr:rowOff>
    </xdr:from>
    <xdr:to>
      <xdr:col>8</xdr:col>
      <xdr:colOff>403860</xdr:colOff>
      <xdr:row>25</xdr:row>
      <xdr:rowOff>129540</xdr:rowOff>
    </xdr:to>
    <xdr:sp macro="" textlink="">
      <xdr:nvSpPr>
        <xdr:cNvPr id="20" name="Rectangle: Rounded Corners 19">
          <a:extLst>
            <a:ext uri="{FF2B5EF4-FFF2-40B4-BE49-F238E27FC236}">
              <a16:creationId xmlns:a16="http://schemas.microsoft.com/office/drawing/2014/main" id="{CB88932A-1254-8444-EB54-48CA054E3E04}"/>
            </a:ext>
          </a:extLst>
        </xdr:cNvPr>
        <xdr:cNvSpPr/>
      </xdr:nvSpPr>
      <xdr:spPr>
        <a:xfrm>
          <a:off x="3436620" y="3931920"/>
          <a:ext cx="1844040" cy="769620"/>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9</xdr:col>
      <xdr:colOff>472440</xdr:colOff>
      <xdr:row>21</xdr:row>
      <xdr:rowOff>91440</xdr:rowOff>
    </xdr:from>
    <xdr:to>
      <xdr:col>12</xdr:col>
      <xdr:colOff>487680</xdr:colOff>
      <xdr:row>25</xdr:row>
      <xdr:rowOff>144780</xdr:rowOff>
    </xdr:to>
    <xdr:sp macro="" textlink="">
      <xdr:nvSpPr>
        <xdr:cNvPr id="21" name="Rectangle: Rounded Corners 20">
          <a:extLst>
            <a:ext uri="{FF2B5EF4-FFF2-40B4-BE49-F238E27FC236}">
              <a16:creationId xmlns:a16="http://schemas.microsoft.com/office/drawing/2014/main" id="{C40CF578-BB0F-804E-DC90-D74BA9DEFDE9}"/>
            </a:ext>
          </a:extLst>
        </xdr:cNvPr>
        <xdr:cNvSpPr/>
      </xdr:nvSpPr>
      <xdr:spPr>
        <a:xfrm>
          <a:off x="5958840" y="3931920"/>
          <a:ext cx="1844040" cy="784860"/>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14</xdr:col>
      <xdr:colOff>68580</xdr:colOff>
      <xdr:row>21</xdr:row>
      <xdr:rowOff>91440</xdr:rowOff>
    </xdr:from>
    <xdr:to>
      <xdr:col>17</xdr:col>
      <xdr:colOff>83820</xdr:colOff>
      <xdr:row>25</xdr:row>
      <xdr:rowOff>167640</xdr:rowOff>
    </xdr:to>
    <xdr:sp macro="" textlink="">
      <xdr:nvSpPr>
        <xdr:cNvPr id="22" name="Rectangle: Rounded Corners 21">
          <a:extLst>
            <a:ext uri="{FF2B5EF4-FFF2-40B4-BE49-F238E27FC236}">
              <a16:creationId xmlns:a16="http://schemas.microsoft.com/office/drawing/2014/main" id="{506D7210-2316-C89C-47DB-F2E6B8A12B90}"/>
            </a:ext>
          </a:extLst>
        </xdr:cNvPr>
        <xdr:cNvSpPr/>
      </xdr:nvSpPr>
      <xdr:spPr>
        <a:xfrm>
          <a:off x="8602980" y="3931920"/>
          <a:ext cx="1844040" cy="807720"/>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editAs="oneCell">
    <xdr:from>
      <xdr:col>1</xdr:col>
      <xdr:colOff>289560</xdr:colOff>
      <xdr:row>22</xdr:row>
      <xdr:rowOff>60960</xdr:rowOff>
    </xdr:from>
    <xdr:to>
      <xdr:col>2</xdr:col>
      <xdr:colOff>342900</xdr:colOff>
      <xdr:row>25</xdr:row>
      <xdr:rowOff>0</xdr:rowOff>
    </xdr:to>
    <xdr:pic>
      <xdr:nvPicPr>
        <xdr:cNvPr id="24" name="Graphic 23" descr="Dollar with solid fill">
          <a:extLst>
            <a:ext uri="{FF2B5EF4-FFF2-40B4-BE49-F238E27FC236}">
              <a16:creationId xmlns:a16="http://schemas.microsoft.com/office/drawing/2014/main" id="{B3040C77-B853-13FE-A71D-7F9E65D60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9160" y="4084320"/>
          <a:ext cx="662940" cy="487680"/>
        </a:xfrm>
        <a:prstGeom prst="rect">
          <a:avLst/>
        </a:prstGeom>
      </xdr:spPr>
    </xdr:pic>
    <xdr:clientData/>
  </xdr:twoCellAnchor>
  <xdr:twoCellAnchor>
    <xdr:from>
      <xdr:col>2</xdr:col>
      <xdr:colOff>274320</xdr:colOff>
      <xdr:row>21</xdr:row>
      <xdr:rowOff>114300</xdr:rowOff>
    </xdr:from>
    <xdr:to>
      <xdr:col>4</xdr:col>
      <xdr:colOff>236220</xdr:colOff>
      <xdr:row>22</xdr:row>
      <xdr:rowOff>160020</xdr:rowOff>
    </xdr:to>
    <xdr:sp macro="" textlink="">
      <xdr:nvSpPr>
        <xdr:cNvPr id="25" name="TextBox 24">
          <a:extLst>
            <a:ext uri="{FF2B5EF4-FFF2-40B4-BE49-F238E27FC236}">
              <a16:creationId xmlns:a16="http://schemas.microsoft.com/office/drawing/2014/main" id="{8D88F14C-042C-3A7F-DAA3-0AD730D15A4C}"/>
            </a:ext>
          </a:extLst>
        </xdr:cNvPr>
        <xdr:cNvSpPr txBox="1"/>
      </xdr:nvSpPr>
      <xdr:spPr>
        <a:xfrm>
          <a:off x="1493520" y="395478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ln>
                <a:noFill/>
              </a:ln>
              <a:solidFill>
                <a:schemeClr val="bg1"/>
              </a:solidFill>
              <a:latin typeface="Bahnschrift" panose="020B0502040204020203" pitchFamily="34" charset="0"/>
            </a:rPr>
            <a:t>Total Reveneu</a:t>
          </a:r>
        </a:p>
      </xdr:txBody>
    </xdr:sp>
    <xdr:clientData/>
  </xdr:twoCellAnchor>
  <xdr:twoCellAnchor editAs="oneCell">
    <xdr:from>
      <xdr:col>9</xdr:col>
      <xdr:colOff>525780</xdr:colOff>
      <xdr:row>22</xdr:row>
      <xdr:rowOff>45720</xdr:rowOff>
    </xdr:from>
    <xdr:to>
      <xdr:col>10</xdr:col>
      <xdr:colOff>492180</xdr:colOff>
      <xdr:row>25</xdr:row>
      <xdr:rowOff>73080</xdr:rowOff>
    </xdr:to>
    <xdr:pic>
      <xdr:nvPicPr>
        <xdr:cNvPr id="27" name="Graphic 26" descr="Clipboard with solid fill">
          <a:extLst>
            <a:ext uri="{FF2B5EF4-FFF2-40B4-BE49-F238E27FC236}">
              <a16:creationId xmlns:a16="http://schemas.microsoft.com/office/drawing/2014/main" id="{B3FA70F1-6AA2-69F0-35D1-0423591BF6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12180" y="4069080"/>
          <a:ext cx="576000" cy="576000"/>
        </a:xfrm>
        <a:prstGeom prst="rect">
          <a:avLst/>
        </a:prstGeom>
      </xdr:spPr>
    </xdr:pic>
    <xdr:clientData/>
  </xdr:twoCellAnchor>
  <xdr:twoCellAnchor editAs="oneCell">
    <xdr:from>
      <xdr:col>14</xdr:col>
      <xdr:colOff>89041</xdr:colOff>
      <xdr:row>22</xdr:row>
      <xdr:rowOff>53340</xdr:rowOff>
    </xdr:from>
    <xdr:to>
      <xdr:col>15</xdr:col>
      <xdr:colOff>45209</xdr:colOff>
      <xdr:row>25</xdr:row>
      <xdr:rowOff>35460</xdr:rowOff>
    </xdr:to>
    <xdr:pic>
      <xdr:nvPicPr>
        <xdr:cNvPr id="29" name="Graphic 28" descr="Shopping cart with solid fill">
          <a:extLst>
            <a:ext uri="{FF2B5EF4-FFF2-40B4-BE49-F238E27FC236}">
              <a16:creationId xmlns:a16="http://schemas.microsoft.com/office/drawing/2014/main" id="{130AC4EE-0197-36BB-840F-4AD58B2EBEF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23441" y="4076700"/>
          <a:ext cx="565768" cy="530760"/>
        </a:xfrm>
        <a:prstGeom prst="rect">
          <a:avLst/>
        </a:prstGeom>
      </xdr:spPr>
    </xdr:pic>
    <xdr:clientData/>
  </xdr:twoCellAnchor>
  <xdr:twoCellAnchor editAs="oneCell">
    <xdr:from>
      <xdr:col>5</xdr:col>
      <xdr:colOff>444780</xdr:colOff>
      <xdr:row>22</xdr:row>
      <xdr:rowOff>71400</xdr:rowOff>
    </xdr:from>
    <xdr:to>
      <xdr:col>6</xdr:col>
      <xdr:colOff>339180</xdr:colOff>
      <xdr:row>25</xdr:row>
      <xdr:rowOff>26760</xdr:rowOff>
    </xdr:to>
    <xdr:pic>
      <xdr:nvPicPr>
        <xdr:cNvPr id="31" name="Graphic 30" descr="Coins with solid fill">
          <a:extLst>
            <a:ext uri="{FF2B5EF4-FFF2-40B4-BE49-F238E27FC236}">
              <a16:creationId xmlns:a16="http://schemas.microsoft.com/office/drawing/2014/main" id="{D786FBF2-6F35-5DCC-84F0-F8671A076CF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492780" y="4094760"/>
          <a:ext cx="504000" cy="504000"/>
        </a:xfrm>
        <a:prstGeom prst="rect">
          <a:avLst/>
        </a:prstGeom>
      </xdr:spPr>
    </xdr:pic>
    <xdr:clientData/>
  </xdr:twoCellAnchor>
  <xdr:twoCellAnchor>
    <xdr:from>
      <xdr:col>6</xdr:col>
      <xdr:colOff>335280</xdr:colOff>
      <xdr:row>21</xdr:row>
      <xdr:rowOff>91440</xdr:rowOff>
    </xdr:from>
    <xdr:to>
      <xdr:col>8</xdr:col>
      <xdr:colOff>297180</xdr:colOff>
      <xdr:row>22</xdr:row>
      <xdr:rowOff>137160</xdr:rowOff>
    </xdr:to>
    <xdr:sp macro="" textlink="">
      <xdr:nvSpPr>
        <xdr:cNvPr id="32" name="TextBox 31">
          <a:extLst>
            <a:ext uri="{FF2B5EF4-FFF2-40B4-BE49-F238E27FC236}">
              <a16:creationId xmlns:a16="http://schemas.microsoft.com/office/drawing/2014/main" id="{186EDE70-441C-8084-6B92-399761FC54C2}"/>
            </a:ext>
          </a:extLst>
        </xdr:cNvPr>
        <xdr:cNvSpPr txBox="1"/>
      </xdr:nvSpPr>
      <xdr:spPr>
        <a:xfrm>
          <a:off x="3992880" y="393192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bg1"/>
              </a:solidFill>
              <a:latin typeface="Bahnschrift" panose="020B0502040204020203" pitchFamily="34" charset="0"/>
            </a:rPr>
            <a:t>Total Profit</a:t>
          </a:r>
        </a:p>
      </xdr:txBody>
    </xdr:sp>
    <xdr:clientData/>
  </xdr:twoCellAnchor>
  <xdr:twoCellAnchor>
    <xdr:from>
      <xdr:col>10</xdr:col>
      <xdr:colOff>472440</xdr:colOff>
      <xdr:row>21</xdr:row>
      <xdr:rowOff>99060</xdr:rowOff>
    </xdr:from>
    <xdr:to>
      <xdr:col>12</xdr:col>
      <xdr:colOff>434340</xdr:colOff>
      <xdr:row>22</xdr:row>
      <xdr:rowOff>144780</xdr:rowOff>
    </xdr:to>
    <xdr:sp macro="" textlink="">
      <xdr:nvSpPr>
        <xdr:cNvPr id="33" name="TextBox 32">
          <a:extLst>
            <a:ext uri="{FF2B5EF4-FFF2-40B4-BE49-F238E27FC236}">
              <a16:creationId xmlns:a16="http://schemas.microsoft.com/office/drawing/2014/main" id="{C8DE1604-2CFF-8C53-B71D-C09594C5B9DF}"/>
            </a:ext>
          </a:extLst>
        </xdr:cNvPr>
        <xdr:cNvSpPr txBox="1"/>
      </xdr:nvSpPr>
      <xdr:spPr>
        <a:xfrm>
          <a:off x="6568440" y="393954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bg1"/>
              </a:solidFill>
              <a:latin typeface="Bahnschrift" panose="020B0502040204020203" pitchFamily="34" charset="0"/>
            </a:rPr>
            <a:t>Qty</a:t>
          </a:r>
          <a:r>
            <a:rPr lang="en-ID" sz="1200" b="1" baseline="0">
              <a:solidFill>
                <a:schemeClr val="bg1"/>
              </a:solidFill>
              <a:latin typeface="Bahnschrift" panose="020B0502040204020203" pitchFamily="34" charset="0"/>
            </a:rPr>
            <a:t> Sold</a:t>
          </a:r>
          <a:endParaRPr lang="en-ID" sz="1200" b="1">
            <a:solidFill>
              <a:schemeClr val="bg1"/>
            </a:solidFill>
            <a:latin typeface="Bahnschrift" panose="020B0502040204020203" pitchFamily="34" charset="0"/>
          </a:endParaRPr>
        </a:p>
      </xdr:txBody>
    </xdr:sp>
    <xdr:clientData/>
  </xdr:twoCellAnchor>
  <xdr:twoCellAnchor>
    <xdr:from>
      <xdr:col>15</xdr:col>
      <xdr:colOff>22860</xdr:colOff>
      <xdr:row>21</xdr:row>
      <xdr:rowOff>99060</xdr:rowOff>
    </xdr:from>
    <xdr:to>
      <xdr:col>16</xdr:col>
      <xdr:colOff>594360</xdr:colOff>
      <xdr:row>22</xdr:row>
      <xdr:rowOff>144780</xdr:rowOff>
    </xdr:to>
    <xdr:sp macro="" textlink="">
      <xdr:nvSpPr>
        <xdr:cNvPr id="34" name="TextBox 33">
          <a:extLst>
            <a:ext uri="{FF2B5EF4-FFF2-40B4-BE49-F238E27FC236}">
              <a16:creationId xmlns:a16="http://schemas.microsoft.com/office/drawing/2014/main" id="{D22E92BE-C929-FBF2-2ACE-505C991A5D0B}"/>
            </a:ext>
          </a:extLst>
        </xdr:cNvPr>
        <xdr:cNvSpPr txBox="1"/>
      </xdr:nvSpPr>
      <xdr:spPr>
        <a:xfrm>
          <a:off x="9166860" y="393954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bg1"/>
              </a:solidFill>
              <a:latin typeface="Bahnschrift" panose="020B0502040204020203" pitchFamily="34" charset="0"/>
            </a:rPr>
            <a:t>Orders</a:t>
          </a:r>
        </a:p>
      </xdr:txBody>
    </xdr:sp>
    <xdr:clientData/>
  </xdr:twoCellAnchor>
  <xdr:twoCellAnchor>
    <xdr:from>
      <xdr:col>0</xdr:col>
      <xdr:colOff>502920</xdr:colOff>
      <xdr:row>27</xdr:row>
      <xdr:rowOff>114300</xdr:rowOff>
    </xdr:from>
    <xdr:to>
      <xdr:col>9</xdr:col>
      <xdr:colOff>15240</xdr:colOff>
      <xdr:row>42</xdr:row>
      <xdr:rowOff>160020</xdr:rowOff>
    </xdr:to>
    <xdr:sp macro="" textlink="">
      <xdr:nvSpPr>
        <xdr:cNvPr id="35" name="Rectangle: Rounded Corners 34">
          <a:extLst>
            <a:ext uri="{FF2B5EF4-FFF2-40B4-BE49-F238E27FC236}">
              <a16:creationId xmlns:a16="http://schemas.microsoft.com/office/drawing/2014/main" id="{76DB37F1-0BC0-C158-70D9-BAB5585A5EEB}"/>
            </a:ext>
          </a:extLst>
        </xdr:cNvPr>
        <xdr:cNvSpPr/>
      </xdr:nvSpPr>
      <xdr:spPr>
        <a:xfrm>
          <a:off x="502920" y="5052060"/>
          <a:ext cx="4998720" cy="2788920"/>
        </a:xfrm>
        <a:prstGeom prst="roundRect">
          <a:avLst>
            <a:gd name="adj" fmla="val 1515"/>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9</xdr:col>
      <xdr:colOff>411480</xdr:colOff>
      <xdr:row>27</xdr:row>
      <xdr:rowOff>129540</xdr:rowOff>
    </xdr:from>
    <xdr:to>
      <xdr:col>17</xdr:col>
      <xdr:colOff>464820</xdr:colOff>
      <xdr:row>42</xdr:row>
      <xdr:rowOff>175260</xdr:rowOff>
    </xdr:to>
    <xdr:sp macro="" textlink="">
      <xdr:nvSpPr>
        <xdr:cNvPr id="36" name="Rectangle: Rounded Corners 35">
          <a:extLst>
            <a:ext uri="{FF2B5EF4-FFF2-40B4-BE49-F238E27FC236}">
              <a16:creationId xmlns:a16="http://schemas.microsoft.com/office/drawing/2014/main" id="{2BF72F32-E5E3-40B0-4840-5CC9F21DDAF9}"/>
            </a:ext>
          </a:extLst>
        </xdr:cNvPr>
        <xdr:cNvSpPr/>
      </xdr:nvSpPr>
      <xdr:spPr>
        <a:xfrm>
          <a:off x="5897880" y="5067300"/>
          <a:ext cx="4930140" cy="2788920"/>
        </a:xfrm>
        <a:prstGeom prst="roundRect">
          <a:avLst>
            <a:gd name="adj" fmla="val 1515"/>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0</xdr:col>
      <xdr:colOff>510540</xdr:colOff>
      <xdr:row>27</xdr:row>
      <xdr:rowOff>167640</xdr:rowOff>
    </xdr:from>
    <xdr:to>
      <xdr:col>6</xdr:col>
      <xdr:colOff>167640</xdr:colOff>
      <xdr:row>29</xdr:row>
      <xdr:rowOff>45720</xdr:rowOff>
    </xdr:to>
    <xdr:sp macro="" textlink="">
      <xdr:nvSpPr>
        <xdr:cNvPr id="38" name="TextBox 37">
          <a:extLst>
            <a:ext uri="{FF2B5EF4-FFF2-40B4-BE49-F238E27FC236}">
              <a16:creationId xmlns:a16="http://schemas.microsoft.com/office/drawing/2014/main" id="{FCECE383-4D65-5F77-D6FE-0DA948EB14DF}"/>
            </a:ext>
          </a:extLst>
        </xdr:cNvPr>
        <xdr:cNvSpPr txBox="1"/>
      </xdr:nvSpPr>
      <xdr:spPr>
        <a:xfrm>
          <a:off x="510540" y="5105400"/>
          <a:ext cx="33147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200" b="1">
              <a:solidFill>
                <a:schemeClr val="bg2"/>
              </a:solidFill>
              <a:latin typeface="Bahnschrift" panose="020B0502040204020203" pitchFamily="34" charset="0"/>
            </a:rPr>
            <a:t>TREN PENJUALAN BULANAN</a:t>
          </a:r>
        </a:p>
      </xdr:txBody>
    </xdr:sp>
    <xdr:clientData/>
  </xdr:twoCellAnchor>
  <xdr:twoCellAnchor>
    <xdr:from>
      <xdr:col>9</xdr:col>
      <xdr:colOff>411480</xdr:colOff>
      <xdr:row>27</xdr:row>
      <xdr:rowOff>129540</xdr:rowOff>
    </xdr:from>
    <xdr:to>
      <xdr:col>15</xdr:col>
      <xdr:colOff>68580</xdr:colOff>
      <xdr:row>29</xdr:row>
      <xdr:rowOff>7620</xdr:rowOff>
    </xdr:to>
    <xdr:sp macro="" textlink="">
      <xdr:nvSpPr>
        <xdr:cNvPr id="40" name="TextBox 39">
          <a:extLst>
            <a:ext uri="{FF2B5EF4-FFF2-40B4-BE49-F238E27FC236}">
              <a16:creationId xmlns:a16="http://schemas.microsoft.com/office/drawing/2014/main" id="{38C10114-AA1C-4A39-A27F-E895C070D356}"/>
            </a:ext>
          </a:extLst>
        </xdr:cNvPr>
        <xdr:cNvSpPr txBox="1"/>
      </xdr:nvSpPr>
      <xdr:spPr>
        <a:xfrm>
          <a:off x="5897880" y="5067300"/>
          <a:ext cx="33147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200" b="1">
              <a:solidFill>
                <a:schemeClr val="bg2"/>
              </a:solidFill>
              <a:latin typeface="Bahnschrift" panose="020B0502040204020203" pitchFamily="34" charset="0"/>
            </a:rPr>
            <a:t>TOP SALESPERSON</a:t>
          </a:r>
        </a:p>
      </xdr:txBody>
    </xdr:sp>
    <xdr:clientData/>
  </xdr:twoCellAnchor>
  <xdr:twoCellAnchor editAs="oneCell">
    <xdr:from>
      <xdr:col>13</xdr:col>
      <xdr:colOff>373380</xdr:colOff>
      <xdr:row>4</xdr:row>
      <xdr:rowOff>152400</xdr:rowOff>
    </xdr:from>
    <xdr:to>
      <xdr:col>18</xdr:col>
      <xdr:colOff>373380</xdr:colOff>
      <xdr:row>12</xdr:row>
      <xdr:rowOff>60960</xdr:rowOff>
    </xdr:to>
    <mc:AlternateContent xmlns:mc="http://schemas.openxmlformats.org/markup-compatibility/2006">
      <mc:Choice xmlns:tsle="http://schemas.microsoft.com/office/drawing/2012/timeslicer" Requires="tsle">
        <xdr:graphicFrame macro="">
          <xdr:nvGraphicFramePr>
            <xdr:cNvPr id="3" name="Date 2">
              <a:extLst>
                <a:ext uri="{FF2B5EF4-FFF2-40B4-BE49-F238E27FC236}">
                  <a16:creationId xmlns:a16="http://schemas.microsoft.com/office/drawing/2014/main" id="{C503A88B-284A-48A5-9C64-0E295541B0C4}"/>
                </a:ext>
              </a:extLst>
            </xdr:cNvPr>
            <xdr:cNvGraphicFramePr/>
          </xdr:nvGraphicFramePr>
          <xdr:xfrm>
            <a:off x="0" y="0"/>
            <a:ext cx="0" cy="0"/>
          </xdr:xfrm>
          <a:graphic>
            <a:graphicData uri="http://schemas.microsoft.com/office/drawing/2012/timeslicer">
              <tsle:timeslicer xmlns:tsle="http://schemas.microsoft.com/office/drawing/2012/timeslicer" name="Date 2"/>
            </a:graphicData>
          </a:graphic>
        </xdr:graphicFrame>
      </mc:Choice>
      <mc:Fallback>
        <xdr:sp macro="" textlink="">
          <xdr:nvSpPr>
            <xdr:cNvPr id="0" name=""/>
            <xdr:cNvSpPr>
              <a:spLocks noTextEdit="1"/>
            </xdr:cNvSpPr>
          </xdr:nvSpPr>
          <xdr:spPr>
            <a:xfrm>
              <a:off x="8298180" y="883920"/>
              <a:ext cx="3048000" cy="1371600"/>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xdr:from>
      <xdr:col>1</xdr:col>
      <xdr:colOff>30480</xdr:colOff>
      <xdr:row>30</xdr:row>
      <xdr:rowOff>60960</xdr:rowOff>
    </xdr:from>
    <xdr:to>
      <xdr:col>8</xdr:col>
      <xdr:colOff>335280</xdr:colOff>
      <xdr:row>41</xdr:row>
      <xdr:rowOff>144780</xdr:rowOff>
    </xdr:to>
    <xdr:graphicFrame macro="">
      <xdr:nvGraphicFramePr>
        <xdr:cNvPr id="5" name="Chart 4">
          <a:extLst>
            <a:ext uri="{FF2B5EF4-FFF2-40B4-BE49-F238E27FC236}">
              <a16:creationId xmlns:a16="http://schemas.microsoft.com/office/drawing/2014/main" id="{E91C89CB-CE8A-4B5D-BA60-D20B91B4D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548640</xdr:colOff>
      <xdr:row>43</xdr:row>
      <xdr:rowOff>160020</xdr:rowOff>
    </xdr:from>
    <xdr:to>
      <xdr:col>8</xdr:col>
      <xdr:colOff>601980</xdr:colOff>
      <xdr:row>59</xdr:row>
      <xdr:rowOff>22860</xdr:rowOff>
    </xdr:to>
    <xdr:sp macro="" textlink="">
      <xdr:nvSpPr>
        <xdr:cNvPr id="6" name="Rectangle: Rounded Corners 5">
          <a:extLst>
            <a:ext uri="{FF2B5EF4-FFF2-40B4-BE49-F238E27FC236}">
              <a16:creationId xmlns:a16="http://schemas.microsoft.com/office/drawing/2014/main" id="{A18D0979-6971-475F-8DD5-535CB48B8D98}"/>
            </a:ext>
          </a:extLst>
        </xdr:cNvPr>
        <xdr:cNvSpPr/>
      </xdr:nvSpPr>
      <xdr:spPr>
        <a:xfrm>
          <a:off x="548640" y="8023860"/>
          <a:ext cx="4930140" cy="2788920"/>
        </a:xfrm>
        <a:prstGeom prst="roundRect">
          <a:avLst>
            <a:gd name="adj" fmla="val 1515"/>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9</xdr:col>
      <xdr:colOff>419100</xdr:colOff>
      <xdr:row>43</xdr:row>
      <xdr:rowOff>129540</xdr:rowOff>
    </xdr:from>
    <xdr:to>
      <xdr:col>17</xdr:col>
      <xdr:colOff>472440</xdr:colOff>
      <xdr:row>58</xdr:row>
      <xdr:rowOff>175260</xdr:rowOff>
    </xdr:to>
    <xdr:sp macro="" textlink="">
      <xdr:nvSpPr>
        <xdr:cNvPr id="7" name="Rectangle: Rounded Corners 6">
          <a:extLst>
            <a:ext uri="{FF2B5EF4-FFF2-40B4-BE49-F238E27FC236}">
              <a16:creationId xmlns:a16="http://schemas.microsoft.com/office/drawing/2014/main" id="{AAADC731-6D54-40EC-91AC-71869B3C820F}"/>
            </a:ext>
          </a:extLst>
        </xdr:cNvPr>
        <xdr:cNvSpPr/>
      </xdr:nvSpPr>
      <xdr:spPr>
        <a:xfrm>
          <a:off x="5905500" y="7993380"/>
          <a:ext cx="4930140" cy="2788920"/>
        </a:xfrm>
        <a:prstGeom prst="roundRect">
          <a:avLst>
            <a:gd name="adj" fmla="val 1515"/>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0</xdr:col>
      <xdr:colOff>548640</xdr:colOff>
      <xdr:row>43</xdr:row>
      <xdr:rowOff>160020</xdr:rowOff>
    </xdr:from>
    <xdr:to>
      <xdr:col>6</xdr:col>
      <xdr:colOff>205740</xdr:colOff>
      <xdr:row>45</xdr:row>
      <xdr:rowOff>38100</xdr:rowOff>
    </xdr:to>
    <xdr:sp macro="" textlink="">
      <xdr:nvSpPr>
        <xdr:cNvPr id="8" name="TextBox 7">
          <a:extLst>
            <a:ext uri="{FF2B5EF4-FFF2-40B4-BE49-F238E27FC236}">
              <a16:creationId xmlns:a16="http://schemas.microsoft.com/office/drawing/2014/main" id="{3285C23A-1C53-40FF-B6FD-CF2858D17276}"/>
            </a:ext>
          </a:extLst>
        </xdr:cNvPr>
        <xdr:cNvSpPr txBox="1"/>
      </xdr:nvSpPr>
      <xdr:spPr>
        <a:xfrm>
          <a:off x="548640" y="8023860"/>
          <a:ext cx="33147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200" b="1">
              <a:solidFill>
                <a:schemeClr val="bg2"/>
              </a:solidFill>
              <a:latin typeface="Bahnschrift" panose="020B0502040204020203" pitchFamily="34" charset="0"/>
            </a:rPr>
            <a:t>PROFIT PER PRODUCT</a:t>
          </a:r>
        </a:p>
      </xdr:txBody>
    </xdr:sp>
    <xdr:clientData/>
  </xdr:twoCellAnchor>
  <xdr:twoCellAnchor>
    <xdr:from>
      <xdr:col>9</xdr:col>
      <xdr:colOff>419100</xdr:colOff>
      <xdr:row>43</xdr:row>
      <xdr:rowOff>129540</xdr:rowOff>
    </xdr:from>
    <xdr:to>
      <xdr:col>15</xdr:col>
      <xdr:colOff>76200</xdr:colOff>
      <xdr:row>45</xdr:row>
      <xdr:rowOff>7620</xdr:rowOff>
    </xdr:to>
    <xdr:sp macro="" textlink="">
      <xdr:nvSpPr>
        <xdr:cNvPr id="9" name="TextBox 8">
          <a:extLst>
            <a:ext uri="{FF2B5EF4-FFF2-40B4-BE49-F238E27FC236}">
              <a16:creationId xmlns:a16="http://schemas.microsoft.com/office/drawing/2014/main" id="{35377DB8-8DE0-4720-8DC4-409731A0ECA2}"/>
            </a:ext>
          </a:extLst>
        </xdr:cNvPr>
        <xdr:cNvSpPr txBox="1"/>
      </xdr:nvSpPr>
      <xdr:spPr>
        <a:xfrm>
          <a:off x="5905500" y="7993380"/>
          <a:ext cx="33147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D" sz="1200" b="1">
              <a:solidFill>
                <a:schemeClr val="bg2"/>
              </a:solidFill>
              <a:latin typeface="Bahnschrift" panose="020B0502040204020203" pitchFamily="34" charset="0"/>
            </a:rPr>
            <a:t>PENJUALAN PER KOTA</a:t>
          </a:r>
        </a:p>
      </xdr:txBody>
    </xdr:sp>
    <xdr:clientData/>
  </xdr:twoCellAnchor>
  <xdr:twoCellAnchor>
    <xdr:from>
      <xdr:col>9</xdr:col>
      <xdr:colOff>586740</xdr:colOff>
      <xdr:row>29</xdr:row>
      <xdr:rowOff>76200</xdr:rowOff>
    </xdr:from>
    <xdr:to>
      <xdr:col>17</xdr:col>
      <xdr:colOff>281940</xdr:colOff>
      <xdr:row>42</xdr:row>
      <xdr:rowOff>53340</xdr:rowOff>
    </xdr:to>
    <xdr:graphicFrame macro="">
      <xdr:nvGraphicFramePr>
        <xdr:cNvPr id="10" name="Chart 9">
          <a:extLst>
            <a:ext uri="{FF2B5EF4-FFF2-40B4-BE49-F238E27FC236}">
              <a16:creationId xmlns:a16="http://schemas.microsoft.com/office/drawing/2014/main" id="{0E17957F-F521-47FB-B24E-800E9CA4A3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472440</xdr:colOff>
      <xdr:row>23</xdr:row>
      <xdr:rowOff>38100</xdr:rowOff>
    </xdr:from>
    <xdr:to>
      <xdr:col>12</xdr:col>
      <xdr:colOff>434340</xdr:colOff>
      <xdr:row>24</xdr:row>
      <xdr:rowOff>83820</xdr:rowOff>
    </xdr:to>
    <xdr:sp macro="" textlink="Pivot!B10">
      <xdr:nvSpPr>
        <xdr:cNvPr id="11" name="TextBox 10">
          <a:extLst>
            <a:ext uri="{FF2B5EF4-FFF2-40B4-BE49-F238E27FC236}">
              <a16:creationId xmlns:a16="http://schemas.microsoft.com/office/drawing/2014/main" id="{1728CE6A-8480-4733-1E9F-85633F6857CE}"/>
            </a:ext>
          </a:extLst>
        </xdr:cNvPr>
        <xdr:cNvSpPr txBox="1"/>
      </xdr:nvSpPr>
      <xdr:spPr>
        <a:xfrm>
          <a:off x="6568440" y="424434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B6572E-1F03-4556-92F0-0F0B3EC53C73}" type="TxLink">
            <a:rPr lang="en-US" sz="1400" b="0" i="0" u="none" strike="noStrike">
              <a:ln>
                <a:noFill/>
              </a:ln>
              <a:solidFill>
                <a:schemeClr val="bg1"/>
              </a:solidFill>
              <a:latin typeface="Calibri"/>
              <a:ea typeface="Calibri"/>
              <a:cs typeface="Calibri"/>
            </a:rPr>
            <a:t>492</a:t>
          </a:fld>
          <a:endParaRPr lang="en-ID" sz="1400" b="1">
            <a:ln>
              <a:noFill/>
            </a:ln>
            <a:solidFill>
              <a:schemeClr val="bg1"/>
            </a:solidFill>
            <a:latin typeface="Bahnschrift" panose="020B0502040204020203" pitchFamily="34" charset="0"/>
          </a:endParaRPr>
        </a:p>
      </xdr:txBody>
    </xdr:sp>
    <xdr:clientData/>
  </xdr:twoCellAnchor>
  <xdr:twoCellAnchor>
    <xdr:from>
      <xdr:col>15</xdr:col>
      <xdr:colOff>22860</xdr:colOff>
      <xdr:row>23</xdr:row>
      <xdr:rowOff>30480</xdr:rowOff>
    </xdr:from>
    <xdr:to>
      <xdr:col>16</xdr:col>
      <xdr:colOff>594360</xdr:colOff>
      <xdr:row>24</xdr:row>
      <xdr:rowOff>76200</xdr:rowOff>
    </xdr:to>
    <xdr:sp macro="" textlink="Pivot!B14">
      <xdr:nvSpPr>
        <xdr:cNvPr id="16" name="TextBox 15">
          <a:extLst>
            <a:ext uri="{FF2B5EF4-FFF2-40B4-BE49-F238E27FC236}">
              <a16:creationId xmlns:a16="http://schemas.microsoft.com/office/drawing/2014/main" id="{BD2C9555-FCF8-809B-638F-4793ED649424}"/>
            </a:ext>
          </a:extLst>
        </xdr:cNvPr>
        <xdr:cNvSpPr txBox="1"/>
      </xdr:nvSpPr>
      <xdr:spPr>
        <a:xfrm>
          <a:off x="9166860" y="423672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8164DD9-5A61-4AD3-B1DF-7F206D957F60}" type="TxLink">
            <a:rPr lang="en-US" sz="1600" b="0" i="0" u="none" strike="noStrike">
              <a:ln>
                <a:noFill/>
              </a:ln>
              <a:solidFill>
                <a:schemeClr val="bg1"/>
              </a:solidFill>
              <a:latin typeface="Calibri"/>
              <a:ea typeface="Calibri"/>
              <a:cs typeface="Calibri"/>
            </a:rPr>
            <a:t>99</a:t>
          </a:fld>
          <a:endParaRPr lang="en-ID" sz="1600" b="1">
            <a:ln>
              <a:noFill/>
            </a:ln>
            <a:solidFill>
              <a:schemeClr val="bg1"/>
            </a:solidFill>
            <a:latin typeface="Bahnschrift" panose="020B0502040204020203" pitchFamily="34" charset="0"/>
          </a:endParaRPr>
        </a:p>
      </xdr:txBody>
    </xdr:sp>
    <xdr:clientData/>
  </xdr:twoCellAnchor>
  <xdr:twoCellAnchor>
    <xdr:from>
      <xdr:col>6</xdr:col>
      <xdr:colOff>342900</xdr:colOff>
      <xdr:row>23</xdr:row>
      <xdr:rowOff>45720</xdr:rowOff>
    </xdr:from>
    <xdr:to>
      <xdr:col>8</xdr:col>
      <xdr:colOff>304800</xdr:colOff>
      <xdr:row>24</xdr:row>
      <xdr:rowOff>91440</xdr:rowOff>
    </xdr:to>
    <xdr:sp macro="" textlink="Pivot!B6">
      <xdr:nvSpPr>
        <xdr:cNvPr id="19" name="TextBox 18">
          <a:extLst>
            <a:ext uri="{FF2B5EF4-FFF2-40B4-BE49-F238E27FC236}">
              <a16:creationId xmlns:a16="http://schemas.microsoft.com/office/drawing/2014/main" id="{F605042E-95EF-A87C-8DFC-589327A6C2C5}"/>
            </a:ext>
          </a:extLst>
        </xdr:cNvPr>
        <xdr:cNvSpPr txBox="1"/>
      </xdr:nvSpPr>
      <xdr:spPr>
        <a:xfrm>
          <a:off x="4000500" y="425196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D228E8A-BC80-43A9-A1B1-81A88C81FF10}" type="TxLink">
            <a:rPr lang="en-US" sz="1400" b="0" i="0" u="none" strike="noStrike">
              <a:ln>
                <a:noFill/>
              </a:ln>
              <a:solidFill>
                <a:schemeClr val="bg1"/>
              </a:solidFill>
              <a:latin typeface="Calibri"/>
              <a:ea typeface="Calibri"/>
              <a:cs typeface="Calibri"/>
            </a:rPr>
            <a:t>Rp209.530.000</a:t>
          </a:fld>
          <a:endParaRPr lang="en-ID" sz="1400" b="1">
            <a:ln>
              <a:noFill/>
            </a:ln>
            <a:solidFill>
              <a:schemeClr val="bg1"/>
            </a:solidFill>
            <a:latin typeface="Bahnschrift" panose="020B0502040204020203" pitchFamily="34" charset="0"/>
          </a:endParaRPr>
        </a:p>
      </xdr:txBody>
    </xdr:sp>
    <xdr:clientData/>
  </xdr:twoCellAnchor>
  <xdr:twoCellAnchor>
    <xdr:from>
      <xdr:col>2</xdr:col>
      <xdr:colOff>243840</xdr:colOff>
      <xdr:row>23</xdr:row>
      <xdr:rowOff>38100</xdr:rowOff>
    </xdr:from>
    <xdr:to>
      <xdr:col>4</xdr:col>
      <xdr:colOff>205740</xdr:colOff>
      <xdr:row>24</xdr:row>
      <xdr:rowOff>83820</xdr:rowOff>
    </xdr:to>
    <xdr:sp macro="" textlink="Pivot!B3">
      <xdr:nvSpPr>
        <xdr:cNvPr id="23" name="TextBox 22">
          <a:extLst>
            <a:ext uri="{FF2B5EF4-FFF2-40B4-BE49-F238E27FC236}">
              <a16:creationId xmlns:a16="http://schemas.microsoft.com/office/drawing/2014/main" id="{DF838F02-DB5C-1D55-C582-C4789307EDDD}"/>
            </a:ext>
          </a:extLst>
        </xdr:cNvPr>
        <xdr:cNvSpPr txBox="1"/>
      </xdr:nvSpPr>
      <xdr:spPr>
        <a:xfrm>
          <a:off x="1463040" y="4244340"/>
          <a:ext cx="1181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3FD5DD3-A264-4280-9548-A12007B0E67F}" type="TxLink">
            <a:rPr lang="en-US" sz="1400" b="0" i="0" u="none" strike="noStrike">
              <a:ln>
                <a:noFill/>
              </a:ln>
              <a:solidFill>
                <a:schemeClr val="bg1"/>
              </a:solidFill>
              <a:latin typeface="Calibri"/>
              <a:ea typeface="Calibri"/>
              <a:cs typeface="Calibri"/>
            </a:rPr>
            <a:t>Rp1.205.970.000</a:t>
          </a:fld>
          <a:endParaRPr lang="en-ID" sz="1400" b="1">
            <a:ln>
              <a:noFill/>
            </a:ln>
            <a:solidFill>
              <a:schemeClr val="bg1"/>
            </a:solidFill>
            <a:latin typeface="Bahnschrift" panose="020B0502040204020203" pitchFamily="34" charset="0"/>
          </a:endParaRPr>
        </a:p>
      </xdr:txBody>
    </xdr:sp>
    <xdr:clientData/>
  </xdr:twoCellAnchor>
  <xdr:twoCellAnchor>
    <xdr:from>
      <xdr:col>1</xdr:col>
      <xdr:colOff>144780</xdr:colOff>
      <xdr:row>46</xdr:row>
      <xdr:rowOff>60960</xdr:rowOff>
    </xdr:from>
    <xdr:to>
      <xdr:col>8</xdr:col>
      <xdr:colOff>449580</xdr:colOff>
      <xdr:row>57</xdr:row>
      <xdr:rowOff>83820</xdr:rowOff>
    </xdr:to>
    <xdr:graphicFrame macro="">
      <xdr:nvGraphicFramePr>
        <xdr:cNvPr id="26" name="Chart 25">
          <a:extLst>
            <a:ext uri="{FF2B5EF4-FFF2-40B4-BE49-F238E27FC236}">
              <a16:creationId xmlns:a16="http://schemas.microsoft.com/office/drawing/2014/main" id="{365762D2-567D-4C1E-B7CC-151D442C85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533400</xdr:colOff>
      <xdr:row>45</xdr:row>
      <xdr:rowOff>45720</xdr:rowOff>
    </xdr:from>
    <xdr:to>
      <xdr:col>17</xdr:col>
      <xdr:colOff>320040</xdr:colOff>
      <xdr:row>58</xdr:row>
      <xdr:rowOff>0</xdr:rowOff>
    </xdr:to>
    <xdr:graphicFrame macro="">
      <xdr:nvGraphicFramePr>
        <xdr:cNvPr id="28" name="Chart 27">
          <a:extLst>
            <a:ext uri="{FF2B5EF4-FFF2-40B4-BE49-F238E27FC236}">
              <a16:creationId xmlns:a16="http://schemas.microsoft.com/office/drawing/2014/main" id="{0D12E61A-DCF4-488F-899F-0DAD74F23D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653975</xdr:colOff>
      <xdr:row>34</xdr:row>
      <xdr:rowOff>147020</xdr:rowOff>
    </xdr:from>
    <xdr:to>
      <xdr:col>5</xdr:col>
      <xdr:colOff>349175</xdr:colOff>
      <xdr:row>48</xdr:row>
      <xdr:rowOff>103877</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606EEB70-DA2C-9223-BCCD-589DD9FF7FF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531646" y="6243020"/>
              <a:ext cx="1828800" cy="246697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483647</xdr:colOff>
      <xdr:row>34</xdr:row>
      <xdr:rowOff>164951</xdr:rowOff>
    </xdr:from>
    <xdr:to>
      <xdr:col>7</xdr:col>
      <xdr:colOff>779482</xdr:colOff>
      <xdr:row>48</xdr:row>
      <xdr:rowOff>121808</xdr:rowOff>
    </xdr:to>
    <mc:AlternateContent xmlns:mc="http://schemas.openxmlformats.org/markup-compatibility/2006" xmlns:a14="http://schemas.microsoft.com/office/drawing/2010/main">
      <mc:Choice Requires="a14">
        <xdr:graphicFrame macro="">
          <xdr:nvGraphicFramePr>
            <xdr:cNvPr id="6" name="Kota">
              <a:extLst>
                <a:ext uri="{FF2B5EF4-FFF2-40B4-BE49-F238E27FC236}">
                  <a16:creationId xmlns:a16="http://schemas.microsoft.com/office/drawing/2014/main" id="{C8322272-BDCA-A866-6819-D226B997B583}"/>
                </a:ext>
              </a:extLst>
            </xdr:cNvPr>
            <xdr:cNvGraphicFramePr/>
          </xdr:nvGraphicFramePr>
          <xdr:xfrm>
            <a:off x="0" y="0"/>
            <a:ext cx="0" cy="0"/>
          </xdr:xfrm>
          <a:graphic>
            <a:graphicData uri="http://schemas.microsoft.com/office/drawing/2010/slicer">
              <sle:slicer xmlns:sle="http://schemas.microsoft.com/office/drawing/2010/slicer" name="Kota"/>
            </a:graphicData>
          </a:graphic>
        </xdr:graphicFrame>
      </mc:Choice>
      <mc:Fallback xmlns="">
        <xdr:sp macro="" textlink="">
          <xdr:nvSpPr>
            <xdr:cNvPr id="0" name=""/>
            <xdr:cNvSpPr>
              <a:spLocks noTextEdit="1"/>
            </xdr:cNvSpPr>
          </xdr:nvSpPr>
          <xdr:spPr>
            <a:xfrm>
              <a:off x="5530776" y="6260951"/>
              <a:ext cx="1828800" cy="246697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196775</xdr:colOff>
      <xdr:row>35</xdr:row>
      <xdr:rowOff>21516</xdr:rowOff>
    </xdr:from>
    <xdr:to>
      <xdr:col>9</xdr:col>
      <xdr:colOff>1415975</xdr:colOff>
      <xdr:row>48</xdr:row>
      <xdr:rowOff>157667</xdr:rowOff>
    </xdr:to>
    <mc:AlternateContent xmlns:mc="http://schemas.openxmlformats.org/markup-compatibility/2006" xmlns:a14="http://schemas.microsoft.com/office/drawing/2010/main">
      <mc:Choice Requires="a14">
        <xdr:graphicFrame macro="">
          <xdr:nvGraphicFramePr>
            <xdr:cNvPr id="7" name="Sales Name">
              <a:extLst>
                <a:ext uri="{FF2B5EF4-FFF2-40B4-BE49-F238E27FC236}">
                  <a16:creationId xmlns:a16="http://schemas.microsoft.com/office/drawing/2014/main" id="{05BD23E9-9E74-6565-6BBA-C8355904995D}"/>
                </a:ext>
              </a:extLst>
            </xdr:cNvPr>
            <xdr:cNvGraphicFramePr/>
          </xdr:nvGraphicFramePr>
          <xdr:xfrm>
            <a:off x="0" y="0"/>
            <a:ext cx="0" cy="0"/>
          </xdr:xfrm>
          <a:graphic>
            <a:graphicData uri="http://schemas.microsoft.com/office/drawing/2010/slicer">
              <sle:slicer xmlns:sle="http://schemas.microsoft.com/office/drawing/2010/slicer" name="Sales Name"/>
            </a:graphicData>
          </a:graphic>
        </xdr:graphicFrame>
      </mc:Choice>
      <mc:Fallback xmlns="">
        <xdr:sp macro="" textlink="">
          <xdr:nvSpPr>
            <xdr:cNvPr id="0" name=""/>
            <xdr:cNvSpPr>
              <a:spLocks noTextEdit="1"/>
            </xdr:cNvSpPr>
          </xdr:nvSpPr>
          <xdr:spPr>
            <a:xfrm>
              <a:off x="7843669" y="6296810"/>
              <a:ext cx="1828800" cy="246697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409687</xdr:colOff>
      <xdr:row>34</xdr:row>
      <xdr:rowOff>54685</xdr:rowOff>
    </xdr:from>
    <xdr:to>
      <xdr:col>19</xdr:col>
      <xdr:colOff>537882</xdr:colOff>
      <xdr:row>41</xdr:row>
      <xdr:rowOff>171226</xdr:rowOff>
    </xdr:to>
    <mc:AlternateContent xmlns:mc="http://schemas.openxmlformats.org/markup-compatibility/2006">
      <mc:Choice xmlns:tsle="http://schemas.microsoft.com/office/drawing/2012/timeslicer" Requires="tsle">
        <xdr:graphicFrame macro="">
          <xdr:nvGraphicFramePr>
            <xdr:cNvPr id="9" name="Date">
              <a:extLst>
                <a:ext uri="{FF2B5EF4-FFF2-40B4-BE49-F238E27FC236}">
                  <a16:creationId xmlns:a16="http://schemas.microsoft.com/office/drawing/2014/main" id="{AFB74B6F-D4B2-87FC-A6CB-DD4F7B01DA51}"/>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14699428" y="6150685"/>
              <a:ext cx="3337560" cy="1371600"/>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xdr:from>
      <xdr:col>10</xdr:col>
      <xdr:colOff>291353</xdr:colOff>
      <xdr:row>34</xdr:row>
      <xdr:rowOff>71718</xdr:rowOff>
    </xdr:from>
    <xdr:to>
      <xdr:col>15</xdr:col>
      <xdr:colOff>219635</xdr:colOff>
      <xdr:row>49</xdr:row>
      <xdr:rowOff>125506</xdr:rowOff>
    </xdr:to>
    <xdr:graphicFrame macro="">
      <xdr:nvGraphicFramePr>
        <xdr:cNvPr id="11" name="Chart 10">
          <a:extLst>
            <a:ext uri="{FF2B5EF4-FFF2-40B4-BE49-F238E27FC236}">
              <a16:creationId xmlns:a16="http://schemas.microsoft.com/office/drawing/2014/main" id="{C8AE117B-19DC-2597-F4B8-954616191F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49306</xdr:colOff>
      <xdr:row>15</xdr:row>
      <xdr:rowOff>35858</xdr:rowOff>
    </xdr:from>
    <xdr:to>
      <xdr:col>4</xdr:col>
      <xdr:colOff>847165</xdr:colOff>
      <xdr:row>30</xdr:row>
      <xdr:rowOff>89646</xdr:rowOff>
    </xdr:to>
    <xdr:graphicFrame macro="">
      <xdr:nvGraphicFramePr>
        <xdr:cNvPr id="12" name="Chart 11">
          <a:extLst>
            <a:ext uri="{FF2B5EF4-FFF2-40B4-BE49-F238E27FC236}">
              <a16:creationId xmlns:a16="http://schemas.microsoft.com/office/drawing/2014/main" id="{B73AEAEF-5452-FA5D-0726-DC15C55373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31376</xdr:colOff>
      <xdr:row>32</xdr:row>
      <xdr:rowOff>134469</xdr:rowOff>
    </xdr:from>
    <xdr:to>
      <xdr:col>11</xdr:col>
      <xdr:colOff>614082</xdr:colOff>
      <xdr:row>41</xdr:row>
      <xdr:rowOff>170329</xdr:rowOff>
    </xdr:to>
    <xdr:graphicFrame macro="">
      <xdr:nvGraphicFramePr>
        <xdr:cNvPr id="13" name="Chart 12">
          <a:extLst>
            <a:ext uri="{FF2B5EF4-FFF2-40B4-BE49-F238E27FC236}">
              <a16:creationId xmlns:a16="http://schemas.microsoft.com/office/drawing/2014/main" id="{A5FFFDDF-210A-5D4B-8210-D5CA807FF9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515471</xdr:colOff>
      <xdr:row>38</xdr:row>
      <xdr:rowOff>107577</xdr:rowOff>
    </xdr:from>
    <xdr:to>
      <xdr:col>15</xdr:col>
      <xdr:colOff>443753</xdr:colOff>
      <xdr:row>53</xdr:row>
      <xdr:rowOff>161365</xdr:rowOff>
    </xdr:to>
    <xdr:graphicFrame macro="">
      <xdr:nvGraphicFramePr>
        <xdr:cNvPr id="14" name="Chart 13">
          <a:extLst>
            <a:ext uri="{FF2B5EF4-FFF2-40B4-BE49-F238E27FC236}">
              <a16:creationId xmlns:a16="http://schemas.microsoft.com/office/drawing/2014/main" id="{36DC6999-39BA-95A1-8C0E-21430C85B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hmal Novanda" refreshedDate="46231.72730150463" createdVersion="8" refreshedVersion="8" minRefreshableVersion="3" recordCount="99" xr:uid="{8F61FEA4-404F-401A-9F28-57BB8F977CBE}">
  <cacheSource type="worksheet">
    <worksheetSource name="Table6"/>
  </cacheSource>
  <cacheFields count="16">
    <cacheField name="Order ID" numFmtId="0">
      <sharedItems/>
    </cacheField>
    <cacheField name="Date" numFmtId="165">
      <sharedItems containsSemiMixedTypes="0" containsNonDate="0" containsDate="1" containsString="0" minDate="2025-03-02T00:00:00" maxDate="2025-06-10T00:00:00" count="99">
        <d v="2025-03-02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sharedItems>
    </cacheField>
    <cacheField name="Customer ID" numFmtId="0">
      <sharedItems/>
    </cacheField>
    <cacheField name="Product ID" numFmtId="0">
      <sharedItems/>
    </cacheField>
    <cacheField name="Sales ID" numFmtId="0">
      <sharedItems/>
    </cacheField>
    <cacheField name="Customer Name" numFmtId="0">
      <sharedItems/>
    </cacheField>
    <cacheField name="Product Name" numFmtId="0">
      <sharedItems count="28">
        <s v="USB Hub 4 Port"/>
        <s v="UPS APC 650VA"/>
        <s v="Monitor Samsung 27&quot;"/>
        <s v="Laptop HP 18"/>
        <s v="HDMI Cable"/>
        <s v="Mechanical Keyboard"/>
        <s v="Webcam Logitech"/>
        <s v="Laptop ASUS Vivobook"/>
        <s v="Wireless Mouse Logitech"/>
        <s v="Monitor LG 24&quot;"/>
        <s v="SSD 1TB Kingston"/>
        <s v="Headset HyperX"/>
        <s v="Laptop HP 16"/>
        <s v="RAM DDR4 16GB"/>
        <s v="Router TP-Link"/>
        <s v="Speaker Logitech"/>
        <s v="SSD 512GB Samsung"/>
        <s v="Printer Epson L3250"/>
        <s v="Flashdisk 64GB"/>
        <s v="Laptop HP 17"/>
        <s v="Laptop HP 14"/>
        <s v="Printer Epson L3252"/>
        <s v="Printer Epson L3254"/>
        <s v="Laptop Lenovo IdeaPad"/>
        <s v="External HDD 2TB"/>
        <s v="Printer Epson L3251"/>
        <s v="Laptop HP 15"/>
        <s v="Printer Epson L3253" u="1"/>
      </sharedItems>
    </cacheField>
    <cacheField name="Sales Name" numFmtId="0">
      <sharedItems count="20">
        <s v="Budi Santoso"/>
        <s v="Gita Maharani"/>
        <s v="Olivia Putri"/>
        <s v="Joko Susilo"/>
        <s v="Muhammad Rizki"/>
        <s v="Teguh Hidayat"/>
        <s v="Nanda Prasetyo"/>
        <s v="Qori Amanda"/>
        <s v="Intan Permata"/>
        <s v="Eka Putri"/>
        <s v="Sinta Maharani"/>
        <s v="Rian Kurniawan"/>
        <s v="Kevin Saputra"/>
        <s v="Andi Pratama"/>
        <s v="Hendra Wijaya"/>
        <s v="Dimas Saputra"/>
        <s v="Fajar Nugroho"/>
        <s v="Lestari Wulandari"/>
        <s v="Citra Lestari"/>
        <s v="Putra Ramadhan"/>
      </sharedItems>
    </cacheField>
    <cacheField name="Kota" numFmtId="0">
      <sharedItems count="20">
        <s v="Bandung"/>
        <s v="Yogyakarta"/>
        <s v="Batam"/>
        <s v="Bekasi"/>
        <s v="Bogor"/>
        <s v="Cirebon"/>
        <s v="Malang"/>
        <s v="Pontianak"/>
        <s v="Palembang"/>
        <s v="Makassar"/>
        <s v="Solo"/>
        <s v="Banjarmasin"/>
        <s v="Tangerang"/>
        <s v="Jakarta"/>
        <s v="Bali"/>
        <s v="Medan"/>
        <s v="Semarang"/>
        <s v="Depok"/>
        <s v="Surabaya"/>
        <s v="Pekanbaru"/>
      </sharedItems>
    </cacheField>
    <cacheField name="Qty" numFmtId="0">
      <sharedItems containsSemiMixedTypes="0" containsString="0" containsNumber="1" containsInteger="1" minValue="1" maxValue="10"/>
    </cacheField>
    <cacheField name="Price" numFmtId="0">
      <sharedItems containsSemiMixedTypes="0" containsString="0" containsNumber="1" containsInteger="1" minValue="90000" maxValue="9200000"/>
    </cacheField>
    <cacheField name="Cost" numFmtId="0">
      <sharedItems containsSemiMixedTypes="0" containsString="0" containsNumber="1" containsInteger="1" minValue="50000" maxValue="7900000"/>
    </cacheField>
    <cacheField name="Revenue" numFmtId="0">
      <sharedItems containsSemiMixedTypes="0" containsString="0" containsNumber="1" containsInteger="1" minValue="90000" maxValue="85000000"/>
    </cacheField>
    <cacheField name="Total Cost" numFmtId="0">
      <sharedItems containsSemiMixedTypes="0" containsString="0" containsNumber="1" containsInteger="1" minValue="50000" maxValue="72000000"/>
    </cacheField>
    <cacheField name="Profit" numFmtId="2">
      <sharedItems containsSemiMixedTypes="0" containsString="0" containsNumber="1" containsInteger="1" minValue="40000" maxValue="13000000"/>
    </cacheField>
    <cacheField name="Category" numFmtId="0">
      <sharedItems count="9">
        <s v="Accessories"/>
        <s v="Power"/>
        <s v="Monitor"/>
        <s v="Laptop"/>
        <s v="Storage"/>
        <s v="Components"/>
        <s v="Network"/>
        <s v="Audio"/>
        <s v="Printer"/>
      </sharedItems>
    </cacheField>
  </cacheFields>
  <extLst>
    <ext xmlns:x14="http://schemas.microsoft.com/office/spreadsheetml/2009/9/main" uri="{725AE2AE-9491-48be-B2B4-4EB974FC3084}">
      <x14:pivotCacheDefinition pivotCacheId="1772137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s v="0078"/>
    <x v="0"/>
    <s v="C014"/>
    <s v="P040"/>
    <s v="S002"/>
    <s v="CV Nusantara Jaya"/>
    <x v="0"/>
    <x v="0"/>
    <x v="0"/>
    <n v="2"/>
    <n v="150000"/>
    <n v="90000"/>
    <n v="300000"/>
    <n v="180000"/>
    <n v="120000"/>
    <x v="0"/>
  </r>
  <r>
    <s v="0083"/>
    <x v="1"/>
    <s v="C001"/>
    <s v="P075"/>
    <s v="S007"/>
    <s v="PT Maju Jaya"/>
    <x v="1"/>
    <x v="1"/>
    <x v="1"/>
    <n v="4"/>
    <n v="950000"/>
    <n v="760000"/>
    <n v="3800000"/>
    <n v="3040000"/>
    <n v="760000"/>
    <x v="1"/>
  </r>
  <r>
    <s v="0073"/>
    <x v="2"/>
    <s v="C019"/>
    <s v="P025"/>
    <s v="S015"/>
    <s v="PT Harapan Baru"/>
    <x v="2"/>
    <x v="2"/>
    <x v="2"/>
    <n v="1"/>
    <n v="3200000"/>
    <n v="2600000"/>
    <n v="3200000"/>
    <n v="2600000"/>
    <n v="600000"/>
    <x v="2"/>
  </r>
  <r>
    <s v="0022"/>
    <x v="3"/>
    <s v="C016"/>
    <s v="P083"/>
    <s v="S010"/>
    <s v="PT Global Nusantara"/>
    <x v="3"/>
    <x v="3"/>
    <x v="3"/>
    <n v="5"/>
    <n v="7800000"/>
    <n v="6500000"/>
    <n v="39000000"/>
    <n v="32500000"/>
    <n v="6500000"/>
    <x v="3"/>
  </r>
  <r>
    <s v="0057"/>
    <x v="4"/>
    <s v="C008"/>
    <s v="P019"/>
    <s v="S013"/>
    <s v="PT Cahaya Abadi"/>
    <x v="4"/>
    <x v="4"/>
    <x v="4"/>
    <n v="6"/>
    <n v="90000"/>
    <n v="50000"/>
    <n v="540000"/>
    <n v="300000"/>
    <n v="240000"/>
    <x v="0"/>
  </r>
  <r>
    <s v="0022"/>
    <x v="5"/>
    <s v="C004"/>
    <s v="P046"/>
    <s v="S020"/>
    <s v="PT Global Digital"/>
    <x v="5"/>
    <x v="5"/>
    <x v="5"/>
    <n v="3"/>
    <n v="750000"/>
    <n v="520000"/>
    <n v="2250000"/>
    <n v="1560000"/>
    <n v="690000"/>
    <x v="0"/>
  </r>
  <r>
    <s v="0069"/>
    <x v="6"/>
    <s v="C009"/>
    <s v="P039"/>
    <s v="S014"/>
    <s v="PT Andalan Prima"/>
    <x v="4"/>
    <x v="6"/>
    <x v="6"/>
    <n v="9"/>
    <n v="90000"/>
    <n v="50000"/>
    <n v="810000"/>
    <n v="450000"/>
    <n v="360000"/>
    <x v="0"/>
  </r>
  <r>
    <s v="0004"/>
    <x v="7"/>
    <s v="C010"/>
    <s v="P086"/>
    <s v="S017"/>
    <s v="PT Bintang Timur"/>
    <x v="5"/>
    <x v="7"/>
    <x v="7"/>
    <n v="1"/>
    <n v="750000"/>
    <n v="520000"/>
    <n v="750000"/>
    <n v="520000"/>
    <n v="230000"/>
    <x v="0"/>
  </r>
  <r>
    <s v="0095"/>
    <x v="8"/>
    <s v="C016"/>
    <s v="P052"/>
    <s v="S009"/>
    <s v="PT Global Nusantara"/>
    <x v="6"/>
    <x v="8"/>
    <x v="8"/>
    <n v="5"/>
    <n v="680000"/>
    <n v="520000"/>
    <n v="3400000"/>
    <n v="2600000"/>
    <n v="800000"/>
    <x v="0"/>
  </r>
  <r>
    <s v="0002"/>
    <x v="9"/>
    <s v="C011"/>
    <s v="P012"/>
    <s v="S013"/>
    <s v="CV Karya Mandiri"/>
    <x v="6"/>
    <x v="4"/>
    <x v="4"/>
    <n v="7"/>
    <n v="680000"/>
    <n v="520000"/>
    <n v="4760000"/>
    <n v="3640000"/>
    <n v="1120000"/>
    <x v="0"/>
  </r>
  <r>
    <s v="0019"/>
    <x v="10"/>
    <s v="C006"/>
    <s v="P081"/>
    <s v="S013"/>
    <s v="CV Maju Bersama"/>
    <x v="7"/>
    <x v="4"/>
    <x v="4"/>
    <n v="6"/>
    <n v="8500000"/>
    <n v="7200000"/>
    <n v="51000000"/>
    <n v="43200000"/>
    <n v="7800000"/>
    <x v="3"/>
  </r>
  <r>
    <s v="0041"/>
    <x v="11"/>
    <s v="C007"/>
    <s v="P027"/>
    <s v="S020"/>
    <s v="PT Mitra Solusi"/>
    <x v="8"/>
    <x v="5"/>
    <x v="5"/>
    <n v="8"/>
    <n v="250000"/>
    <n v="150000"/>
    <n v="2000000"/>
    <n v="1200000"/>
    <n v="800000"/>
    <x v="0"/>
  </r>
  <r>
    <s v="0029"/>
    <x v="12"/>
    <s v="C010"/>
    <s v="P079"/>
    <s v="S014"/>
    <s v="PT Bintang Timur"/>
    <x v="4"/>
    <x v="6"/>
    <x v="6"/>
    <n v="1"/>
    <n v="90000"/>
    <n v="50000"/>
    <n v="90000"/>
    <n v="50000"/>
    <n v="40000"/>
    <x v="0"/>
  </r>
  <r>
    <s v="0088"/>
    <x v="13"/>
    <s v="C012"/>
    <s v="P004"/>
    <s v="S005"/>
    <s v="PT Sukses Makmur"/>
    <x v="9"/>
    <x v="9"/>
    <x v="9"/>
    <n v="8"/>
    <n v="2100000"/>
    <n v="1700000"/>
    <n v="16800000"/>
    <n v="13600000"/>
    <n v="3200000"/>
    <x v="2"/>
  </r>
  <r>
    <s v="0083"/>
    <x v="14"/>
    <s v="C015"/>
    <s v="P015"/>
    <s v="S019"/>
    <s v="PT Sentosa Abadi"/>
    <x v="1"/>
    <x v="10"/>
    <x v="10"/>
    <n v="6"/>
    <n v="950000"/>
    <n v="760000"/>
    <n v="5700000"/>
    <n v="4560000"/>
    <n v="1140000"/>
    <x v="1"/>
  </r>
  <r>
    <s v="0060"/>
    <x v="15"/>
    <s v="C017"/>
    <s v="P007"/>
    <s v="S009"/>
    <s v="CV Berkah Mandiri"/>
    <x v="8"/>
    <x v="8"/>
    <x v="8"/>
    <n v="1"/>
    <n v="250000"/>
    <n v="150000"/>
    <n v="250000"/>
    <n v="150000"/>
    <n v="100000"/>
    <x v="0"/>
  </r>
  <r>
    <s v="0083"/>
    <x v="16"/>
    <s v="C005"/>
    <s v="P021"/>
    <s v="S018"/>
    <s v="PT Berkah Sejahtera"/>
    <x v="7"/>
    <x v="11"/>
    <x v="11"/>
    <n v="10"/>
    <n v="8500000"/>
    <n v="7200000"/>
    <n v="85000000"/>
    <n v="72000000"/>
    <n v="13000000"/>
    <x v="3"/>
  </r>
  <r>
    <s v="0031"/>
    <x v="17"/>
    <s v="C015"/>
    <s v="P020"/>
    <s v="S018"/>
    <s v="PT Sentosa Abadi"/>
    <x v="0"/>
    <x v="11"/>
    <x v="11"/>
    <n v="7"/>
    <n v="150000"/>
    <n v="90000"/>
    <n v="1050000"/>
    <n v="630000"/>
    <n v="420000"/>
    <x v="0"/>
  </r>
  <r>
    <s v="0047"/>
    <x v="18"/>
    <s v="C010"/>
    <s v="P084"/>
    <s v="S009"/>
    <s v="PT Bintang Timur"/>
    <x v="9"/>
    <x v="8"/>
    <x v="8"/>
    <n v="2"/>
    <n v="2100000"/>
    <n v="1700000"/>
    <n v="4200000"/>
    <n v="3400000"/>
    <n v="800000"/>
    <x v="2"/>
  </r>
  <r>
    <s v="0060"/>
    <x v="19"/>
    <s v="C004"/>
    <s v="P088"/>
    <s v="S019"/>
    <s v="PT Global Digital"/>
    <x v="10"/>
    <x v="10"/>
    <x v="10"/>
    <n v="7"/>
    <n v="1250000"/>
    <n v="980000"/>
    <n v="8750000"/>
    <n v="6860000"/>
    <n v="1890000"/>
    <x v="4"/>
  </r>
  <r>
    <s v="0036"/>
    <x v="20"/>
    <s v="C008"/>
    <s v="P013"/>
    <s v="S020"/>
    <s v="PT Cahaya Abadi"/>
    <x v="11"/>
    <x v="5"/>
    <x v="5"/>
    <n v="4"/>
    <n v="890000"/>
    <n v="690000"/>
    <n v="3560000"/>
    <n v="2760000"/>
    <n v="800000"/>
    <x v="0"/>
  </r>
  <r>
    <s v="0055"/>
    <x v="21"/>
    <s v="C019"/>
    <s v="P043"/>
    <s v="S010"/>
    <s v="PT Harapan Baru"/>
    <x v="12"/>
    <x v="3"/>
    <x v="3"/>
    <n v="7"/>
    <n v="7800000"/>
    <n v="6500000"/>
    <n v="54600000"/>
    <n v="45500000"/>
    <n v="9100000"/>
    <x v="3"/>
  </r>
  <r>
    <s v="0049"/>
    <x v="22"/>
    <s v="C003"/>
    <s v="P039"/>
    <s v="S017"/>
    <s v="CV Sinar Teknologi"/>
    <x v="4"/>
    <x v="7"/>
    <x v="7"/>
    <n v="10"/>
    <n v="90000"/>
    <n v="50000"/>
    <n v="900000"/>
    <n v="500000"/>
    <n v="400000"/>
    <x v="0"/>
  </r>
  <r>
    <s v="0003"/>
    <x v="23"/>
    <s v="C011"/>
    <s v="P058"/>
    <s v="S019"/>
    <s v="CV Karya Mandiri"/>
    <x v="13"/>
    <x v="10"/>
    <x v="10"/>
    <n v="1"/>
    <n v="980000"/>
    <n v="780000"/>
    <n v="980000"/>
    <n v="780000"/>
    <n v="200000"/>
    <x v="5"/>
  </r>
  <r>
    <s v="0070"/>
    <x v="24"/>
    <s v="C001"/>
    <s v="P076"/>
    <s v="S011"/>
    <s v="PT Maju Jaya"/>
    <x v="14"/>
    <x v="12"/>
    <x v="12"/>
    <n v="10"/>
    <n v="670000"/>
    <n v="510000"/>
    <n v="6700000"/>
    <n v="5100000"/>
    <n v="1600000"/>
    <x v="6"/>
  </r>
  <r>
    <s v="0014"/>
    <x v="25"/>
    <s v="C005"/>
    <s v="P041"/>
    <s v="S001"/>
    <s v="PT Berkah Sejahtera"/>
    <x v="7"/>
    <x v="13"/>
    <x v="13"/>
    <n v="1"/>
    <n v="8500000"/>
    <n v="7200000"/>
    <n v="8500000"/>
    <n v="7200000"/>
    <n v="1300000"/>
    <x v="3"/>
  </r>
  <r>
    <s v="0096"/>
    <x v="26"/>
    <s v="C014"/>
    <s v="P047"/>
    <s v="S015"/>
    <s v="CV Nusantara Jaya"/>
    <x v="8"/>
    <x v="2"/>
    <x v="2"/>
    <n v="1"/>
    <n v="250000"/>
    <n v="150000"/>
    <n v="250000"/>
    <n v="150000"/>
    <n v="100000"/>
    <x v="0"/>
  </r>
  <r>
    <s v="0021"/>
    <x v="27"/>
    <s v="C011"/>
    <s v="P007"/>
    <s v="S008"/>
    <s v="CV Karya Mandiri"/>
    <x v="8"/>
    <x v="14"/>
    <x v="14"/>
    <n v="8"/>
    <n v="250000"/>
    <n v="150000"/>
    <n v="2000000"/>
    <n v="1200000"/>
    <n v="800000"/>
    <x v="0"/>
  </r>
  <r>
    <s v="0070"/>
    <x v="28"/>
    <s v="C016"/>
    <s v="P094"/>
    <s v="S008"/>
    <s v="PT Global Nusantara"/>
    <x v="15"/>
    <x v="14"/>
    <x v="14"/>
    <n v="8"/>
    <n v="780000"/>
    <n v="590000"/>
    <n v="6240000"/>
    <n v="4720000"/>
    <n v="1520000"/>
    <x v="7"/>
  </r>
  <r>
    <s v="0011"/>
    <x v="29"/>
    <s v="C005"/>
    <s v="P052"/>
    <s v="S004"/>
    <s v="PT Berkah Sejahtera"/>
    <x v="6"/>
    <x v="15"/>
    <x v="15"/>
    <n v="1"/>
    <n v="680000"/>
    <n v="520000"/>
    <n v="680000"/>
    <n v="520000"/>
    <n v="160000"/>
    <x v="0"/>
  </r>
  <r>
    <s v="0077"/>
    <x v="30"/>
    <s v="C017"/>
    <s v="P029"/>
    <s v="S019"/>
    <s v="CV Berkah Mandiri"/>
    <x v="16"/>
    <x v="10"/>
    <x v="10"/>
    <n v="4"/>
    <n v="850000"/>
    <n v="670000"/>
    <n v="3400000"/>
    <n v="2680000"/>
    <n v="720000"/>
    <x v="4"/>
  </r>
  <r>
    <s v="0020"/>
    <x v="31"/>
    <s v="C006"/>
    <s v="P065"/>
    <s v="S015"/>
    <s v="CV Maju Bersama"/>
    <x v="2"/>
    <x v="2"/>
    <x v="2"/>
    <n v="9"/>
    <n v="3200000"/>
    <n v="2600000"/>
    <n v="28800000"/>
    <n v="23400000"/>
    <n v="5400000"/>
    <x v="2"/>
  </r>
  <r>
    <s v="0078"/>
    <x v="32"/>
    <s v="C013"/>
    <s v="P013"/>
    <s v="S010"/>
    <s v="PT Prima Teknologi"/>
    <x v="11"/>
    <x v="3"/>
    <x v="3"/>
    <n v="2"/>
    <n v="890000"/>
    <n v="690000"/>
    <n v="1780000"/>
    <n v="1380000"/>
    <n v="400000"/>
    <x v="0"/>
  </r>
  <r>
    <s v="0057"/>
    <x v="33"/>
    <s v="C019"/>
    <s v="P011"/>
    <s v="S014"/>
    <s v="PT Harapan Baru"/>
    <x v="17"/>
    <x v="6"/>
    <x v="6"/>
    <n v="4"/>
    <n v="2900000"/>
    <n v="2400000"/>
    <n v="11600000"/>
    <n v="9600000"/>
    <n v="2000000"/>
    <x v="8"/>
  </r>
  <r>
    <s v="0005"/>
    <x v="34"/>
    <s v="C003"/>
    <s v="P007"/>
    <s v="S006"/>
    <s v="CV Sinar Teknologi"/>
    <x v="8"/>
    <x v="16"/>
    <x v="16"/>
    <n v="4"/>
    <n v="250000"/>
    <n v="150000"/>
    <n v="1000000"/>
    <n v="600000"/>
    <n v="400000"/>
    <x v="0"/>
  </r>
  <r>
    <s v="0021"/>
    <x v="35"/>
    <s v="C011"/>
    <s v="P016"/>
    <s v="S012"/>
    <s v="CV Karya Mandiri"/>
    <x v="14"/>
    <x v="17"/>
    <x v="17"/>
    <n v="9"/>
    <n v="670000"/>
    <n v="510000"/>
    <n v="6030000"/>
    <n v="4590000"/>
    <n v="1440000"/>
    <x v="6"/>
  </r>
  <r>
    <s v="0095"/>
    <x v="36"/>
    <s v="C002"/>
    <s v="P043"/>
    <s v="S004"/>
    <s v="PT Nusantara Abadi"/>
    <x v="12"/>
    <x v="15"/>
    <x v="15"/>
    <n v="3"/>
    <n v="7800000"/>
    <n v="6500000"/>
    <n v="23400000"/>
    <n v="19500000"/>
    <n v="3900000"/>
    <x v="3"/>
  </r>
  <r>
    <s v="0068"/>
    <x v="37"/>
    <s v="C017"/>
    <s v="P019"/>
    <s v="S020"/>
    <s v="CV Berkah Mandiri"/>
    <x v="4"/>
    <x v="5"/>
    <x v="5"/>
    <n v="6"/>
    <n v="90000"/>
    <n v="50000"/>
    <n v="540000"/>
    <n v="300000"/>
    <n v="240000"/>
    <x v="0"/>
  </r>
  <r>
    <s v="0026"/>
    <x v="38"/>
    <s v="C007"/>
    <s v="P043"/>
    <s v="S018"/>
    <s v="PT Mitra Solusi"/>
    <x v="12"/>
    <x v="11"/>
    <x v="11"/>
    <n v="4"/>
    <n v="7800000"/>
    <n v="6500000"/>
    <n v="31200000"/>
    <n v="26000000"/>
    <n v="5200000"/>
    <x v="3"/>
  </r>
  <r>
    <s v="0059"/>
    <x v="39"/>
    <s v="C012"/>
    <s v="P041"/>
    <s v="S008"/>
    <s v="PT Sukses Makmur"/>
    <x v="7"/>
    <x v="14"/>
    <x v="14"/>
    <n v="2"/>
    <n v="8500000"/>
    <n v="7200000"/>
    <n v="17000000"/>
    <n v="14400000"/>
    <n v="2600000"/>
    <x v="3"/>
  </r>
  <r>
    <s v="0035"/>
    <x v="40"/>
    <s v="C009"/>
    <s v="P030"/>
    <s v="S018"/>
    <s v="PT Andalan Prima"/>
    <x v="18"/>
    <x v="11"/>
    <x v="11"/>
    <n v="3"/>
    <n v="120000"/>
    <n v="80000"/>
    <n v="360000"/>
    <n v="240000"/>
    <n v="120000"/>
    <x v="4"/>
  </r>
  <r>
    <s v="0061"/>
    <x v="41"/>
    <s v="C019"/>
    <s v="P009"/>
    <s v="S007"/>
    <s v="PT Harapan Baru"/>
    <x v="16"/>
    <x v="1"/>
    <x v="1"/>
    <n v="8"/>
    <n v="850000"/>
    <n v="670000"/>
    <n v="6800000"/>
    <n v="5360000"/>
    <n v="1440000"/>
    <x v="4"/>
  </r>
  <r>
    <s v="0008"/>
    <x v="42"/>
    <s v="C015"/>
    <s v="P011"/>
    <s v="S020"/>
    <s v="PT Sentosa Abadi"/>
    <x v="17"/>
    <x v="5"/>
    <x v="5"/>
    <n v="3"/>
    <n v="2900000"/>
    <n v="2400000"/>
    <n v="8700000"/>
    <n v="7200000"/>
    <n v="1500000"/>
    <x v="8"/>
  </r>
  <r>
    <s v="0038"/>
    <x v="43"/>
    <s v="C017"/>
    <s v="P072"/>
    <s v="S010"/>
    <s v="CV Berkah Mandiri"/>
    <x v="6"/>
    <x v="3"/>
    <x v="3"/>
    <n v="9"/>
    <n v="680000"/>
    <n v="520000"/>
    <n v="6120000"/>
    <n v="4680000"/>
    <n v="1440000"/>
    <x v="0"/>
  </r>
  <r>
    <s v="0073"/>
    <x v="44"/>
    <s v="C002"/>
    <s v="P063"/>
    <s v="S013"/>
    <s v="PT Nusantara Abadi"/>
    <x v="19"/>
    <x v="4"/>
    <x v="4"/>
    <n v="5"/>
    <n v="7800000"/>
    <n v="6500000"/>
    <n v="39000000"/>
    <n v="32500000"/>
    <n v="6500000"/>
    <x v="3"/>
  </r>
  <r>
    <s v="0015"/>
    <x v="45"/>
    <s v="C012"/>
    <s v="P078"/>
    <s v="S019"/>
    <s v="PT Sukses Makmur"/>
    <x v="13"/>
    <x v="10"/>
    <x v="10"/>
    <n v="4"/>
    <n v="980000"/>
    <n v="780000"/>
    <n v="3920000"/>
    <n v="3120000"/>
    <n v="800000"/>
    <x v="5"/>
  </r>
  <r>
    <s v="0031"/>
    <x v="46"/>
    <s v="C001"/>
    <s v="P010"/>
    <s v="S014"/>
    <s v="PT Maju Jaya"/>
    <x v="18"/>
    <x v="6"/>
    <x v="6"/>
    <n v="10"/>
    <n v="120000"/>
    <n v="80000"/>
    <n v="1200000"/>
    <n v="800000"/>
    <n v="400000"/>
    <x v="4"/>
  </r>
  <r>
    <s v="0053"/>
    <x v="47"/>
    <s v="C005"/>
    <s v="P003"/>
    <s v="S003"/>
    <s v="PT Berkah Sejahtera"/>
    <x v="20"/>
    <x v="18"/>
    <x v="18"/>
    <n v="6"/>
    <n v="7800000"/>
    <n v="6500000"/>
    <n v="46800000"/>
    <n v="39000000"/>
    <n v="7800000"/>
    <x v="3"/>
  </r>
  <r>
    <s v="0062"/>
    <x v="48"/>
    <s v="C013"/>
    <s v="P051"/>
    <s v="S003"/>
    <s v="PT Prima Teknologi"/>
    <x v="21"/>
    <x v="18"/>
    <x v="18"/>
    <n v="2"/>
    <n v="2900000"/>
    <n v="2400000"/>
    <n v="5800000"/>
    <n v="4800000"/>
    <n v="1000000"/>
    <x v="8"/>
  </r>
  <r>
    <s v="0090"/>
    <x v="49"/>
    <s v="C001"/>
    <s v="P091"/>
    <s v="S019"/>
    <s v="PT Maju Jaya"/>
    <x v="22"/>
    <x v="10"/>
    <x v="10"/>
    <n v="9"/>
    <n v="2900000"/>
    <n v="2400000"/>
    <n v="26100000"/>
    <n v="21600000"/>
    <n v="4500000"/>
    <x v="8"/>
  </r>
  <r>
    <s v="0025"/>
    <x v="50"/>
    <s v="C007"/>
    <s v="P024"/>
    <s v="S003"/>
    <s v="PT Mitra Solusi"/>
    <x v="9"/>
    <x v="18"/>
    <x v="18"/>
    <n v="4"/>
    <n v="2100000"/>
    <n v="1700000"/>
    <n v="8400000"/>
    <n v="6800000"/>
    <n v="1600000"/>
    <x v="2"/>
  </r>
  <r>
    <s v="0045"/>
    <x v="51"/>
    <s v="C009"/>
    <s v="P012"/>
    <s v="S018"/>
    <s v="PT Andalan Prima"/>
    <x v="6"/>
    <x v="11"/>
    <x v="11"/>
    <n v="4"/>
    <n v="680000"/>
    <n v="520000"/>
    <n v="2720000"/>
    <n v="2080000"/>
    <n v="640000"/>
    <x v="0"/>
  </r>
  <r>
    <s v="0060"/>
    <x v="52"/>
    <s v="C018"/>
    <s v="P046"/>
    <s v="S018"/>
    <s v="PT Indo Retail"/>
    <x v="5"/>
    <x v="11"/>
    <x v="11"/>
    <n v="2"/>
    <n v="750000"/>
    <n v="520000"/>
    <n v="1500000"/>
    <n v="1040000"/>
    <n v="460000"/>
    <x v="0"/>
  </r>
  <r>
    <s v="0007"/>
    <x v="53"/>
    <s v="C011"/>
    <s v="P065"/>
    <s v="S012"/>
    <s v="CV Karya Mandiri"/>
    <x v="2"/>
    <x v="17"/>
    <x v="17"/>
    <n v="2"/>
    <n v="3200000"/>
    <n v="2600000"/>
    <n v="6400000"/>
    <n v="5200000"/>
    <n v="1200000"/>
    <x v="2"/>
  </r>
  <r>
    <s v="0020"/>
    <x v="54"/>
    <s v="C006"/>
    <s v="P099"/>
    <s v="S013"/>
    <s v="CV Maju Bersama"/>
    <x v="4"/>
    <x v="4"/>
    <x v="4"/>
    <n v="7"/>
    <n v="90000"/>
    <n v="50000"/>
    <n v="630000"/>
    <n v="350000"/>
    <n v="280000"/>
    <x v="0"/>
  </r>
  <r>
    <s v="0074"/>
    <x v="55"/>
    <s v="C005"/>
    <s v="P059"/>
    <s v="S017"/>
    <s v="PT Berkah Sejahtera"/>
    <x v="4"/>
    <x v="7"/>
    <x v="7"/>
    <n v="4"/>
    <n v="90000"/>
    <n v="50000"/>
    <n v="360000"/>
    <n v="200000"/>
    <n v="160000"/>
    <x v="0"/>
  </r>
  <r>
    <s v="0003"/>
    <x v="56"/>
    <s v="C001"/>
    <s v="P044"/>
    <s v="S015"/>
    <s v="PT Maju Jaya"/>
    <x v="9"/>
    <x v="2"/>
    <x v="2"/>
    <n v="3"/>
    <n v="2100000"/>
    <n v="1700000"/>
    <n v="6300000"/>
    <n v="5100000"/>
    <n v="1200000"/>
    <x v="2"/>
  </r>
  <r>
    <s v="0097"/>
    <x v="57"/>
    <s v="C019"/>
    <s v="P040"/>
    <s v="S017"/>
    <s v="PT Harapan Baru"/>
    <x v="0"/>
    <x v="7"/>
    <x v="7"/>
    <n v="1"/>
    <n v="150000"/>
    <n v="90000"/>
    <n v="150000"/>
    <n v="90000"/>
    <n v="60000"/>
    <x v="0"/>
  </r>
  <r>
    <s v="0095"/>
    <x v="58"/>
    <s v="C017"/>
    <s v="P090"/>
    <s v="S006"/>
    <s v="CV Berkah Mandiri"/>
    <x v="18"/>
    <x v="16"/>
    <x v="16"/>
    <n v="1"/>
    <n v="120000"/>
    <n v="80000"/>
    <n v="120000"/>
    <n v="80000"/>
    <n v="40000"/>
    <x v="4"/>
  </r>
  <r>
    <s v="0056"/>
    <x v="59"/>
    <s v="C015"/>
    <s v="P073"/>
    <s v="S020"/>
    <s v="PT Sentosa Abadi"/>
    <x v="11"/>
    <x v="5"/>
    <x v="5"/>
    <n v="2"/>
    <n v="890000"/>
    <n v="690000"/>
    <n v="1780000"/>
    <n v="1380000"/>
    <n v="400000"/>
    <x v="0"/>
  </r>
  <r>
    <s v="0061"/>
    <x v="60"/>
    <s v="C003"/>
    <s v="P060"/>
    <s v="S001"/>
    <s v="CV Sinar Teknologi"/>
    <x v="0"/>
    <x v="13"/>
    <x v="13"/>
    <n v="8"/>
    <n v="150000"/>
    <n v="90000"/>
    <n v="1200000"/>
    <n v="720000"/>
    <n v="480000"/>
    <x v="0"/>
  </r>
  <r>
    <s v="0049"/>
    <x v="61"/>
    <s v="C013"/>
    <s v="P041"/>
    <s v="S017"/>
    <s v="PT Prima Teknologi"/>
    <x v="7"/>
    <x v="7"/>
    <x v="7"/>
    <n v="5"/>
    <n v="8500000"/>
    <n v="7200000"/>
    <n v="42500000"/>
    <n v="36000000"/>
    <n v="6500000"/>
    <x v="3"/>
  </r>
  <r>
    <s v="0091"/>
    <x v="62"/>
    <s v="C014"/>
    <s v="P082"/>
    <s v="S003"/>
    <s v="CV Nusantara Jaya"/>
    <x v="23"/>
    <x v="18"/>
    <x v="18"/>
    <n v="2"/>
    <n v="9200000"/>
    <n v="7900000"/>
    <n v="18400000"/>
    <n v="15800000"/>
    <n v="2600000"/>
    <x v="3"/>
  </r>
  <r>
    <s v="0031"/>
    <x v="63"/>
    <s v="C019"/>
    <s v="P027"/>
    <s v="S018"/>
    <s v="PT Harapan Baru"/>
    <x v="8"/>
    <x v="11"/>
    <x v="11"/>
    <n v="5"/>
    <n v="250000"/>
    <n v="150000"/>
    <n v="1250000"/>
    <n v="750000"/>
    <n v="500000"/>
    <x v="0"/>
  </r>
  <r>
    <s v="0083"/>
    <x v="64"/>
    <s v="C017"/>
    <s v="P008"/>
    <s v="S018"/>
    <s v="CV Berkah Mandiri"/>
    <x v="10"/>
    <x v="11"/>
    <x v="11"/>
    <n v="3"/>
    <n v="1250000"/>
    <n v="980000"/>
    <n v="3750000"/>
    <n v="2940000"/>
    <n v="810000"/>
    <x v="4"/>
  </r>
  <r>
    <s v="0013"/>
    <x v="65"/>
    <s v="C015"/>
    <s v="P090"/>
    <s v="S007"/>
    <s v="PT Sentosa Abadi"/>
    <x v="18"/>
    <x v="1"/>
    <x v="1"/>
    <n v="9"/>
    <n v="120000"/>
    <n v="80000"/>
    <n v="1080000"/>
    <n v="720000"/>
    <n v="360000"/>
    <x v="4"/>
  </r>
  <r>
    <s v="0003"/>
    <x v="66"/>
    <s v="C013"/>
    <s v="P092"/>
    <s v="S005"/>
    <s v="PT Prima Teknologi"/>
    <x v="6"/>
    <x v="9"/>
    <x v="9"/>
    <n v="7"/>
    <n v="680000"/>
    <n v="520000"/>
    <n v="4760000"/>
    <n v="3640000"/>
    <n v="1120000"/>
    <x v="0"/>
  </r>
  <r>
    <s v="0091"/>
    <x v="67"/>
    <s v="C005"/>
    <s v="P024"/>
    <s v="S014"/>
    <s v="PT Berkah Sejahtera"/>
    <x v="9"/>
    <x v="6"/>
    <x v="6"/>
    <n v="3"/>
    <n v="2100000"/>
    <n v="1700000"/>
    <n v="6300000"/>
    <n v="5100000"/>
    <n v="1200000"/>
    <x v="2"/>
  </r>
  <r>
    <s v="0008"/>
    <x v="68"/>
    <s v="C017"/>
    <s v="P036"/>
    <s v="S009"/>
    <s v="CV Berkah Mandiri"/>
    <x v="14"/>
    <x v="8"/>
    <x v="8"/>
    <n v="5"/>
    <n v="670000"/>
    <n v="510000"/>
    <n v="3350000"/>
    <n v="2550000"/>
    <n v="800000"/>
    <x v="6"/>
  </r>
  <r>
    <s v="0035"/>
    <x v="69"/>
    <s v="C010"/>
    <s v="P003"/>
    <s v="S005"/>
    <s v="PT Bintang Timur"/>
    <x v="20"/>
    <x v="9"/>
    <x v="9"/>
    <n v="5"/>
    <n v="7800000"/>
    <n v="6500000"/>
    <n v="39000000"/>
    <n v="32500000"/>
    <n v="6500000"/>
    <x v="3"/>
  </r>
  <r>
    <s v="0043"/>
    <x v="70"/>
    <s v="C002"/>
    <s v="P026"/>
    <s v="S013"/>
    <s v="PT Nusantara Abadi"/>
    <x v="5"/>
    <x v="4"/>
    <x v="4"/>
    <n v="4"/>
    <n v="750000"/>
    <n v="520000"/>
    <n v="3000000"/>
    <n v="2080000"/>
    <n v="920000"/>
    <x v="0"/>
  </r>
  <r>
    <s v="0067"/>
    <x v="71"/>
    <s v="C019"/>
    <s v="P050"/>
    <s v="S012"/>
    <s v="PT Harapan Baru"/>
    <x v="18"/>
    <x v="17"/>
    <x v="17"/>
    <n v="4"/>
    <n v="120000"/>
    <n v="80000"/>
    <n v="480000"/>
    <n v="320000"/>
    <n v="160000"/>
    <x v="4"/>
  </r>
  <r>
    <s v="0091"/>
    <x v="72"/>
    <s v="C014"/>
    <s v="P057"/>
    <s v="S002"/>
    <s v="CV Nusantara Jaya"/>
    <x v="24"/>
    <x v="0"/>
    <x v="0"/>
    <n v="7"/>
    <n v="1650000"/>
    <n v="1350000"/>
    <n v="11550000"/>
    <n v="9450000"/>
    <n v="2100000"/>
    <x v="4"/>
  </r>
  <r>
    <s v="0063"/>
    <x v="73"/>
    <s v="C013"/>
    <s v="P073"/>
    <s v="S009"/>
    <s v="PT Prima Teknologi"/>
    <x v="11"/>
    <x v="8"/>
    <x v="8"/>
    <n v="2"/>
    <n v="890000"/>
    <n v="690000"/>
    <n v="1780000"/>
    <n v="1380000"/>
    <n v="400000"/>
    <x v="0"/>
  </r>
  <r>
    <s v="0090"/>
    <x v="74"/>
    <s v="C011"/>
    <s v="P031"/>
    <s v="S015"/>
    <s v="CV Karya Mandiri"/>
    <x v="25"/>
    <x v="2"/>
    <x v="2"/>
    <n v="7"/>
    <n v="2900000"/>
    <n v="2400000"/>
    <n v="20300000"/>
    <n v="16800000"/>
    <n v="3500000"/>
    <x v="8"/>
  </r>
  <r>
    <s v="0019"/>
    <x v="75"/>
    <s v="C009"/>
    <s v="P006"/>
    <s v="S002"/>
    <s v="PT Andalan Prima"/>
    <x v="5"/>
    <x v="0"/>
    <x v="0"/>
    <n v="6"/>
    <n v="750000"/>
    <n v="520000"/>
    <n v="4500000"/>
    <n v="3120000"/>
    <n v="1380000"/>
    <x v="0"/>
  </r>
  <r>
    <s v="0054"/>
    <x v="76"/>
    <s v="C008"/>
    <s v="P060"/>
    <s v="S020"/>
    <s v="PT Cahaya Abadi"/>
    <x v="0"/>
    <x v="5"/>
    <x v="5"/>
    <n v="3"/>
    <n v="150000"/>
    <n v="90000"/>
    <n v="450000"/>
    <n v="270000"/>
    <n v="180000"/>
    <x v="0"/>
  </r>
  <r>
    <s v="0015"/>
    <x v="77"/>
    <s v="C018"/>
    <s v="P094"/>
    <s v="S009"/>
    <s v="PT Indo Retail"/>
    <x v="15"/>
    <x v="8"/>
    <x v="8"/>
    <n v="5"/>
    <n v="780000"/>
    <n v="590000"/>
    <n v="3900000"/>
    <n v="2950000"/>
    <n v="950000"/>
    <x v="7"/>
  </r>
  <r>
    <s v="0026"/>
    <x v="78"/>
    <s v="C015"/>
    <s v="P062"/>
    <s v="S020"/>
    <s v="PT Sentosa Abadi"/>
    <x v="23"/>
    <x v="5"/>
    <x v="5"/>
    <n v="9"/>
    <n v="9200000"/>
    <n v="7900000"/>
    <n v="82800000"/>
    <n v="71100000"/>
    <n v="11700000"/>
    <x v="3"/>
  </r>
  <r>
    <s v="0063"/>
    <x v="79"/>
    <s v="C008"/>
    <s v="P016"/>
    <s v="S014"/>
    <s v="PT Cahaya Abadi"/>
    <x v="14"/>
    <x v="6"/>
    <x v="6"/>
    <n v="1"/>
    <n v="670000"/>
    <n v="510000"/>
    <n v="670000"/>
    <n v="510000"/>
    <n v="160000"/>
    <x v="6"/>
  </r>
  <r>
    <s v="0060"/>
    <x v="80"/>
    <s v="C005"/>
    <s v="P099"/>
    <s v="S008"/>
    <s v="PT Berkah Sejahtera"/>
    <x v="4"/>
    <x v="14"/>
    <x v="14"/>
    <n v="6"/>
    <n v="90000"/>
    <n v="50000"/>
    <n v="540000"/>
    <n v="300000"/>
    <n v="240000"/>
    <x v="0"/>
  </r>
  <r>
    <s v="0018"/>
    <x v="81"/>
    <s v="C001"/>
    <s v="P001"/>
    <s v="S016"/>
    <s v="PT Maju Jaya"/>
    <x v="7"/>
    <x v="19"/>
    <x v="19"/>
    <n v="8"/>
    <n v="8500000"/>
    <n v="7200000"/>
    <n v="68000000"/>
    <n v="57600000"/>
    <n v="10400000"/>
    <x v="3"/>
  </r>
  <r>
    <s v="0079"/>
    <x v="82"/>
    <s v="C002"/>
    <s v="P027"/>
    <s v="S016"/>
    <s v="PT Nusantara Abadi"/>
    <x v="8"/>
    <x v="19"/>
    <x v="19"/>
    <n v="4"/>
    <n v="250000"/>
    <n v="150000"/>
    <n v="1000000"/>
    <n v="600000"/>
    <n v="400000"/>
    <x v="0"/>
  </r>
  <r>
    <s v="0017"/>
    <x v="83"/>
    <s v="C003"/>
    <s v="P015"/>
    <s v="S002"/>
    <s v="CV Sinar Teknologi"/>
    <x v="1"/>
    <x v="0"/>
    <x v="0"/>
    <n v="6"/>
    <n v="950000"/>
    <n v="760000"/>
    <n v="5700000"/>
    <n v="4560000"/>
    <n v="1140000"/>
    <x v="1"/>
  </r>
  <r>
    <s v="0032"/>
    <x v="84"/>
    <s v="C013"/>
    <s v="P049"/>
    <s v="S007"/>
    <s v="PT Prima Teknologi"/>
    <x v="16"/>
    <x v="1"/>
    <x v="1"/>
    <n v="5"/>
    <n v="850000"/>
    <n v="670000"/>
    <n v="4250000"/>
    <n v="3350000"/>
    <n v="900000"/>
    <x v="4"/>
  </r>
  <r>
    <s v="0060"/>
    <x v="85"/>
    <s v="C001"/>
    <s v="P039"/>
    <s v="S003"/>
    <s v="PT Maju Jaya"/>
    <x v="4"/>
    <x v="18"/>
    <x v="18"/>
    <n v="8"/>
    <n v="90000"/>
    <n v="50000"/>
    <n v="720000"/>
    <n v="400000"/>
    <n v="320000"/>
    <x v="0"/>
  </r>
  <r>
    <s v="0025"/>
    <x v="86"/>
    <s v="C007"/>
    <s v="P022"/>
    <s v="S019"/>
    <s v="PT Mitra Solusi"/>
    <x v="23"/>
    <x v="10"/>
    <x v="10"/>
    <n v="4"/>
    <n v="9200000"/>
    <n v="7900000"/>
    <n v="36800000"/>
    <n v="31600000"/>
    <n v="5200000"/>
    <x v="3"/>
  </r>
  <r>
    <s v="0036"/>
    <x v="87"/>
    <s v="C010"/>
    <s v="P013"/>
    <s v="S012"/>
    <s v="PT Bintang Timur"/>
    <x v="11"/>
    <x v="17"/>
    <x v="17"/>
    <n v="2"/>
    <n v="890000"/>
    <n v="690000"/>
    <n v="1780000"/>
    <n v="1380000"/>
    <n v="400000"/>
    <x v="0"/>
  </r>
  <r>
    <s v="0016"/>
    <x v="88"/>
    <s v="C002"/>
    <s v="P005"/>
    <s v="S009"/>
    <s v="PT Nusantara Abadi"/>
    <x v="2"/>
    <x v="8"/>
    <x v="8"/>
    <n v="6"/>
    <n v="3200000"/>
    <n v="2600000"/>
    <n v="19200000"/>
    <n v="15600000"/>
    <n v="3600000"/>
    <x v="2"/>
  </r>
  <r>
    <s v="0094"/>
    <x v="89"/>
    <s v="C011"/>
    <s v="P053"/>
    <s v="S014"/>
    <s v="CV Karya Mandiri"/>
    <x v="11"/>
    <x v="6"/>
    <x v="6"/>
    <n v="4"/>
    <n v="890000"/>
    <n v="690000"/>
    <n v="3560000"/>
    <n v="2760000"/>
    <n v="800000"/>
    <x v="0"/>
  </r>
  <r>
    <s v="0094"/>
    <x v="90"/>
    <s v="C005"/>
    <s v="P011"/>
    <s v="S018"/>
    <s v="PT Berkah Sejahtera"/>
    <x v="17"/>
    <x v="11"/>
    <x v="11"/>
    <n v="5"/>
    <n v="2900000"/>
    <n v="2400000"/>
    <n v="14500000"/>
    <n v="12000000"/>
    <n v="2500000"/>
    <x v="8"/>
  </r>
  <r>
    <s v="0085"/>
    <x v="91"/>
    <s v="C006"/>
    <s v="P061"/>
    <s v="S016"/>
    <s v="CV Maju Bersama"/>
    <x v="7"/>
    <x v="19"/>
    <x v="19"/>
    <n v="5"/>
    <n v="8500000"/>
    <n v="7200000"/>
    <n v="42500000"/>
    <n v="36000000"/>
    <n v="6500000"/>
    <x v="3"/>
  </r>
  <r>
    <s v="0073"/>
    <x v="92"/>
    <s v="C011"/>
    <s v="P025"/>
    <s v="S011"/>
    <s v="CV Karya Mandiri"/>
    <x v="2"/>
    <x v="12"/>
    <x v="12"/>
    <n v="9"/>
    <n v="3200000"/>
    <n v="2600000"/>
    <n v="28800000"/>
    <n v="23400000"/>
    <n v="5400000"/>
    <x v="2"/>
  </r>
  <r>
    <s v="0097"/>
    <x v="93"/>
    <s v="C001"/>
    <s v="P093"/>
    <s v="S013"/>
    <s v="PT Maju Jaya"/>
    <x v="11"/>
    <x v="4"/>
    <x v="4"/>
    <n v="7"/>
    <n v="890000"/>
    <n v="690000"/>
    <n v="6230000"/>
    <n v="4830000"/>
    <n v="1400000"/>
    <x v="0"/>
  </r>
  <r>
    <s v="0052"/>
    <x v="94"/>
    <s v="C006"/>
    <s v="P061"/>
    <s v="S016"/>
    <s v="CV Maju Bersama"/>
    <x v="7"/>
    <x v="19"/>
    <x v="19"/>
    <n v="7"/>
    <n v="8500000"/>
    <n v="7200000"/>
    <n v="59500000"/>
    <n v="50400000"/>
    <n v="9100000"/>
    <x v="3"/>
  </r>
  <r>
    <s v="0061"/>
    <x v="95"/>
    <s v="C004"/>
    <s v="P023"/>
    <s v="S006"/>
    <s v="PT Global Digital"/>
    <x v="26"/>
    <x v="16"/>
    <x v="16"/>
    <n v="3"/>
    <n v="7800000"/>
    <n v="6500000"/>
    <n v="23400000"/>
    <n v="19500000"/>
    <n v="3900000"/>
    <x v="3"/>
  </r>
  <r>
    <s v="0030"/>
    <x v="96"/>
    <s v="C010"/>
    <s v="P011"/>
    <s v="S002"/>
    <s v="PT Bintang Timur"/>
    <x v="17"/>
    <x v="0"/>
    <x v="0"/>
    <n v="6"/>
    <n v="2900000"/>
    <n v="2400000"/>
    <n v="17400000"/>
    <n v="14400000"/>
    <n v="3000000"/>
    <x v="8"/>
  </r>
  <r>
    <s v="0066"/>
    <x v="97"/>
    <s v="C004"/>
    <s v="P006"/>
    <s v="S014"/>
    <s v="PT Global Digital"/>
    <x v="5"/>
    <x v="6"/>
    <x v="6"/>
    <n v="6"/>
    <n v="750000"/>
    <n v="520000"/>
    <n v="4500000"/>
    <n v="3120000"/>
    <n v="1380000"/>
    <x v="0"/>
  </r>
  <r>
    <s v="0090"/>
    <x v="98"/>
    <s v="C010"/>
    <s v="P050"/>
    <s v="S002"/>
    <s v="PT Bintang Timur"/>
    <x v="18"/>
    <x v="0"/>
    <x v="0"/>
    <n v="5"/>
    <n v="120000"/>
    <n v="80000"/>
    <n v="600000"/>
    <n v="400000"/>
    <n v="20000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5DC159-ADF4-41C4-B4B6-191030C7EF43}" name="PivotTable14" cacheId="10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3:A14" firstHeaderRow="1" firstDataRow="1" firstDataCol="0"/>
  <pivotFields count="16">
    <pivotField dataField="1"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AD4C9B-A73C-4714-84CB-1F7538415050}" name="PivotTable13" cacheId="10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5:A6" firstHeaderRow="1" firstDataRow="1" firstDataCol="0"/>
  <pivotFields count="16">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2" showAll="0"/>
    <pivotField showAll="0"/>
  </pivotFields>
  <rowItems count="1">
    <i/>
  </rowItems>
  <colItems count="1">
    <i/>
  </colItems>
  <dataFields count="1">
    <dataField name="Sum of Profit" fld="14"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A24E5B-7367-432C-ACF6-700B3B1E46D2}" name="PivotTable6" cacheId="10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6">
  <location ref="P2:Q3" firstHeaderRow="1" firstDataRow="1" firstDataCol="1"/>
  <pivotFields count="16">
    <pivotField showAll="0"/>
    <pivotField axis="axisRow" numFmtId="14" showAl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numFmtId="2" showAll="0"/>
    <pivotField showAll="0"/>
  </pivotFields>
  <rowFields count="1">
    <field x="1"/>
  </rowFields>
  <rowItems count="1">
    <i t="grand">
      <x/>
    </i>
  </rowItems>
  <colItems count="1">
    <i/>
  </colItems>
  <dataFields count="1">
    <dataField name="Sum of Revenue" fld="12" baseField="0" baseItem="0"/>
  </dataFields>
  <formats count="1">
    <format dxfId="10">
      <pivotArea dataOnly="0" labelOnly="1" fieldPosition="0">
        <references count="1">
          <reference field="1" count="0"/>
        </references>
      </pivotArea>
    </format>
  </formats>
  <chartFormats count="5">
    <chartFormat chart="13" format="4"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66" name="Date">
      <autoFilter ref="A1">
        <filterColumn colId="0">
          <customFilters and="1">
            <customFilter operator="greaterThanOrEqual" val="45839"/>
            <customFilter operator="lessThanOrEqual" val="458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BED7D7-4EDA-4986-9253-5D6A3264E46D}" name="PivotTable1"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6">
    <pivotField showAll="0"/>
    <pivotField numFmtId="14" showAll="0"/>
    <pivotField showAll="0"/>
    <pivotField showAll="0"/>
    <pivotField showAll="0"/>
    <pivotField showAll="0"/>
    <pivotField showAll="0"/>
    <pivotField showAll="0"/>
    <pivotField showAll="0"/>
    <pivotField showAll="0"/>
    <pivotField showAll="0"/>
    <pivotField showAll="0"/>
    <pivotField dataField="1" showAll="0"/>
    <pivotField showAll="0"/>
    <pivotField numFmtId="2" showAll="0"/>
    <pivotField showAll="0"/>
  </pivotFields>
  <rowItems count="1">
    <i/>
  </rowItems>
  <colItems count="1">
    <i/>
  </colItems>
  <dataFields count="1">
    <dataField name="Sum of Revenue"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58AFF2-D82E-46CC-A827-65CBA431313C}" name="PivotTable7" cacheId="10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2:A40" firstHeaderRow="1" firstDataRow="1" firstDataCol="1"/>
  <pivotFields count="16">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axis="axisRow" showAll="0">
      <items count="10">
        <item x="0"/>
        <item h="1" x="7"/>
        <item x="3"/>
        <item x="2"/>
        <item x="6"/>
        <item x="1"/>
        <item x="8"/>
        <item x="4"/>
        <item h="1" x="5"/>
        <item t="default"/>
      </items>
    </pivotField>
  </pivotFields>
  <rowFields count="1">
    <field x="15"/>
  </rowFields>
  <rowItems count="8">
    <i>
      <x/>
    </i>
    <i>
      <x v="2"/>
    </i>
    <i>
      <x v="3"/>
    </i>
    <i>
      <x v="4"/>
    </i>
    <i>
      <x v="5"/>
    </i>
    <i>
      <x v="6"/>
    </i>
    <i>
      <x v="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DE8024-9BF8-4EF3-96C0-E2B10EFCAC3B}" name="PivotTable1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2:E53" firstHeaderRow="1" firstDataRow="1" firstDataCol="1"/>
  <pivotFields count="16">
    <pivotField showAll="0"/>
    <pivotField numFmtId="14" showAll="0"/>
    <pivotField showAll="0"/>
    <pivotField showAll="0"/>
    <pivotField showAll="0"/>
    <pivotField showAll="0"/>
    <pivotField showAll="0"/>
    <pivotField axis="axisRow" showAll="0">
      <items count="21">
        <item x="13"/>
        <item x="0"/>
        <item x="18"/>
        <item x="15"/>
        <item x="9"/>
        <item x="16"/>
        <item x="1"/>
        <item x="14"/>
        <item x="8"/>
        <item x="3"/>
        <item x="12"/>
        <item x="17"/>
        <item x="4"/>
        <item x="6"/>
        <item x="2"/>
        <item x="19"/>
        <item x="7"/>
        <item x="11"/>
        <item x="10"/>
        <item x="5"/>
        <item t="default"/>
      </items>
    </pivotField>
    <pivotField showAll="0"/>
    <pivotField showAll="0"/>
    <pivotField showAll="0"/>
    <pivotField showAll="0"/>
    <pivotField showAll="0"/>
    <pivotField showAll="0"/>
    <pivotField numFmtId="2" showAll="0"/>
    <pivotField showAll="0"/>
  </pivotFields>
  <rowFields count="1">
    <field x="7"/>
  </rowFields>
  <rowItems count="21">
    <i>
      <x/>
    </i>
    <i>
      <x v="1"/>
    </i>
    <i>
      <x v="2"/>
    </i>
    <i>
      <x v="3"/>
    </i>
    <i>
      <x v="4"/>
    </i>
    <i>
      <x v="5"/>
    </i>
    <i>
      <x v="6"/>
    </i>
    <i>
      <x v="7"/>
    </i>
    <i>
      <x v="8"/>
    </i>
    <i>
      <x v="9"/>
    </i>
    <i>
      <x v="10"/>
    </i>
    <i>
      <x v="11"/>
    </i>
    <i>
      <x v="12"/>
    </i>
    <i>
      <x v="13"/>
    </i>
    <i>
      <x v="14"/>
    </i>
    <i>
      <x v="15"/>
    </i>
    <i>
      <x v="16"/>
    </i>
    <i>
      <x v="17"/>
    </i>
    <i>
      <x v="18"/>
    </i>
    <i>
      <x v="1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5F3947-1862-4C1A-A4A0-D84029AF5043}" name="PivotTable5"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M2:N30" firstHeaderRow="1" firstDataRow="1" firstDataCol="1"/>
  <pivotFields count="16">
    <pivotField showAll="0"/>
    <pivotField numFmtId="14" showAll="0"/>
    <pivotField showAll="0"/>
    <pivotField showAll="0"/>
    <pivotField showAll="0"/>
    <pivotField showAll="0"/>
    <pivotField axis="axisRow" showAll="0">
      <items count="29">
        <item x="24"/>
        <item x="18"/>
        <item x="4"/>
        <item x="11"/>
        <item x="7"/>
        <item x="20"/>
        <item x="26"/>
        <item x="12"/>
        <item x="19"/>
        <item x="3"/>
        <item x="23"/>
        <item x="5"/>
        <item x="9"/>
        <item x="2"/>
        <item x="21"/>
        <item m="1" x="27"/>
        <item x="22"/>
        <item x="13"/>
        <item x="14"/>
        <item x="15"/>
        <item x="10"/>
        <item x="16"/>
        <item x="1"/>
        <item x="0"/>
        <item x="6"/>
        <item x="8"/>
        <item x="17"/>
        <item x="25"/>
        <item t="default"/>
      </items>
    </pivotField>
    <pivotField showAll="0"/>
    <pivotField showAll="0"/>
    <pivotField showAll="0"/>
    <pivotField showAll="0"/>
    <pivotField showAll="0"/>
    <pivotField showAll="0"/>
    <pivotField showAll="0"/>
    <pivotField dataField="1" numFmtId="2" showAll="0"/>
    <pivotField showAll="0"/>
  </pivotFields>
  <rowFields count="1">
    <field x="6"/>
  </rowFields>
  <rowItems count="28">
    <i>
      <x/>
    </i>
    <i>
      <x v="1"/>
    </i>
    <i>
      <x v="2"/>
    </i>
    <i>
      <x v="3"/>
    </i>
    <i>
      <x v="4"/>
    </i>
    <i>
      <x v="5"/>
    </i>
    <i>
      <x v="6"/>
    </i>
    <i>
      <x v="7"/>
    </i>
    <i>
      <x v="8"/>
    </i>
    <i>
      <x v="9"/>
    </i>
    <i>
      <x v="10"/>
    </i>
    <i>
      <x v="11"/>
    </i>
    <i>
      <x v="12"/>
    </i>
    <i>
      <x v="13"/>
    </i>
    <i>
      <x v="14"/>
    </i>
    <i>
      <x v="16"/>
    </i>
    <i>
      <x v="17"/>
    </i>
    <i>
      <x v="18"/>
    </i>
    <i>
      <x v="19"/>
    </i>
    <i>
      <x v="20"/>
    </i>
    <i>
      <x v="21"/>
    </i>
    <i>
      <x v="22"/>
    </i>
    <i>
      <x v="23"/>
    </i>
    <i>
      <x v="24"/>
    </i>
    <i>
      <x v="25"/>
    </i>
    <i>
      <x v="26"/>
    </i>
    <i>
      <x v="27"/>
    </i>
    <i t="grand">
      <x/>
    </i>
  </rowItems>
  <colItems count="1">
    <i/>
  </colItems>
  <dataFields count="1">
    <dataField name="Sum of Profit" fld="14" baseField="0"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A3BBA5-8BC7-4650-BB1D-4DB45DD024B6}" name="PivotTable9"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2:C53" firstHeaderRow="1" firstDataRow="1" firstDataCol="1"/>
  <pivotFields count="16">
    <pivotField showAll="0"/>
    <pivotField numFmtId="14" showAll="0"/>
    <pivotField showAll="0"/>
    <pivotField showAll="0"/>
    <pivotField showAll="0"/>
    <pivotField showAll="0"/>
    <pivotField showAll="0"/>
    <pivotField showAll="0"/>
    <pivotField axis="axisRow" showAll="0">
      <items count="21">
        <item x="14"/>
        <item x="0"/>
        <item x="11"/>
        <item x="2"/>
        <item x="3"/>
        <item x="4"/>
        <item x="5"/>
        <item x="17"/>
        <item x="13"/>
        <item x="9"/>
        <item x="6"/>
        <item x="15"/>
        <item x="8"/>
        <item x="19"/>
        <item x="7"/>
        <item x="16"/>
        <item x="10"/>
        <item x="18"/>
        <item x="12"/>
        <item x="1"/>
        <item t="default"/>
      </items>
    </pivotField>
    <pivotField showAll="0"/>
    <pivotField showAll="0"/>
    <pivotField showAll="0"/>
    <pivotField showAll="0"/>
    <pivotField showAll="0"/>
    <pivotField numFmtId="2" showAll="0"/>
    <pivotField showAll="0"/>
  </pivotFields>
  <rowFields count="1">
    <field x="8"/>
  </rowFields>
  <rowItems count="21">
    <i>
      <x/>
    </i>
    <i>
      <x v="1"/>
    </i>
    <i>
      <x v="2"/>
    </i>
    <i>
      <x v="3"/>
    </i>
    <i>
      <x v="4"/>
    </i>
    <i>
      <x v="5"/>
    </i>
    <i>
      <x v="6"/>
    </i>
    <i>
      <x v="7"/>
    </i>
    <i>
      <x v="8"/>
    </i>
    <i>
      <x v="9"/>
    </i>
    <i>
      <x v="10"/>
    </i>
    <i>
      <x v="11"/>
    </i>
    <i>
      <x v="12"/>
    </i>
    <i>
      <x v="13"/>
    </i>
    <i>
      <x v="14"/>
    </i>
    <i>
      <x v="15"/>
    </i>
    <i>
      <x v="16"/>
    </i>
    <i>
      <x v="17"/>
    </i>
    <i>
      <x v="18"/>
    </i>
    <i>
      <x v="1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761A30-1E51-4E55-B01F-BC24DF9CFC3D}" name="PivotTable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K30" firstHeaderRow="1" firstDataRow="1" firstDataCol="1"/>
  <pivotFields count="16">
    <pivotField showAll="0"/>
    <pivotField numFmtId="14" showAll="0"/>
    <pivotField showAll="0"/>
    <pivotField showAll="0"/>
    <pivotField showAll="0"/>
    <pivotField showAll="0"/>
    <pivotField axis="axisRow" showAll="0">
      <items count="29">
        <item x="24"/>
        <item x="18"/>
        <item x="4"/>
        <item x="11"/>
        <item x="7"/>
        <item x="20"/>
        <item x="26"/>
        <item x="12"/>
        <item x="19"/>
        <item x="3"/>
        <item x="23"/>
        <item x="5"/>
        <item x="9"/>
        <item x="2"/>
        <item x="21"/>
        <item m="1" x="27"/>
        <item x="22"/>
        <item x="13"/>
        <item x="14"/>
        <item x="15"/>
        <item x="10"/>
        <item x="16"/>
        <item x="1"/>
        <item x="0"/>
        <item x="6"/>
        <item x="8"/>
        <item x="17"/>
        <item x="25"/>
        <item t="default"/>
      </items>
    </pivotField>
    <pivotField showAll="0"/>
    <pivotField showAll="0"/>
    <pivotField dataField="1" showAll="0"/>
    <pivotField showAll="0"/>
    <pivotField showAll="0"/>
    <pivotField showAll="0"/>
    <pivotField showAll="0"/>
    <pivotField numFmtId="2" showAll="0"/>
    <pivotField showAll="0"/>
  </pivotFields>
  <rowFields count="1">
    <field x="6"/>
  </rowFields>
  <rowItems count="28">
    <i>
      <x/>
    </i>
    <i>
      <x v="1"/>
    </i>
    <i>
      <x v="2"/>
    </i>
    <i>
      <x v="3"/>
    </i>
    <i>
      <x v="4"/>
    </i>
    <i>
      <x v="5"/>
    </i>
    <i>
      <x v="6"/>
    </i>
    <i>
      <x v="7"/>
    </i>
    <i>
      <x v="8"/>
    </i>
    <i>
      <x v="9"/>
    </i>
    <i>
      <x v="10"/>
    </i>
    <i>
      <x v="11"/>
    </i>
    <i>
      <x v="12"/>
    </i>
    <i>
      <x v="13"/>
    </i>
    <i>
      <x v="14"/>
    </i>
    <i>
      <x v="16"/>
    </i>
    <i>
      <x v="17"/>
    </i>
    <i>
      <x v="18"/>
    </i>
    <i>
      <x v="19"/>
    </i>
    <i>
      <x v="20"/>
    </i>
    <i>
      <x v="21"/>
    </i>
    <i>
      <x v="22"/>
    </i>
    <i>
      <x v="23"/>
    </i>
    <i>
      <x v="24"/>
    </i>
    <i>
      <x v="25"/>
    </i>
    <i>
      <x v="26"/>
    </i>
    <i>
      <x v="27"/>
    </i>
    <i t="grand">
      <x/>
    </i>
  </rowItems>
  <colItems count="1">
    <i/>
  </colItems>
  <dataFields count="1">
    <dataField name="Sum of Qty"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318E004-2B42-4839-8045-623A63AF72FE}" name="PivotTable3"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2:H23" firstHeaderRow="1" firstDataRow="1" firstDataCol="1"/>
  <pivotFields count="16">
    <pivotField showAll="0"/>
    <pivotField numFmtId="14" showAll="0"/>
    <pivotField showAll="0"/>
    <pivotField showAll="0"/>
    <pivotField showAll="0"/>
    <pivotField showAll="0"/>
    <pivotField showAll="0"/>
    <pivotField showAll="0"/>
    <pivotField axis="axisRow" showAll="0">
      <items count="21">
        <item x="14"/>
        <item x="0"/>
        <item x="11"/>
        <item x="2"/>
        <item x="3"/>
        <item x="4"/>
        <item x="5"/>
        <item x="17"/>
        <item x="13"/>
        <item x="9"/>
        <item x="6"/>
        <item x="15"/>
        <item x="8"/>
        <item x="19"/>
        <item x="7"/>
        <item x="16"/>
        <item x="10"/>
        <item x="18"/>
        <item x="12"/>
        <item x="1"/>
        <item t="default"/>
      </items>
    </pivotField>
    <pivotField showAll="0"/>
    <pivotField showAll="0"/>
    <pivotField showAll="0"/>
    <pivotField dataField="1" showAll="0"/>
    <pivotField showAll="0"/>
    <pivotField numFmtId="2" showAll="0"/>
    <pivotField showAll="0"/>
  </pivotFields>
  <rowFields count="1">
    <field x="8"/>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Revenue" fld="12" baseField="0" baseItem="0"/>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65F326-C3F9-415F-B175-7EA6144759DA}" name="PivotTable8"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6">
    <pivotField showAll="0"/>
    <pivotField numFmtId="14" showAll="0"/>
    <pivotField showAll="0"/>
    <pivotField showAll="0"/>
    <pivotField showAll="0"/>
    <pivotField showAll="0"/>
    <pivotField showAll="0"/>
    <pivotField showAll="0"/>
    <pivotField showAll="0"/>
    <pivotField dataField="1" showAll="0"/>
    <pivotField showAll="0"/>
    <pivotField showAll="0"/>
    <pivotField showAll="0"/>
    <pivotField showAll="0"/>
    <pivotField numFmtId="2" showAll="0"/>
    <pivotField showAll="0"/>
  </pivotFields>
  <rowItems count="1">
    <i/>
  </rowItems>
  <colItems count="1">
    <i/>
  </colItems>
  <dataFields count="1">
    <dataField name="Sum of Qty"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727A207-13FE-489C-95E0-7A524764CEB7}"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2:E13" firstHeaderRow="1" firstDataRow="1" firstDataCol="1"/>
  <pivotFields count="16">
    <pivotField showAll="0"/>
    <pivotField numFmtId="14" showAll="0"/>
    <pivotField showAll="0"/>
    <pivotField showAll="0"/>
    <pivotField showAll="0"/>
    <pivotField showAll="0"/>
    <pivotField showAll="0"/>
    <pivotField axis="axisRow" showAll="0" measureFilter="1">
      <items count="21">
        <item x="13"/>
        <item x="0"/>
        <item x="18"/>
        <item x="15"/>
        <item x="9"/>
        <item x="16"/>
        <item x="1"/>
        <item x="14"/>
        <item x="8"/>
        <item x="3"/>
        <item x="12"/>
        <item x="17"/>
        <item x="4"/>
        <item x="6"/>
        <item x="2"/>
        <item x="19"/>
        <item x="7"/>
        <item x="11"/>
        <item x="10"/>
        <item x="5"/>
        <item t="default"/>
      </items>
    </pivotField>
    <pivotField showAll="0"/>
    <pivotField showAll="0"/>
    <pivotField showAll="0"/>
    <pivotField showAll="0"/>
    <pivotField dataField="1" showAll="0"/>
    <pivotField showAll="0"/>
    <pivotField numFmtId="2" showAll="0"/>
    <pivotField showAll="0"/>
  </pivotFields>
  <rowFields count="1">
    <field x="7"/>
  </rowFields>
  <rowItems count="11">
    <i>
      <x v="2"/>
    </i>
    <i>
      <x v="4"/>
    </i>
    <i>
      <x v="9"/>
    </i>
    <i>
      <x v="12"/>
    </i>
    <i>
      <x v="14"/>
    </i>
    <i>
      <x v="15"/>
    </i>
    <i>
      <x v="16"/>
    </i>
    <i>
      <x v="17"/>
    </i>
    <i>
      <x v="18"/>
    </i>
    <i>
      <x v="19"/>
    </i>
    <i t="grand">
      <x/>
    </i>
  </rowItems>
  <colItems count="1">
    <i/>
  </colItems>
  <dataFields count="1">
    <dataField name="Sum of Revenue"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C659DA2-5FC4-4D43-BAE9-FCE5E3120B8F}" sourceName="Category">
  <pivotTables>
    <pivotTable tabId="8" name="PivotTable7"/>
  </pivotTables>
  <data>
    <tabular pivotCacheId="177213729">
      <items count="9">
        <i x="0" s="1"/>
        <i x="7"/>
        <i x="5"/>
        <i x="3" s="1"/>
        <i x="2" s="1"/>
        <i x="6" s="1"/>
        <i x="1" s="1"/>
        <i x="8"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ta" xr10:uid="{68B3D361-B74A-48E6-BA7E-5592F3B01DC5}" sourceName="Kota">
  <pivotTables>
    <pivotTable tabId="8" name="PivotTable9"/>
  </pivotTables>
  <data>
    <tabular pivotCacheId="177213729">
      <items count="20">
        <i x="14" s="1"/>
        <i x="0" s="1"/>
        <i x="11" s="1"/>
        <i x="2" s="1"/>
        <i x="3" s="1"/>
        <i x="4" s="1"/>
        <i x="5" s="1"/>
        <i x="17" s="1"/>
        <i x="13" s="1"/>
        <i x="9" s="1"/>
        <i x="6" s="1"/>
        <i x="15" s="1"/>
        <i x="8" s="1"/>
        <i x="19" s="1"/>
        <i x="7" s="1"/>
        <i x="16" s="1"/>
        <i x="10" s="1"/>
        <i x="18" s="1"/>
        <i x="1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Name" xr10:uid="{C0FDCA92-9725-47F5-8BA5-FC2357144FD1}" sourceName="Sales Name">
  <pivotTables>
    <pivotTable tabId="8" name="PivotTable12"/>
  </pivotTables>
  <data>
    <tabular pivotCacheId="177213729">
      <items count="20">
        <i x="13" s="1"/>
        <i x="0" s="1"/>
        <i x="18" s="1"/>
        <i x="15" s="1"/>
        <i x="9" s="1"/>
        <i x="16" s="1"/>
        <i x="1" s="1"/>
        <i x="14" s="1"/>
        <i x="8" s="1"/>
        <i x="3" s="1"/>
        <i x="12" s="1"/>
        <i x="17" s="1"/>
        <i x="4" s="1"/>
        <i x="6" s="1"/>
        <i x="2" s="1"/>
        <i x="19" s="1"/>
        <i x="7" s="1"/>
        <i x="11" s="1"/>
        <i x="10"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20CE4E86-156F-4940-9473-0D20971D2D50}" cache="Slicer_Category" caption="Category" startItem="1" style="SlicerStyleDark5" rowHeight="234950"/>
  <slicer name="Kota 1" xr10:uid="{1F74D148-2055-4183-8E04-484D0D12743D}" cache="Slicer_Kota" caption="Kota" rowHeight="234950"/>
  <slicer name="Sales Name 1" xr10:uid="{CE8E9E10-BEEC-4BD9-9314-F73F72272CFD}" cache="Slicer_Sales_Name" caption="Sales Name" startItem="7"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F6B3B46-AB6D-4FA6-AD27-373903EDD32C}" cache="Slicer_Category" caption="Category" rowHeight="234950"/>
  <slicer name="Kota" xr10:uid="{6F748443-EFE0-40A4-B338-920C225D5F70}" cache="Slicer_Kota" caption="Kota" rowHeight="234950"/>
  <slicer name="Sales Name" xr10:uid="{B1F2D6C0-F75B-4D38-8F80-6BE3C916822B}" cache="Slicer_Sales_Name" caption="Sales Na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32CA9-701F-44BA-B0F8-6DEB1E7395AF}" name="Table6" displayName="Table6" ref="A1:P100" totalsRowShown="0" headerRowDxfId="44" dataDxfId="43">
  <tableColumns count="16">
    <tableColumn id="1" xr3:uid="{98361605-DE70-4708-B0AB-CC848394ED9B}" name="Order ID">
      <calculatedColumnFormula>"0"&amp;TEXT(RANDBETWEEN(1,100),"000")</calculatedColumnFormula>
    </tableColumn>
    <tableColumn id="2" xr3:uid="{9003C933-F0AE-4027-AC16-E4F299AEA6B9}" name="Date" dataDxfId="11"/>
    <tableColumn id="3" xr3:uid="{FDB87234-2A5C-4F9F-9135-77BB2435ECA0}" name="Customer ID" dataDxfId="42">
      <calculatedColumnFormula array="1">INDEX(Customers!A:A,RANDBETWEEN(2,20))</calculatedColumnFormula>
    </tableColumn>
    <tableColumn id="4" xr3:uid="{7C1E9647-A6B4-4D63-B775-96A166263D80}" name="Product ID" dataDxfId="41">
      <calculatedColumnFormula array="1">INDEX(Products!A:A,RANDBETWEEN(2,101))</calculatedColumnFormula>
    </tableColumn>
    <tableColumn id="5" xr3:uid="{41D22120-130B-4543-841B-166BAEA34D85}" name="Sales ID" dataDxfId="40">
      <calculatedColumnFormula array="1">INDEX(SalesPerson!A:A,RANDBETWEEN(2,21))</calculatedColumnFormula>
    </tableColumn>
    <tableColumn id="16" xr3:uid="{EB329A39-E5E0-4560-81B2-9E14D866DD37}" name="Customer Name" dataDxfId="39">
      <calculatedColumnFormula>_xlfn.XLOOKUP(C2,Customers!A:A,Customers!B:B)</calculatedColumnFormula>
    </tableColumn>
    <tableColumn id="13" xr3:uid="{DEE8F927-6EC5-4500-877B-710AE73E1C52}" name="Product Name" dataDxfId="38">
      <calculatedColumnFormula>_xlfn.XLOOKUP(D2,Products!A:A,Products!B:B)</calculatedColumnFormula>
    </tableColumn>
    <tableColumn id="18" xr3:uid="{B9192FDB-0EB8-41F0-852C-C25DDB3B52B3}" name="Sales Name" dataDxfId="37">
      <calculatedColumnFormula>_xlfn.XLOOKUP(E2,SalesPerson!A:A,SalesPerson!B:B)</calculatedColumnFormula>
    </tableColumn>
    <tableColumn id="17" xr3:uid="{190CF760-28CB-4208-8523-6B56E56BDC87}" name="Kota" dataDxfId="36">
      <calculatedColumnFormula>_xlfn.XLOOKUP(E2,SalesPerson!A:A,SalesPerson!C:C)</calculatedColumnFormula>
    </tableColumn>
    <tableColumn id="6" xr3:uid="{E54F871F-DAD0-42ED-9855-0C9018C913FC}" name="Qty" dataDxfId="35">
      <calculatedColumnFormula>RANDBETWEEN(1,10)</calculatedColumnFormula>
    </tableColumn>
    <tableColumn id="7" xr3:uid="{5DE57668-0492-41E6-931B-97E155DAB989}" name="Price" dataDxfId="34">
      <calculatedColumnFormula>_xlfn.XLOOKUP(D2,Products!A:A,Products!D:D)</calculatedColumnFormula>
    </tableColumn>
    <tableColumn id="8" xr3:uid="{61B07905-25EE-4399-B736-3883BDDB1D02}" name="Cost" dataDxfId="33">
      <calculatedColumnFormula>_xlfn.XLOOKUP(D2,Products!A:A,Products!E:E)</calculatedColumnFormula>
    </tableColumn>
    <tableColumn id="9" xr3:uid="{232FBD64-ED53-4CF0-8D1D-4B508EF30491}" name="Revenue" dataDxfId="32">
      <calculatedColumnFormula>J2*K2</calculatedColumnFormula>
    </tableColumn>
    <tableColumn id="10" xr3:uid="{646CAADC-49EC-407D-8A75-4A3513756923}" name="Total Cost" dataDxfId="31">
      <calculatedColumnFormula>J2*L2</calculatedColumnFormula>
    </tableColumn>
    <tableColumn id="11" xr3:uid="{62DA7905-3FC4-4855-89B9-0480A85E3E74}" name="Profit" dataDxfId="30">
      <calculatedColumnFormula>M2-N2</calculatedColumnFormula>
    </tableColumn>
    <tableColumn id="15" xr3:uid="{26A0D525-8AB8-4B80-935E-CEEA8D45C2B8}" name="Category" dataDxfId="29">
      <calculatedColumnFormula>_xlfn.XLOOKUP(D2,Products!A:A,Products!C:C)</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6A0F3DC-AF8A-4DA0-A508-8C884498C8C3}" name="Table2" displayName="Table2" ref="A1:E101" totalsRowShown="0" headerRowDxfId="28" dataDxfId="27">
  <autoFilter ref="A1:E101" xr:uid="{66A0F3DC-AF8A-4DA0-A508-8C884498C8C3}"/>
  <tableColumns count="5">
    <tableColumn id="1" xr3:uid="{21864ED5-8E7A-4DAD-9B1C-F2CBC9C3F2A3}" name="Product ID" dataDxfId="26"/>
    <tableColumn id="2" xr3:uid="{1748D31A-12C8-457C-91B5-2126AE696B12}" name="Product Name" dataDxfId="25"/>
    <tableColumn id="3" xr3:uid="{874BF66C-DA6F-48F3-AD9E-51E1159AC25D}" name="Category" dataDxfId="24"/>
    <tableColumn id="4" xr3:uid="{B2EA11CB-54CE-46AD-A959-6153D7376A80}" name="Price" dataDxfId="23"/>
    <tableColumn id="5" xr3:uid="{82719485-7188-4984-9EB5-F308055594B4}" name="Cost" dataDxfId="2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E86965A-AE74-4DF0-97D1-124D06046775}" name="Table3" displayName="Table3" ref="A1:C21" totalsRowShown="0" headerRowDxfId="21" dataDxfId="20">
  <autoFilter ref="A1:C21" xr:uid="{9E86965A-AE74-4DF0-97D1-124D06046775}"/>
  <tableColumns count="3">
    <tableColumn id="1" xr3:uid="{71AE6879-7676-40B6-A4B5-8B441C3F523A}" name="Sales ID" dataDxfId="19"/>
    <tableColumn id="2" xr3:uid="{3C0531F5-D01D-4E45-80C8-2349865D2221}" name="Sales Name" dataDxfId="18"/>
    <tableColumn id="3" xr3:uid="{9023CFB8-CA8F-41DD-87AA-920D71DF2EA7}" name="Region"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6A557F-7CD0-48DD-BDFE-BF2AB0D4AF94}" name="Table4" displayName="Table4" ref="A1:C21" totalsRowShown="0" headerRowDxfId="16" dataDxfId="15">
  <autoFilter ref="A1:C21" xr:uid="{E66A557F-7CD0-48DD-BDFE-BF2AB0D4AF94}"/>
  <tableColumns count="3">
    <tableColumn id="1" xr3:uid="{A0D72865-F13C-4ACD-99D2-CC8E6D0E2CDA}" name="Customer ID" dataDxfId="14"/>
    <tableColumn id="2" xr3:uid="{FEC190C5-8C5C-47F0-B10D-D9137B302F89}" name="Customer Name" dataDxfId="13"/>
    <tableColumn id="3" xr3:uid="{E38B344D-AF76-482E-9116-4286A7DAA9EE}" name="City"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830802B7-81CA-4DDE-BE3C-483B052599CB}" sourceName="Date">
  <pivotTables>
    <pivotTable tabId="8" name="PivotTable6"/>
  </pivotTables>
  <state minimalRefreshVersion="6" lastRefreshVersion="6" pivotCacheId="177213729" filterType="dateBetween">
    <selection startDate="2025-07-01T00:00:00" endDate="2025-07-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AD2B61B-54DC-4E87-9689-028833AECC22}" cache="NativeTimeline_Date" caption="Date" level="2" selectionLevel="2" scrollPosition="2025-06-07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26D74ED4-D2F1-449D-A4A2-990329A05DF7}" cache="NativeTimeline_Date" caption="Date" level="2" selectionLevel="2" scrollPosition="2025-06-07T00:00:00"/>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87C4A-0DD0-4B57-8D4A-0CF7333454A0}">
  <dimension ref="A1:Q100"/>
  <sheetViews>
    <sheetView zoomScaleNormal="100" workbookViewId="0">
      <selection activeCell="B10" sqref="B10"/>
    </sheetView>
  </sheetViews>
  <sheetFormatPr defaultRowHeight="14.4" x14ac:dyDescent="0.3"/>
  <cols>
    <col min="1" max="1" width="9.88671875" customWidth="1"/>
    <col min="2" max="2" width="14.6640625" bestFit="1" customWidth="1"/>
    <col min="3" max="3" width="13.21875" customWidth="1"/>
    <col min="4" max="4" width="11.77734375" customWidth="1"/>
    <col min="5" max="5" width="9.33203125" customWidth="1"/>
    <col min="6" max="6" width="20.5546875" customWidth="1"/>
    <col min="7" max="7" width="20.6640625" customWidth="1"/>
    <col min="8" max="8" width="10.44140625" bestFit="1" customWidth="1"/>
    <col min="9" max="10" width="12.77734375" bestFit="1" customWidth="1"/>
    <col min="11" max="11" width="18.6640625" bestFit="1" customWidth="1"/>
    <col min="12" max="12" width="12.109375" bestFit="1" customWidth="1"/>
    <col min="13" max="13" width="17.6640625" bestFit="1" customWidth="1"/>
    <col min="14" max="14" width="14.88671875" bestFit="1" customWidth="1"/>
    <col min="15" max="15" width="12.5546875" bestFit="1" customWidth="1"/>
    <col min="16" max="16" width="10.44140625" bestFit="1" customWidth="1"/>
    <col min="17" max="17" width="12.5546875" bestFit="1" customWidth="1"/>
  </cols>
  <sheetData>
    <row r="1" spans="1:17" ht="28.8" x14ac:dyDescent="0.3">
      <c r="A1" s="1" t="s">
        <v>36</v>
      </c>
      <c r="B1" s="16" t="s">
        <v>37</v>
      </c>
      <c r="C1" s="1" t="s">
        <v>27</v>
      </c>
      <c r="D1" s="1" t="s">
        <v>0</v>
      </c>
      <c r="E1" s="1" t="s">
        <v>15</v>
      </c>
      <c r="F1" s="1" t="s">
        <v>28</v>
      </c>
      <c r="G1" s="1" t="s">
        <v>1</v>
      </c>
      <c r="H1" s="1" t="s">
        <v>176</v>
      </c>
      <c r="I1" s="1" t="s">
        <v>263</v>
      </c>
      <c r="J1" s="1" t="s">
        <v>38</v>
      </c>
      <c r="K1" s="1" t="s">
        <v>3</v>
      </c>
      <c r="L1" s="1" t="s">
        <v>4</v>
      </c>
      <c r="M1" s="1" t="s">
        <v>39</v>
      </c>
      <c r="N1" s="1" t="s">
        <v>40</v>
      </c>
      <c r="O1" s="1" t="s">
        <v>41</v>
      </c>
      <c r="P1" s="1" t="s">
        <v>2</v>
      </c>
    </row>
    <row r="2" spans="1:17" x14ac:dyDescent="0.3">
      <c r="A2" t="str">
        <f ca="1">"0"&amp;TEXT(RANDBETWEEN(1,100),"000")</f>
        <v>0064</v>
      </c>
      <c r="B2" s="13">
        <v>45718</v>
      </c>
      <c r="C2" s="2" t="str" cm="1">
        <f t="array" aca="1" ref="C2" ca="1">INDEX(Customers!A:A,RANDBETWEEN(2,20))</f>
        <v>C019</v>
      </c>
      <c r="D2" t="str" cm="1">
        <f t="array" aca="1" ref="D2" ca="1">INDEX(Products!A:A,RANDBETWEEN(2,101))</f>
        <v>P060</v>
      </c>
      <c r="E2" t="str" cm="1">
        <f t="array" aca="1" ref="E2" ca="1">INDEX(SalesPerson!A:A,RANDBETWEEN(2,21))</f>
        <v>S001</v>
      </c>
      <c r="F2" t="str">
        <f ca="1">_xlfn.XLOOKUP(C2,Customers!A:A,Customers!B:B)</f>
        <v>PT Harapan Baru</v>
      </c>
      <c r="G2" t="str">
        <f ca="1">_xlfn.XLOOKUP(D2,Products!A:A,Products!B:B)</f>
        <v>USB Hub 4 Port</v>
      </c>
      <c r="H2" t="str">
        <f ca="1">_xlfn.XLOOKUP(E2,SalesPerson!A:A,SalesPerson!B:B)</f>
        <v>Andi Pratama</v>
      </c>
      <c r="I2" t="str">
        <f ca="1">_xlfn.XLOOKUP(E2,SalesPerson!A:A,SalesPerson!C:C)</f>
        <v>Jakarta</v>
      </c>
      <c r="J2">
        <f t="shared" ref="J2:J33" ca="1" si="0">RANDBETWEEN(1,10)</f>
        <v>4</v>
      </c>
      <c r="K2" s="2">
        <f ca="1">_xlfn.XLOOKUP(D2,Products!A:A,Products!D:D)</f>
        <v>150000</v>
      </c>
      <c r="L2" s="2">
        <f ca="1">_xlfn.XLOOKUP(D2,Products!A:A,Products!E:E)</f>
        <v>90000</v>
      </c>
      <c r="M2" s="2">
        <f ca="1">J2*K2</f>
        <v>600000</v>
      </c>
      <c r="N2" s="2">
        <f ca="1">J2*L2</f>
        <v>360000</v>
      </c>
      <c r="O2" s="3">
        <f ca="1">M2-N2</f>
        <v>240000</v>
      </c>
      <c r="P2" s="2" t="str">
        <f ca="1">_xlfn.XLOOKUP(D2,Products!A:A,Products!C:C)</f>
        <v>Accessories</v>
      </c>
    </row>
    <row r="3" spans="1:17" ht="28.8" x14ac:dyDescent="0.3">
      <c r="A3" t="str">
        <f t="shared" ref="A3:A66" ca="1" si="1">"0"&amp;TEXT(RANDBETWEEN(1,100),"000")</f>
        <v>0010</v>
      </c>
      <c r="B3" s="13">
        <v>45720</v>
      </c>
      <c r="C3" s="2" t="str" cm="1">
        <f t="array" aca="1" ref="C3" ca="1">INDEX(Customers!A:A,RANDBETWEEN(2,20))</f>
        <v>C003</v>
      </c>
      <c r="D3" s="2" t="str" cm="1">
        <f t="array" aca="1" ref="D3" ca="1">INDEX(Products!A:A,RANDBETWEEN(2,101))</f>
        <v>P090</v>
      </c>
      <c r="E3" s="2" t="str" cm="1">
        <f t="array" aca="1" ref="E3" ca="1">INDEX(SalesPerson!A:A,RANDBETWEEN(2,21))</f>
        <v>S013</v>
      </c>
      <c r="F3" s="2" t="str">
        <f ca="1">_xlfn.XLOOKUP(C3,Customers!A:A,Customers!B:B)</f>
        <v>CV Sinar Teknologi</v>
      </c>
      <c r="G3" s="2" t="str">
        <f ca="1">_xlfn.XLOOKUP(D3,Products!A:A,Products!B:B)</f>
        <v>Flashdisk 64GB</v>
      </c>
      <c r="H3" s="2" t="str">
        <f ca="1">_xlfn.XLOOKUP(E3,SalesPerson!A:A,SalesPerson!B:B)</f>
        <v>Muhammad Rizki</v>
      </c>
      <c r="I3" s="2" t="str">
        <f ca="1">_xlfn.XLOOKUP(E3,SalesPerson!A:A,SalesPerson!C:C)</f>
        <v>Bogor</v>
      </c>
      <c r="J3" s="2">
        <f t="shared" ca="1" si="0"/>
        <v>8</v>
      </c>
      <c r="K3" s="2">
        <f ca="1">_xlfn.XLOOKUP(D3,Products!A:A,Products!D:D)</f>
        <v>120000</v>
      </c>
      <c r="L3" s="2">
        <f ca="1">_xlfn.XLOOKUP(D3,Products!A:A,Products!E:E)</f>
        <v>80000</v>
      </c>
      <c r="M3" s="2">
        <f t="shared" ref="M3:M34" ca="1" si="2">J3*K3</f>
        <v>960000</v>
      </c>
      <c r="N3" s="2">
        <f t="shared" ref="N3:N34" ca="1" si="3">J3*L3</f>
        <v>640000</v>
      </c>
      <c r="O3" s="3">
        <f t="shared" ref="O3:O34" ca="1" si="4">M3-N3</f>
        <v>320000</v>
      </c>
      <c r="P3" s="2" t="str">
        <f ca="1">_xlfn.XLOOKUP(D3,Products!A:A,Products!C:C)</f>
        <v>Storage</v>
      </c>
    </row>
    <row r="4" spans="1:17" ht="28.8" x14ac:dyDescent="0.3">
      <c r="A4" t="str">
        <f t="shared" ca="1" si="1"/>
        <v>0067</v>
      </c>
      <c r="B4" s="13">
        <v>45721</v>
      </c>
      <c r="C4" s="2" t="str" cm="1">
        <f t="array" aca="1" ref="C4" ca="1">INDEX(Customers!A:A,RANDBETWEEN(2,20))</f>
        <v>C009</v>
      </c>
      <c r="D4" s="2" t="str" cm="1">
        <f t="array" aca="1" ref="D4" ca="1">INDEX(Products!A:A,RANDBETWEEN(2,101))</f>
        <v>P063</v>
      </c>
      <c r="E4" s="2" t="str" cm="1">
        <f t="array" aca="1" ref="E4" ca="1">INDEX(SalesPerson!A:A,RANDBETWEEN(2,21))</f>
        <v>S012</v>
      </c>
      <c r="F4" s="2" t="str">
        <f ca="1">_xlfn.XLOOKUP(C4,Customers!A:A,Customers!B:B)</f>
        <v>PT Andalan Prima</v>
      </c>
      <c r="G4" s="2" t="str">
        <f ca="1">_xlfn.XLOOKUP(D4,Products!A:A,Products!B:B)</f>
        <v>Laptop HP 17</v>
      </c>
      <c r="H4" s="2" t="str">
        <f ca="1">_xlfn.XLOOKUP(E4,SalesPerson!A:A,SalesPerson!B:B)</f>
        <v>Lestari Wulandari</v>
      </c>
      <c r="I4" s="2" t="str">
        <f ca="1">_xlfn.XLOOKUP(E4,SalesPerson!A:A,SalesPerson!C:C)</f>
        <v>Depok</v>
      </c>
      <c r="J4" s="2">
        <f t="shared" ca="1" si="0"/>
        <v>4</v>
      </c>
      <c r="K4" s="2">
        <f ca="1">_xlfn.XLOOKUP(D4,Products!A:A,Products!D:D)</f>
        <v>7800000</v>
      </c>
      <c r="L4" s="2">
        <f ca="1">_xlfn.XLOOKUP(D4,Products!A:A,Products!E:E)</f>
        <v>6500000</v>
      </c>
      <c r="M4" s="2">
        <f t="shared" ca="1" si="2"/>
        <v>31200000</v>
      </c>
      <c r="N4" s="2">
        <f t="shared" ca="1" si="3"/>
        <v>26000000</v>
      </c>
      <c r="O4" s="3">
        <f t="shared" ca="1" si="4"/>
        <v>5200000</v>
      </c>
      <c r="P4" s="10" t="str">
        <f ca="1">_xlfn.XLOOKUP(D4,Products!A:A,Products!C:C)</f>
        <v>Laptop</v>
      </c>
    </row>
    <row r="5" spans="1:17" ht="28.8" x14ac:dyDescent="0.3">
      <c r="A5" t="str">
        <f t="shared" ca="1" si="1"/>
        <v>0028</v>
      </c>
      <c r="B5" s="13">
        <v>45722</v>
      </c>
      <c r="C5" s="2" t="str" cm="1">
        <f t="array" aca="1" ref="C5" ca="1">INDEX(Customers!A:A,RANDBETWEEN(2,20))</f>
        <v>C002</v>
      </c>
      <c r="D5" s="2" t="str" cm="1">
        <f t="array" aca="1" ref="D5" ca="1">INDEX(Products!A:A,RANDBETWEEN(2,101))</f>
        <v>P052</v>
      </c>
      <c r="E5" s="2" t="str" cm="1">
        <f t="array" aca="1" ref="E5" ca="1">INDEX(SalesPerson!A:A,RANDBETWEEN(2,21))</f>
        <v>S018</v>
      </c>
      <c r="F5" s="2" t="str">
        <f ca="1">_xlfn.XLOOKUP(C5,Customers!A:A,Customers!B:B)</f>
        <v>PT Nusantara Abadi</v>
      </c>
      <c r="G5" s="2" t="str">
        <f ca="1">_xlfn.XLOOKUP(D5,Products!A:A,Products!B:B)</f>
        <v>Webcam Logitech</v>
      </c>
      <c r="H5" s="2" t="str">
        <f ca="1">_xlfn.XLOOKUP(E5,SalesPerson!A:A,SalesPerson!B:B)</f>
        <v>Rian Kurniawan</v>
      </c>
      <c r="I5" s="2" t="str">
        <f ca="1">_xlfn.XLOOKUP(E5,SalesPerson!A:A,SalesPerson!C:C)</f>
        <v>Banjarmasin</v>
      </c>
      <c r="J5" s="2">
        <f t="shared" ca="1" si="0"/>
        <v>6</v>
      </c>
      <c r="K5" s="2">
        <f ca="1">_xlfn.XLOOKUP(D5,Products!A:A,Products!D:D)</f>
        <v>680000</v>
      </c>
      <c r="L5" s="2">
        <f ca="1">_xlfn.XLOOKUP(D5,Products!A:A,Products!E:E)</f>
        <v>520000</v>
      </c>
      <c r="M5" s="2">
        <f t="shared" ca="1" si="2"/>
        <v>4080000</v>
      </c>
      <c r="N5" s="2">
        <f t="shared" ca="1" si="3"/>
        <v>3120000</v>
      </c>
      <c r="O5" s="3">
        <f t="shared" ca="1" si="4"/>
        <v>960000</v>
      </c>
      <c r="P5" s="10" t="str">
        <f ca="1">_xlfn.XLOOKUP(D5,Products!A:A,Products!C:C)</f>
        <v>Accessories</v>
      </c>
    </row>
    <row r="6" spans="1:17" ht="28.8" x14ac:dyDescent="0.3">
      <c r="A6" t="str">
        <f t="shared" ca="1" si="1"/>
        <v>0044</v>
      </c>
      <c r="B6" s="13">
        <v>45723</v>
      </c>
      <c r="C6" s="2" t="str" cm="1">
        <f t="array" aca="1" ref="C6" ca="1">INDEX(Customers!A:A,RANDBETWEEN(2,20))</f>
        <v>C006</v>
      </c>
      <c r="D6" s="2" t="str" cm="1">
        <f t="array" aca="1" ref="D6" ca="1">INDEX(Products!A:A,RANDBETWEEN(2,101))</f>
        <v>P038</v>
      </c>
      <c r="E6" s="2" t="str" cm="1">
        <f t="array" aca="1" ref="E6" ca="1">INDEX(SalesPerson!A:A,RANDBETWEEN(2,21))</f>
        <v>S012</v>
      </c>
      <c r="F6" s="2" t="str">
        <f ca="1">_xlfn.XLOOKUP(C6,Customers!A:A,Customers!B:B)</f>
        <v>CV Maju Bersama</v>
      </c>
      <c r="G6" s="2" t="str">
        <f ca="1">_xlfn.XLOOKUP(D6,Products!A:A,Products!B:B)</f>
        <v>RAM DDR4 16GB</v>
      </c>
      <c r="H6" s="2" t="str">
        <f ca="1">_xlfn.XLOOKUP(E6,SalesPerson!A:A,SalesPerson!B:B)</f>
        <v>Lestari Wulandari</v>
      </c>
      <c r="I6" s="2" t="str">
        <f ca="1">_xlfn.XLOOKUP(E6,SalesPerson!A:A,SalesPerson!C:C)</f>
        <v>Depok</v>
      </c>
      <c r="J6" s="2">
        <f t="shared" ca="1" si="0"/>
        <v>4</v>
      </c>
      <c r="K6" s="2">
        <f ca="1">_xlfn.XLOOKUP(D6,Products!A:A,Products!D:D)</f>
        <v>980000</v>
      </c>
      <c r="L6" s="2">
        <f ca="1">_xlfn.XLOOKUP(D6,Products!A:A,Products!E:E)</f>
        <v>780000</v>
      </c>
      <c r="M6" s="2">
        <f t="shared" ca="1" si="2"/>
        <v>3920000</v>
      </c>
      <c r="N6" s="2">
        <f t="shared" ca="1" si="3"/>
        <v>3120000</v>
      </c>
      <c r="O6" s="3">
        <f t="shared" ca="1" si="4"/>
        <v>800000</v>
      </c>
      <c r="P6" s="10" t="str">
        <f ca="1">_xlfn.XLOOKUP(D6,Products!A:A,Products!C:C)</f>
        <v>Components</v>
      </c>
      <c r="Q6" s="7"/>
    </row>
    <row r="7" spans="1:17" x14ac:dyDescent="0.3">
      <c r="A7" t="str">
        <f t="shared" ca="1" si="1"/>
        <v>0048</v>
      </c>
      <c r="B7" s="13">
        <v>45724</v>
      </c>
      <c r="C7" s="2" t="str" cm="1">
        <f t="array" aca="1" ref="C7" ca="1">INDEX(Customers!A:A,RANDBETWEEN(2,20))</f>
        <v>C015</v>
      </c>
      <c r="D7" s="2" t="str" cm="1">
        <f t="array" aca="1" ref="D7" ca="1">INDEX(Products!A:A,RANDBETWEEN(2,101))</f>
        <v>P096</v>
      </c>
      <c r="E7" s="2" t="str" cm="1">
        <f t="array" aca="1" ref="E7" ca="1">INDEX(SalesPerson!A:A,RANDBETWEEN(2,21))</f>
        <v>S009</v>
      </c>
      <c r="F7" s="2" t="str">
        <f ca="1">_xlfn.XLOOKUP(C7,Customers!A:A,Customers!B:B)</f>
        <v>PT Sentosa Abadi</v>
      </c>
      <c r="G7" s="2" t="str">
        <f ca="1">_xlfn.XLOOKUP(D7,Products!A:A,Products!B:B)</f>
        <v>Router TP-Link</v>
      </c>
      <c r="H7" s="2" t="str">
        <f ca="1">_xlfn.XLOOKUP(E7,SalesPerson!A:A,SalesPerson!B:B)</f>
        <v>Intan Permata</v>
      </c>
      <c r="I7" s="2" t="str">
        <f ca="1">_xlfn.XLOOKUP(E7,SalesPerson!A:A,SalesPerson!C:C)</f>
        <v>Palembang</v>
      </c>
      <c r="J7" s="2">
        <f t="shared" ca="1" si="0"/>
        <v>10</v>
      </c>
      <c r="K7" s="2">
        <f ca="1">_xlfn.XLOOKUP(D7,Products!A:A,Products!D:D)</f>
        <v>670000</v>
      </c>
      <c r="L7" s="2">
        <f ca="1">_xlfn.XLOOKUP(D7,Products!A:A,Products!E:E)</f>
        <v>510000</v>
      </c>
      <c r="M7" s="2">
        <f t="shared" ca="1" si="2"/>
        <v>6700000</v>
      </c>
      <c r="N7" s="2">
        <f t="shared" ca="1" si="3"/>
        <v>5100000</v>
      </c>
      <c r="O7" s="3">
        <f t="shared" ca="1" si="4"/>
        <v>1600000</v>
      </c>
      <c r="P7" s="2" t="str">
        <f ca="1">_xlfn.XLOOKUP(D7,Products!A:A,Products!C:C)</f>
        <v>Network</v>
      </c>
      <c r="Q7" s="7"/>
    </row>
    <row r="8" spans="1:17" ht="28.8" x14ac:dyDescent="0.3">
      <c r="A8" t="str">
        <f t="shared" ca="1" si="1"/>
        <v>0081</v>
      </c>
      <c r="B8" s="13">
        <v>45725</v>
      </c>
      <c r="C8" s="2" t="str" cm="1">
        <f t="array" aca="1" ref="C8" ca="1">INDEX(Customers!A:A,RANDBETWEEN(2,20))</f>
        <v>C003</v>
      </c>
      <c r="D8" s="2" t="str" cm="1">
        <f t="array" aca="1" ref="D8" ca="1">INDEX(Products!A:A,RANDBETWEEN(2,101))</f>
        <v>P005</v>
      </c>
      <c r="E8" s="2" t="str" cm="1">
        <f t="array" aca="1" ref="E8" ca="1">INDEX(SalesPerson!A:A,RANDBETWEEN(2,21))</f>
        <v>S019</v>
      </c>
      <c r="F8" s="2" t="str">
        <f ca="1">_xlfn.XLOOKUP(C8,Customers!A:A,Customers!B:B)</f>
        <v>CV Sinar Teknologi</v>
      </c>
      <c r="G8" s="2" t="str">
        <f ca="1">_xlfn.XLOOKUP(D8,Products!A:A,Products!B:B)</f>
        <v>Monitor Samsung 27"</v>
      </c>
      <c r="H8" s="2" t="str">
        <f ca="1">_xlfn.XLOOKUP(E8,SalesPerson!A:A,SalesPerson!B:B)</f>
        <v>Sinta Maharani</v>
      </c>
      <c r="I8" s="2" t="str">
        <f ca="1">_xlfn.XLOOKUP(E8,SalesPerson!A:A,SalesPerson!C:C)</f>
        <v>Solo</v>
      </c>
      <c r="J8" s="2">
        <f t="shared" ca="1" si="0"/>
        <v>10</v>
      </c>
      <c r="K8" s="2">
        <f ca="1">_xlfn.XLOOKUP(D8,Products!A:A,Products!D:D)</f>
        <v>3200000</v>
      </c>
      <c r="L8" s="2">
        <f ca="1">_xlfn.XLOOKUP(D8,Products!A:A,Products!E:E)</f>
        <v>2600000</v>
      </c>
      <c r="M8" s="2">
        <f t="shared" ca="1" si="2"/>
        <v>32000000</v>
      </c>
      <c r="N8" s="2">
        <f t="shared" ca="1" si="3"/>
        <v>26000000</v>
      </c>
      <c r="O8" s="3">
        <f t="shared" ca="1" si="4"/>
        <v>6000000</v>
      </c>
      <c r="P8" s="2" t="str">
        <f ca="1">_xlfn.XLOOKUP(D8,Products!A:A,Products!C:C)</f>
        <v>Monitor</v>
      </c>
      <c r="Q8" s="7"/>
    </row>
    <row r="9" spans="1:17" ht="28.8" x14ac:dyDescent="0.3">
      <c r="A9" t="str">
        <f t="shared" ca="1" si="1"/>
        <v>0097</v>
      </c>
      <c r="B9" s="13">
        <v>45726</v>
      </c>
      <c r="C9" s="2" t="str" cm="1">
        <f t="array" aca="1" ref="C9" ca="1">INDEX(Customers!A:A,RANDBETWEEN(2,20))</f>
        <v>C013</v>
      </c>
      <c r="D9" s="2" t="str" cm="1">
        <f t="array" aca="1" ref="D9" ca="1">INDEX(Products!A:A,RANDBETWEEN(2,101))</f>
        <v>P073</v>
      </c>
      <c r="E9" s="2" t="str" cm="1">
        <f t="array" aca="1" ref="E9" ca="1">INDEX(SalesPerson!A:A,RANDBETWEEN(2,21))</f>
        <v>S019</v>
      </c>
      <c r="F9" s="2" t="str">
        <f ca="1">_xlfn.XLOOKUP(C9,Customers!A:A,Customers!B:B)</f>
        <v>PT Prima Teknologi</v>
      </c>
      <c r="G9" s="2" t="str">
        <f ca="1">_xlfn.XLOOKUP(D9,Products!A:A,Products!B:B)</f>
        <v>Headset HyperX</v>
      </c>
      <c r="H9" s="2" t="str">
        <f ca="1">_xlfn.XLOOKUP(E9,SalesPerson!A:A,SalesPerson!B:B)</f>
        <v>Sinta Maharani</v>
      </c>
      <c r="I9" s="2" t="str">
        <f ca="1">_xlfn.XLOOKUP(E9,SalesPerson!A:A,SalesPerson!C:C)</f>
        <v>Solo</v>
      </c>
      <c r="J9" s="2">
        <f t="shared" ca="1" si="0"/>
        <v>10</v>
      </c>
      <c r="K9" s="2">
        <f ca="1">_xlfn.XLOOKUP(D9,Products!A:A,Products!D:D)</f>
        <v>890000</v>
      </c>
      <c r="L9" s="2">
        <f ca="1">_xlfn.XLOOKUP(D9,Products!A:A,Products!E:E)</f>
        <v>690000</v>
      </c>
      <c r="M9" s="2">
        <f t="shared" ca="1" si="2"/>
        <v>8900000</v>
      </c>
      <c r="N9" s="2">
        <f t="shared" ca="1" si="3"/>
        <v>6900000</v>
      </c>
      <c r="O9" s="3">
        <f t="shared" ca="1" si="4"/>
        <v>2000000</v>
      </c>
      <c r="P9" s="2" t="str">
        <f ca="1">_xlfn.XLOOKUP(D9,Products!A:A,Products!C:C)</f>
        <v>Accessories</v>
      </c>
    </row>
    <row r="10" spans="1:17" ht="28.8" x14ac:dyDescent="0.3">
      <c r="A10" t="str">
        <f t="shared" ca="1" si="1"/>
        <v>0029</v>
      </c>
      <c r="B10" s="13">
        <v>45727</v>
      </c>
      <c r="C10" s="2" t="str" cm="1">
        <f t="array" aca="1" ref="C10" ca="1">INDEX(Customers!A:A,RANDBETWEEN(2,20))</f>
        <v>C011</v>
      </c>
      <c r="D10" s="2" t="str" cm="1">
        <f t="array" aca="1" ref="D10" ca="1">INDEX(Products!A:A,RANDBETWEEN(2,101))</f>
        <v>P068</v>
      </c>
      <c r="E10" s="2" t="str" cm="1">
        <f t="array" aca="1" ref="E10" ca="1">INDEX(SalesPerson!A:A,RANDBETWEEN(2,21))</f>
        <v>S013</v>
      </c>
      <c r="F10" s="2" t="str">
        <f ca="1">_xlfn.XLOOKUP(C10,Customers!A:A,Customers!B:B)</f>
        <v>CV Karya Mandiri</v>
      </c>
      <c r="G10" s="2" t="str">
        <f ca="1">_xlfn.XLOOKUP(D10,Products!A:A,Products!B:B)</f>
        <v>SSD 1TB Kingston</v>
      </c>
      <c r="H10" s="2" t="str">
        <f ca="1">_xlfn.XLOOKUP(E10,SalesPerson!A:A,SalesPerson!B:B)</f>
        <v>Muhammad Rizki</v>
      </c>
      <c r="I10" s="2" t="str">
        <f ca="1">_xlfn.XLOOKUP(E10,SalesPerson!A:A,SalesPerson!C:C)</f>
        <v>Bogor</v>
      </c>
      <c r="J10" s="2">
        <f t="shared" ca="1" si="0"/>
        <v>7</v>
      </c>
      <c r="K10" s="2">
        <f ca="1">_xlfn.XLOOKUP(D10,Products!A:A,Products!D:D)</f>
        <v>1250000</v>
      </c>
      <c r="L10" s="2">
        <f ca="1">_xlfn.XLOOKUP(D10,Products!A:A,Products!E:E)</f>
        <v>980000</v>
      </c>
      <c r="M10" s="2">
        <f t="shared" ca="1" si="2"/>
        <v>8750000</v>
      </c>
      <c r="N10" s="2">
        <f t="shared" ca="1" si="3"/>
        <v>6860000</v>
      </c>
      <c r="O10" s="3">
        <f t="shared" ca="1" si="4"/>
        <v>1890000</v>
      </c>
      <c r="P10" s="2" t="str">
        <f ca="1">_xlfn.XLOOKUP(D10,Products!A:A,Products!C:C)</f>
        <v>Storage</v>
      </c>
    </row>
    <row r="11" spans="1:17" ht="28.8" x14ac:dyDescent="0.3">
      <c r="A11" t="str">
        <f t="shared" ca="1" si="1"/>
        <v>0019</v>
      </c>
      <c r="B11" s="13">
        <v>45728</v>
      </c>
      <c r="C11" s="2" t="str" cm="1">
        <f t="array" aca="1" ref="C11" ca="1">INDEX(Customers!A:A,RANDBETWEEN(2,20))</f>
        <v>C009</v>
      </c>
      <c r="D11" s="2" t="str" cm="1">
        <f t="array" aca="1" ref="D11" ca="1">INDEX(Products!A:A,RANDBETWEEN(2,101))</f>
        <v>P011</v>
      </c>
      <c r="E11" s="2" t="str" cm="1">
        <f t="array" aca="1" ref="E11" ca="1">INDEX(SalesPerson!A:A,RANDBETWEEN(2,21))</f>
        <v>S012</v>
      </c>
      <c r="F11" s="2" t="str">
        <f ca="1">_xlfn.XLOOKUP(C11,Customers!A:A,Customers!B:B)</f>
        <v>PT Andalan Prima</v>
      </c>
      <c r="G11" s="2" t="str">
        <f ca="1">_xlfn.XLOOKUP(D11,Products!A:A,Products!B:B)</f>
        <v>Printer Epson L3250</v>
      </c>
      <c r="H11" s="2" t="str">
        <f ca="1">_xlfn.XLOOKUP(E11,SalesPerson!A:A,SalesPerson!B:B)</f>
        <v>Lestari Wulandari</v>
      </c>
      <c r="I11" s="2" t="str">
        <f ca="1">_xlfn.XLOOKUP(E11,SalesPerson!A:A,SalesPerson!C:C)</f>
        <v>Depok</v>
      </c>
      <c r="J11" s="2">
        <f t="shared" ca="1" si="0"/>
        <v>5</v>
      </c>
      <c r="K11" s="2">
        <f ca="1">_xlfn.XLOOKUP(D11,Products!A:A,Products!D:D)</f>
        <v>2900000</v>
      </c>
      <c r="L11" s="2">
        <f ca="1">_xlfn.XLOOKUP(D11,Products!A:A,Products!E:E)</f>
        <v>2400000</v>
      </c>
      <c r="M11" s="2">
        <f t="shared" ca="1" si="2"/>
        <v>14500000</v>
      </c>
      <c r="N11" s="2">
        <f t="shared" ca="1" si="3"/>
        <v>12000000</v>
      </c>
      <c r="O11" s="3">
        <f t="shared" ca="1" si="4"/>
        <v>2500000</v>
      </c>
      <c r="P11" s="2" t="str">
        <f ca="1">_xlfn.XLOOKUP(D11,Products!A:A,Products!C:C)</f>
        <v>Printer</v>
      </c>
    </row>
    <row r="12" spans="1:17" ht="28.8" x14ac:dyDescent="0.3">
      <c r="A12" t="str">
        <f t="shared" ca="1" si="1"/>
        <v>0002</v>
      </c>
      <c r="B12" s="13">
        <v>45729</v>
      </c>
      <c r="C12" s="2" t="str" cm="1">
        <f t="array" aca="1" ref="C12" ca="1">INDEX(Customers!A:A,RANDBETWEEN(2,20))</f>
        <v>C011</v>
      </c>
      <c r="D12" s="2" t="str" cm="1">
        <f t="array" aca="1" ref="D12" ca="1">INDEX(Products!A:A,RANDBETWEEN(2,101))</f>
        <v>P083</v>
      </c>
      <c r="E12" s="2" t="str" cm="1">
        <f t="array" aca="1" ref="E12" ca="1">INDEX(SalesPerson!A:A,RANDBETWEEN(2,21))</f>
        <v>S005</v>
      </c>
      <c r="F12" s="2" t="str">
        <f ca="1">_xlfn.XLOOKUP(C12,Customers!A:A,Customers!B:B)</f>
        <v>CV Karya Mandiri</v>
      </c>
      <c r="G12" s="2" t="str">
        <f ca="1">_xlfn.XLOOKUP(D12,Products!A:A,Products!B:B)</f>
        <v>Laptop HP 18</v>
      </c>
      <c r="H12" s="2" t="str">
        <f ca="1">_xlfn.XLOOKUP(E12,SalesPerson!A:A,SalesPerson!B:B)</f>
        <v>Eka Putri</v>
      </c>
      <c r="I12" s="2" t="str">
        <f ca="1">_xlfn.XLOOKUP(E12,SalesPerson!A:A,SalesPerson!C:C)</f>
        <v>Makassar</v>
      </c>
      <c r="J12" s="2">
        <f t="shared" ca="1" si="0"/>
        <v>1</v>
      </c>
      <c r="K12" s="2">
        <f ca="1">_xlfn.XLOOKUP(D12,Products!A:A,Products!D:D)</f>
        <v>7800000</v>
      </c>
      <c r="L12" s="2">
        <f ca="1">_xlfn.XLOOKUP(D12,Products!A:A,Products!E:E)</f>
        <v>6500000</v>
      </c>
      <c r="M12" s="2">
        <f t="shared" ca="1" si="2"/>
        <v>7800000</v>
      </c>
      <c r="N12" s="2">
        <f t="shared" ca="1" si="3"/>
        <v>6500000</v>
      </c>
      <c r="O12" s="3">
        <f t="shared" ca="1" si="4"/>
        <v>1300000</v>
      </c>
      <c r="P12" s="2" t="str">
        <f ca="1">_xlfn.XLOOKUP(D12,Products!A:A,Products!C:C)</f>
        <v>Laptop</v>
      </c>
    </row>
    <row r="13" spans="1:17" ht="28.8" x14ac:dyDescent="0.3">
      <c r="A13" t="str">
        <f t="shared" ca="1" si="1"/>
        <v>0046</v>
      </c>
      <c r="B13" s="13">
        <v>45730</v>
      </c>
      <c r="C13" s="2" t="str" cm="1">
        <f t="array" aca="1" ref="C13" ca="1">INDEX(Customers!A:A,RANDBETWEEN(2,20))</f>
        <v>C002</v>
      </c>
      <c r="D13" s="2" t="str" cm="1">
        <f t="array" aca="1" ref="D13" ca="1">INDEX(Products!A:A,RANDBETWEEN(2,101))</f>
        <v>P062</v>
      </c>
      <c r="E13" s="2" t="str" cm="1">
        <f t="array" aca="1" ref="E13" ca="1">INDEX(SalesPerson!A:A,RANDBETWEEN(2,21))</f>
        <v>S001</v>
      </c>
      <c r="F13" s="2" t="str">
        <f ca="1">_xlfn.XLOOKUP(C13,Customers!A:A,Customers!B:B)</f>
        <v>PT Nusantara Abadi</v>
      </c>
      <c r="G13" s="2" t="str">
        <f ca="1">_xlfn.XLOOKUP(D13,Products!A:A,Products!B:B)</f>
        <v>Laptop Lenovo IdeaPad</v>
      </c>
      <c r="H13" s="2" t="str">
        <f ca="1">_xlfn.XLOOKUP(E13,SalesPerson!A:A,SalesPerson!B:B)</f>
        <v>Andi Pratama</v>
      </c>
      <c r="I13" s="2" t="str">
        <f ca="1">_xlfn.XLOOKUP(E13,SalesPerson!A:A,SalesPerson!C:C)</f>
        <v>Jakarta</v>
      </c>
      <c r="J13" s="2">
        <f t="shared" ca="1" si="0"/>
        <v>1</v>
      </c>
      <c r="K13" s="2">
        <f ca="1">_xlfn.XLOOKUP(D13,Products!A:A,Products!D:D)</f>
        <v>9200000</v>
      </c>
      <c r="L13" s="2">
        <f ca="1">_xlfn.XLOOKUP(D13,Products!A:A,Products!E:E)</f>
        <v>7900000</v>
      </c>
      <c r="M13" s="2">
        <f t="shared" ca="1" si="2"/>
        <v>9200000</v>
      </c>
      <c r="N13" s="2">
        <f t="shared" ca="1" si="3"/>
        <v>7900000</v>
      </c>
      <c r="O13" s="3">
        <f t="shared" ca="1" si="4"/>
        <v>1300000</v>
      </c>
      <c r="P13" s="2" t="str">
        <f ca="1">_xlfn.XLOOKUP(D13,Products!A:A,Products!C:C)</f>
        <v>Laptop</v>
      </c>
    </row>
    <row r="14" spans="1:17" x14ac:dyDescent="0.3">
      <c r="A14" t="str">
        <f t="shared" ca="1" si="1"/>
        <v>0013</v>
      </c>
      <c r="B14" s="13">
        <v>45731</v>
      </c>
      <c r="C14" s="2" t="str" cm="1">
        <f t="array" aca="1" ref="C14" ca="1">INDEX(Customers!A:A,RANDBETWEEN(2,20))</f>
        <v>C003</v>
      </c>
      <c r="D14" s="2" t="str" cm="1">
        <f t="array" aca="1" ref="D14" ca="1">INDEX(Products!A:A,RANDBETWEEN(2,101))</f>
        <v>P043</v>
      </c>
      <c r="E14" s="2" t="str" cm="1">
        <f t="array" aca="1" ref="E14" ca="1">INDEX(SalesPerson!A:A,RANDBETWEEN(2,21))</f>
        <v>S012</v>
      </c>
      <c r="F14" s="2" t="str">
        <f ca="1">_xlfn.XLOOKUP(C14,Customers!A:A,Customers!B:B)</f>
        <v>CV Sinar Teknologi</v>
      </c>
      <c r="G14" s="2" t="str">
        <f ca="1">_xlfn.XLOOKUP(D14,Products!A:A,Products!B:B)</f>
        <v>Laptop HP 16</v>
      </c>
      <c r="H14" s="2" t="str">
        <f ca="1">_xlfn.XLOOKUP(E14,SalesPerson!A:A,SalesPerson!B:B)</f>
        <v>Lestari Wulandari</v>
      </c>
      <c r="I14" s="2" t="str">
        <f ca="1">_xlfn.XLOOKUP(E14,SalesPerson!A:A,SalesPerson!C:C)</f>
        <v>Depok</v>
      </c>
      <c r="J14" s="2">
        <f t="shared" ca="1" si="0"/>
        <v>7</v>
      </c>
      <c r="K14" s="2">
        <f ca="1">_xlfn.XLOOKUP(D14,Products!A:A,Products!D:D)</f>
        <v>7800000</v>
      </c>
      <c r="L14" s="2">
        <f ca="1">_xlfn.XLOOKUP(D14,Products!A:A,Products!E:E)</f>
        <v>6500000</v>
      </c>
      <c r="M14" s="2">
        <f t="shared" ca="1" si="2"/>
        <v>54600000</v>
      </c>
      <c r="N14" s="2">
        <f t="shared" ca="1" si="3"/>
        <v>45500000</v>
      </c>
      <c r="O14" s="3">
        <f t="shared" ca="1" si="4"/>
        <v>9100000</v>
      </c>
      <c r="P14" s="2" t="str">
        <f ca="1">_xlfn.XLOOKUP(D14,Products!A:A,Products!C:C)</f>
        <v>Laptop</v>
      </c>
    </row>
    <row r="15" spans="1:17" ht="28.8" x14ac:dyDescent="0.3">
      <c r="A15" t="str">
        <f t="shared" ca="1" si="1"/>
        <v>0059</v>
      </c>
      <c r="B15" s="13">
        <v>45732</v>
      </c>
      <c r="C15" s="2" t="str" cm="1">
        <f t="array" aca="1" ref="C15" ca="1">INDEX(Customers!A:A,RANDBETWEEN(2,20))</f>
        <v>C012</v>
      </c>
      <c r="D15" s="2" t="str" cm="1">
        <f t="array" aca="1" ref="D15" ca="1">INDEX(Products!A:A,RANDBETWEEN(2,101))</f>
        <v>P030</v>
      </c>
      <c r="E15" s="2" t="str" cm="1">
        <f t="array" aca="1" ref="E15" ca="1">INDEX(SalesPerson!A:A,RANDBETWEEN(2,21))</f>
        <v>S002</v>
      </c>
      <c r="F15" s="2" t="str">
        <f ca="1">_xlfn.XLOOKUP(C15,Customers!A:A,Customers!B:B)</f>
        <v>PT Sukses Makmur</v>
      </c>
      <c r="G15" s="2" t="str">
        <f ca="1">_xlfn.XLOOKUP(D15,Products!A:A,Products!B:B)</f>
        <v>Flashdisk 64GB</v>
      </c>
      <c r="H15" s="2" t="str">
        <f ca="1">_xlfn.XLOOKUP(E15,SalesPerson!A:A,SalesPerson!B:B)</f>
        <v>Budi Santoso</v>
      </c>
      <c r="I15" s="2" t="str">
        <f ca="1">_xlfn.XLOOKUP(E15,SalesPerson!A:A,SalesPerson!C:C)</f>
        <v>Bandung</v>
      </c>
      <c r="J15" s="2">
        <f t="shared" ca="1" si="0"/>
        <v>8</v>
      </c>
      <c r="K15" s="2">
        <f ca="1">_xlfn.XLOOKUP(D15,Products!A:A,Products!D:D)</f>
        <v>120000</v>
      </c>
      <c r="L15" s="2">
        <f ca="1">_xlfn.XLOOKUP(D15,Products!A:A,Products!E:E)</f>
        <v>80000</v>
      </c>
      <c r="M15" s="2">
        <f t="shared" ca="1" si="2"/>
        <v>960000</v>
      </c>
      <c r="N15" s="2">
        <f t="shared" ca="1" si="3"/>
        <v>640000</v>
      </c>
      <c r="O15" s="3">
        <f t="shared" ca="1" si="4"/>
        <v>320000</v>
      </c>
      <c r="P15" s="2" t="str">
        <f ca="1">_xlfn.XLOOKUP(D15,Products!A:A,Products!C:C)</f>
        <v>Storage</v>
      </c>
    </row>
    <row r="16" spans="1:17" ht="28.8" x14ac:dyDescent="0.3">
      <c r="A16" t="str">
        <f t="shared" ca="1" si="1"/>
        <v>0050</v>
      </c>
      <c r="B16" s="13">
        <v>45733</v>
      </c>
      <c r="C16" s="2" t="str" cm="1">
        <f t="array" aca="1" ref="C16" ca="1">INDEX(Customers!A:A,RANDBETWEEN(2,20))</f>
        <v>C006</v>
      </c>
      <c r="D16" s="2" t="str" cm="1">
        <f t="array" aca="1" ref="D16" ca="1">INDEX(Products!A:A,RANDBETWEEN(2,101))</f>
        <v>P006</v>
      </c>
      <c r="E16" s="2" t="str" cm="1">
        <f t="array" aca="1" ref="E16" ca="1">INDEX(SalesPerson!A:A,RANDBETWEEN(2,21))</f>
        <v>S015</v>
      </c>
      <c r="F16" s="2" t="str">
        <f ca="1">_xlfn.XLOOKUP(C16,Customers!A:A,Customers!B:B)</f>
        <v>CV Maju Bersama</v>
      </c>
      <c r="G16" s="2" t="str">
        <f ca="1">_xlfn.XLOOKUP(D16,Products!A:A,Products!B:B)</f>
        <v>Mechanical Keyboard</v>
      </c>
      <c r="H16" s="2" t="str">
        <f ca="1">_xlfn.XLOOKUP(E16,SalesPerson!A:A,SalesPerson!B:B)</f>
        <v>Olivia Putri</v>
      </c>
      <c r="I16" s="2" t="str">
        <f ca="1">_xlfn.XLOOKUP(E16,SalesPerson!A:A,SalesPerson!C:C)</f>
        <v>Batam</v>
      </c>
      <c r="J16" s="2">
        <f t="shared" ca="1" si="0"/>
        <v>2</v>
      </c>
      <c r="K16" s="2">
        <f ca="1">_xlfn.XLOOKUP(D16,Products!A:A,Products!D:D)</f>
        <v>750000</v>
      </c>
      <c r="L16" s="2">
        <f ca="1">_xlfn.XLOOKUP(D16,Products!A:A,Products!E:E)</f>
        <v>520000</v>
      </c>
      <c r="M16" s="2">
        <f t="shared" ca="1" si="2"/>
        <v>1500000</v>
      </c>
      <c r="N16" s="2">
        <f t="shared" ca="1" si="3"/>
        <v>1040000</v>
      </c>
      <c r="O16" s="3">
        <f t="shared" ca="1" si="4"/>
        <v>460000</v>
      </c>
      <c r="P16" s="2" t="str">
        <f ca="1">_xlfn.XLOOKUP(D16,Products!A:A,Products!C:C)</f>
        <v>Accessories</v>
      </c>
    </row>
    <row r="17" spans="1:16" ht="28.8" x14ac:dyDescent="0.3">
      <c r="A17" t="str">
        <f t="shared" ca="1" si="1"/>
        <v>0092</v>
      </c>
      <c r="B17" s="13">
        <v>45734</v>
      </c>
      <c r="C17" s="2" t="str" cm="1">
        <f t="array" aca="1" ref="C17" ca="1">INDEX(Customers!A:A,RANDBETWEEN(2,20))</f>
        <v>C019</v>
      </c>
      <c r="D17" s="2" t="str" cm="1">
        <f t="array" aca="1" ref="D17" ca="1">INDEX(Products!A:A,RANDBETWEEN(2,101))</f>
        <v>P027</v>
      </c>
      <c r="E17" s="2" t="str" cm="1">
        <f t="array" aca="1" ref="E17" ca="1">INDEX(SalesPerson!A:A,RANDBETWEEN(2,21))</f>
        <v>S014</v>
      </c>
      <c r="F17" s="2" t="str">
        <f ca="1">_xlfn.XLOOKUP(C17,Customers!A:A,Customers!B:B)</f>
        <v>PT Harapan Baru</v>
      </c>
      <c r="G17" s="2" t="str">
        <f ca="1">_xlfn.XLOOKUP(D17,Products!A:A,Products!B:B)</f>
        <v>Wireless Mouse Logitech</v>
      </c>
      <c r="H17" s="2" t="str">
        <f ca="1">_xlfn.XLOOKUP(E17,SalesPerson!A:A,SalesPerson!B:B)</f>
        <v>Nanda Prasetyo</v>
      </c>
      <c r="I17" s="2" t="str">
        <f ca="1">_xlfn.XLOOKUP(E17,SalesPerson!A:A,SalesPerson!C:C)</f>
        <v>Malang</v>
      </c>
      <c r="J17" s="2">
        <f t="shared" ca="1" si="0"/>
        <v>8</v>
      </c>
      <c r="K17" s="2">
        <f ca="1">_xlfn.XLOOKUP(D17,Products!A:A,Products!D:D)</f>
        <v>250000</v>
      </c>
      <c r="L17" s="2">
        <f ca="1">_xlfn.XLOOKUP(D17,Products!A:A,Products!E:E)</f>
        <v>150000</v>
      </c>
      <c r="M17" s="2">
        <f t="shared" ca="1" si="2"/>
        <v>2000000</v>
      </c>
      <c r="N17" s="2">
        <f t="shared" ca="1" si="3"/>
        <v>1200000</v>
      </c>
      <c r="O17" s="3">
        <f t="shared" ca="1" si="4"/>
        <v>800000</v>
      </c>
      <c r="P17" s="2" t="str">
        <f ca="1">_xlfn.XLOOKUP(D17,Products!A:A,Products!C:C)</f>
        <v>Accessories</v>
      </c>
    </row>
    <row r="18" spans="1:16" ht="28.8" x14ac:dyDescent="0.3">
      <c r="A18" t="str">
        <f t="shared" ca="1" si="1"/>
        <v>0094</v>
      </c>
      <c r="B18" s="13">
        <v>45735</v>
      </c>
      <c r="C18" s="2" t="str" cm="1">
        <f t="array" aca="1" ref="C18" ca="1">INDEX(Customers!A:A,RANDBETWEEN(2,20))</f>
        <v>C005</v>
      </c>
      <c r="D18" s="2" t="str" cm="1">
        <f t="array" aca="1" ref="D18" ca="1">INDEX(Products!A:A,RANDBETWEEN(2,101))</f>
        <v>P095</v>
      </c>
      <c r="E18" s="2" t="str" cm="1">
        <f t="array" aca="1" ref="E18" ca="1">INDEX(SalesPerson!A:A,RANDBETWEEN(2,21))</f>
        <v>S017</v>
      </c>
      <c r="F18" s="2" t="str">
        <f ca="1">_xlfn.XLOOKUP(C18,Customers!A:A,Customers!B:B)</f>
        <v>PT Berkah Sejahtera</v>
      </c>
      <c r="G18" s="2" t="str">
        <f ca="1">_xlfn.XLOOKUP(D18,Products!A:A,Products!B:B)</f>
        <v>UPS APC 650VA</v>
      </c>
      <c r="H18" s="2" t="str">
        <f ca="1">_xlfn.XLOOKUP(E18,SalesPerson!A:A,SalesPerson!B:B)</f>
        <v>Qori Amanda</v>
      </c>
      <c r="I18" s="2" t="str">
        <f ca="1">_xlfn.XLOOKUP(E18,SalesPerson!A:A,SalesPerson!C:C)</f>
        <v>Pontianak</v>
      </c>
      <c r="J18" s="2">
        <f t="shared" ca="1" si="0"/>
        <v>5</v>
      </c>
      <c r="K18" s="2">
        <f ca="1">_xlfn.XLOOKUP(D18,Products!A:A,Products!D:D)</f>
        <v>950000</v>
      </c>
      <c r="L18" s="2">
        <f ca="1">_xlfn.XLOOKUP(D18,Products!A:A,Products!E:E)</f>
        <v>760000</v>
      </c>
      <c r="M18" s="2">
        <f t="shared" ca="1" si="2"/>
        <v>4750000</v>
      </c>
      <c r="N18" s="2">
        <f t="shared" ca="1" si="3"/>
        <v>3800000</v>
      </c>
      <c r="O18" s="3">
        <f t="shared" ca="1" si="4"/>
        <v>950000</v>
      </c>
      <c r="P18" s="2" t="str">
        <f ca="1">_xlfn.XLOOKUP(D18,Products!A:A,Products!C:C)</f>
        <v>Power</v>
      </c>
    </row>
    <row r="19" spans="1:16" ht="28.8" x14ac:dyDescent="0.3">
      <c r="A19" t="str">
        <f t="shared" ca="1" si="1"/>
        <v>0056</v>
      </c>
      <c r="B19" s="13">
        <v>45736</v>
      </c>
      <c r="C19" s="2" t="str" cm="1">
        <f t="array" aca="1" ref="C19" ca="1">INDEX(Customers!A:A,RANDBETWEEN(2,20))</f>
        <v>C012</v>
      </c>
      <c r="D19" s="2" t="str" cm="1">
        <f t="array" aca="1" ref="D19" ca="1">INDEX(Products!A:A,RANDBETWEEN(2,101))</f>
        <v>P082</v>
      </c>
      <c r="E19" s="2" t="str" cm="1">
        <f t="array" aca="1" ref="E19" ca="1">INDEX(SalesPerson!A:A,RANDBETWEEN(2,21))</f>
        <v>S019</v>
      </c>
      <c r="F19" s="2" t="str">
        <f ca="1">_xlfn.XLOOKUP(C19,Customers!A:A,Customers!B:B)</f>
        <v>PT Sukses Makmur</v>
      </c>
      <c r="G19" s="2" t="str">
        <f ca="1">_xlfn.XLOOKUP(D19,Products!A:A,Products!B:B)</f>
        <v>Laptop Lenovo IdeaPad</v>
      </c>
      <c r="H19" s="2" t="str">
        <f ca="1">_xlfn.XLOOKUP(E19,SalesPerson!A:A,SalesPerson!B:B)</f>
        <v>Sinta Maharani</v>
      </c>
      <c r="I19" s="2" t="str">
        <f ca="1">_xlfn.XLOOKUP(E19,SalesPerson!A:A,SalesPerson!C:C)</f>
        <v>Solo</v>
      </c>
      <c r="J19" s="2">
        <f t="shared" ca="1" si="0"/>
        <v>4</v>
      </c>
      <c r="K19" s="2">
        <f ca="1">_xlfn.XLOOKUP(D19,Products!A:A,Products!D:D)</f>
        <v>9200000</v>
      </c>
      <c r="L19" s="2">
        <f ca="1">_xlfn.XLOOKUP(D19,Products!A:A,Products!E:E)</f>
        <v>7900000</v>
      </c>
      <c r="M19" s="2">
        <f t="shared" ca="1" si="2"/>
        <v>36800000</v>
      </c>
      <c r="N19" s="2">
        <f t="shared" ca="1" si="3"/>
        <v>31600000</v>
      </c>
      <c r="O19" s="3">
        <f t="shared" ca="1" si="4"/>
        <v>5200000</v>
      </c>
      <c r="P19" s="2" t="str">
        <f ca="1">_xlfn.XLOOKUP(D19,Products!A:A,Products!C:C)</f>
        <v>Laptop</v>
      </c>
    </row>
    <row r="20" spans="1:16" ht="28.8" x14ac:dyDescent="0.3">
      <c r="A20" t="str">
        <f t="shared" ca="1" si="1"/>
        <v>0028</v>
      </c>
      <c r="B20" s="13">
        <v>45737</v>
      </c>
      <c r="C20" s="2" t="str" cm="1">
        <f t="array" aca="1" ref="C20" ca="1">INDEX(Customers!A:A,RANDBETWEEN(2,20))</f>
        <v>C009</v>
      </c>
      <c r="D20" s="2" t="str" cm="1">
        <f t="array" aca="1" ref="D20" ca="1">INDEX(Products!A:A,RANDBETWEEN(2,101))</f>
        <v>P012</v>
      </c>
      <c r="E20" s="2" t="str" cm="1">
        <f t="array" aca="1" ref="E20" ca="1">INDEX(SalesPerson!A:A,RANDBETWEEN(2,21))</f>
        <v>S005</v>
      </c>
      <c r="F20" s="2" t="str">
        <f ca="1">_xlfn.XLOOKUP(C20,Customers!A:A,Customers!B:B)</f>
        <v>PT Andalan Prima</v>
      </c>
      <c r="G20" s="2" t="str">
        <f ca="1">_xlfn.XLOOKUP(D20,Products!A:A,Products!B:B)</f>
        <v>Webcam Logitech</v>
      </c>
      <c r="H20" s="2" t="str">
        <f ca="1">_xlfn.XLOOKUP(E20,SalesPerson!A:A,SalesPerson!B:B)</f>
        <v>Eka Putri</v>
      </c>
      <c r="I20" s="2" t="str">
        <f ca="1">_xlfn.XLOOKUP(E20,SalesPerson!A:A,SalesPerson!C:C)</f>
        <v>Makassar</v>
      </c>
      <c r="J20" s="2">
        <f t="shared" ca="1" si="0"/>
        <v>7</v>
      </c>
      <c r="K20" s="2">
        <f ca="1">_xlfn.XLOOKUP(D20,Products!A:A,Products!D:D)</f>
        <v>680000</v>
      </c>
      <c r="L20" s="2">
        <f ca="1">_xlfn.XLOOKUP(D20,Products!A:A,Products!E:E)</f>
        <v>520000</v>
      </c>
      <c r="M20" s="2">
        <f t="shared" ca="1" si="2"/>
        <v>4760000</v>
      </c>
      <c r="N20" s="2">
        <f t="shared" ca="1" si="3"/>
        <v>3640000</v>
      </c>
      <c r="O20" s="3">
        <f t="shared" ca="1" si="4"/>
        <v>1120000</v>
      </c>
      <c r="P20" s="2" t="str">
        <f ca="1">_xlfn.XLOOKUP(D20,Products!A:A,Products!C:C)</f>
        <v>Accessories</v>
      </c>
    </row>
    <row r="21" spans="1:16" ht="28.8" x14ac:dyDescent="0.3">
      <c r="A21" t="str">
        <f t="shared" ca="1" si="1"/>
        <v>0067</v>
      </c>
      <c r="B21" s="13">
        <v>45738</v>
      </c>
      <c r="C21" s="2" t="str" cm="1">
        <f t="array" aca="1" ref="C21" ca="1">INDEX(Customers!A:A,RANDBETWEEN(2,20))</f>
        <v>C009</v>
      </c>
      <c r="D21" s="2" t="str" cm="1">
        <f t="array" aca="1" ref="D21" ca="1">INDEX(Products!A:A,RANDBETWEEN(2,101))</f>
        <v>P018</v>
      </c>
      <c r="E21" s="2" t="str" cm="1">
        <f t="array" aca="1" ref="E21" ca="1">INDEX(SalesPerson!A:A,RANDBETWEEN(2,21))</f>
        <v>S015</v>
      </c>
      <c r="F21" s="2" t="str">
        <f ca="1">_xlfn.XLOOKUP(C21,Customers!A:A,Customers!B:B)</f>
        <v>PT Andalan Prima</v>
      </c>
      <c r="G21" s="2" t="str">
        <f ca="1">_xlfn.XLOOKUP(D21,Products!A:A,Products!B:B)</f>
        <v>RAM DDR4 16GB</v>
      </c>
      <c r="H21" s="2" t="str">
        <f ca="1">_xlfn.XLOOKUP(E21,SalesPerson!A:A,SalesPerson!B:B)</f>
        <v>Olivia Putri</v>
      </c>
      <c r="I21" s="2" t="str">
        <f ca="1">_xlfn.XLOOKUP(E21,SalesPerson!A:A,SalesPerson!C:C)</f>
        <v>Batam</v>
      </c>
      <c r="J21" s="2">
        <f t="shared" ca="1" si="0"/>
        <v>3</v>
      </c>
      <c r="K21" s="2">
        <f ca="1">_xlfn.XLOOKUP(D21,Products!A:A,Products!D:D)</f>
        <v>980000</v>
      </c>
      <c r="L21" s="2">
        <f ca="1">_xlfn.XLOOKUP(D21,Products!A:A,Products!E:E)</f>
        <v>780000</v>
      </c>
      <c r="M21" s="2">
        <f t="shared" ca="1" si="2"/>
        <v>2940000</v>
      </c>
      <c r="N21" s="2">
        <f t="shared" ca="1" si="3"/>
        <v>2340000</v>
      </c>
      <c r="O21" s="3">
        <f t="shared" ca="1" si="4"/>
        <v>600000</v>
      </c>
      <c r="P21" s="2" t="str">
        <f ca="1">_xlfn.XLOOKUP(D21,Products!A:A,Products!C:C)</f>
        <v>Components</v>
      </c>
    </row>
    <row r="22" spans="1:16" ht="28.8" x14ac:dyDescent="0.3">
      <c r="A22" t="str">
        <f t="shared" ca="1" si="1"/>
        <v>0013</v>
      </c>
      <c r="B22" s="13">
        <v>45739</v>
      </c>
      <c r="C22" s="2" t="str" cm="1">
        <f t="array" aca="1" ref="C22" ca="1">INDEX(Customers!A:A,RANDBETWEEN(2,20))</f>
        <v>C006</v>
      </c>
      <c r="D22" s="2" t="str" cm="1">
        <f t="array" aca="1" ref="D22" ca="1">INDEX(Products!A:A,RANDBETWEEN(2,101))</f>
        <v>P061</v>
      </c>
      <c r="E22" s="2" t="str" cm="1">
        <f t="array" aca="1" ref="E22" ca="1">INDEX(SalesPerson!A:A,RANDBETWEEN(2,21))</f>
        <v>S016</v>
      </c>
      <c r="F22" s="2" t="str">
        <f ca="1">_xlfn.XLOOKUP(C22,Customers!A:A,Customers!B:B)</f>
        <v>CV Maju Bersama</v>
      </c>
      <c r="G22" s="2" t="str">
        <f ca="1">_xlfn.XLOOKUP(D22,Products!A:A,Products!B:B)</f>
        <v>Laptop ASUS Vivobook</v>
      </c>
      <c r="H22" s="2" t="str">
        <f ca="1">_xlfn.XLOOKUP(E22,SalesPerson!A:A,SalesPerson!B:B)</f>
        <v>Putra Ramadhan</v>
      </c>
      <c r="I22" s="2" t="str">
        <f ca="1">_xlfn.XLOOKUP(E22,SalesPerson!A:A,SalesPerson!C:C)</f>
        <v>Pekanbaru</v>
      </c>
      <c r="J22" s="2">
        <f t="shared" ca="1" si="0"/>
        <v>2</v>
      </c>
      <c r="K22" s="2">
        <f ca="1">_xlfn.XLOOKUP(D22,Products!A:A,Products!D:D)</f>
        <v>8500000</v>
      </c>
      <c r="L22" s="2">
        <f ca="1">_xlfn.XLOOKUP(D22,Products!A:A,Products!E:E)</f>
        <v>7200000</v>
      </c>
      <c r="M22" s="2">
        <f t="shared" ca="1" si="2"/>
        <v>17000000</v>
      </c>
      <c r="N22" s="2">
        <f t="shared" ca="1" si="3"/>
        <v>14400000</v>
      </c>
      <c r="O22" s="3">
        <f t="shared" ca="1" si="4"/>
        <v>2600000</v>
      </c>
      <c r="P22" s="2" t="str">
        <f ca="1">_xlfn.XLOOKUP(D22,Products!A:A,Products!C:C)</f>
        <v>Laptop</v>
      </c>
    </row>
    <row r="23" spans="1:16" ht="28.8" x14ac:dyDescent="0.3">
      <c r="A23" t="str">
        <f t="shared" ca="1" si="1"/>
        <v>0044</v>
      </c>
      <c r="B23" s="13">
        <v>45740</v>
      </c>
      <c r="C23" s="2" t="str" cm="1">
        <f t="array" aca="1" ref="C23" ca="1">INDEX(Customers!A:A,RANDBETWEEN(2,20))</f>
        <v>C017</v>
      </c>
      <c r="D23" s="2" t="str" cm="1">
        <f t="array" aca="1" ref="D23" ca="1">INDEX(Products!A:A,RANDBETWEEN(2,101))</f>
        <v>P070</v>
      </c>
      <c r="E23" s="2" t="str" cm="1">
        <f t="array" aca="1" ref="E23" ca="1">INDEX(SalesPerson!A:A,RANDBETWEEN(2,21))</f>
        <v>S014</v>
      </c>
      <c r="F23" s="2" t="str">
        <f ca="1">_xlfn.XLOOKUP(C23,Customers!A:A,Customers!B:B)</f>
        <v>CV Berkah Mandiri</v>
      </c>
      <c r="G23" s="2" t="str">
        <f ca="1">_xlfn.XLOOKUP(D23,Products!A:A,Products!B:B)</f>
        <v>Flashdisk 64GB</v>
      </c>
      <c r="H23" s="2" t="str">
        <f ca="1">_xlfn.XLOOKUP(E23,SalesPerson!A:A,SalesPerson!B:B)</f>
        <v>Nanda Prasetyo</v>
      </c>
      <c r="I23" s="2" t="str">
        <f ca="1">_xlfn.XLOOKUP(E23,SalesPerson!A:A,SalesPerson!C:C)</f>
        <v>Malang</v>
      </c>
      <c r="J23" s="2">
        <f t="shared" ca="1" si="0"/>
        <v>1</v>
      </c>
      <c r="K23" s="2">
        <f ca="1">_xlfn.XLOOKUP(D23,Products!A:A,Products!D:D)</f>
        <v>120000</v>
      </c>
      <c r="L23" s="2">
        <f ca="1">_xlfn.XLOOKUP(D23,Products!A:A,Products!E:E)</f>
        <v>80000</v>
      </c>
      <c r="M23" s="2">
        <f t="shared" ca="1" si="2"/>
        <v>120000</v>
      </c>
      <c r="N23" s="2">
        <f t="shared" ca="1" si="3"/>
        <v>80000</v>
      </c>
      <c r="O23" s="3">
        <f t="shared" ca="1" si="4"/>
        <v>40000</v>
      </c>
      <c r="P23" s="2" t="str">
        <f ca="1">_xlfn.XLOOKUP(D23,Products!A:A,Products!C:C)</f>
        <v>Storage</v>
      </c>
    </row>
    <row r="24" spans="1:16" x14ac:dyDescent="0.3">
      <c r="A24" t="str">
        <f t="shared" ca="1" si="1"/>
        <v>0094</v>
      </c>
      <c r="B24" s="13">
        <v>45741</v>
      </c>
      <c r="C24" s="2" t="str" cm="1">
        <f t="array" aca="1" ref="C24" ca="1">INDEX(Customers!A:A,RANDBETWEEN(2,20))</f>
        <v>C015</v>
      </c>
      <c r="D24" s="2" t="str" cm="1">
        <f t="array" aca="1" ref="D24" ca="1">INDEX(Products!A:A,RANDBETWEEN(2,101))</f>
        <v>P031</v>
      </c>
      <c r="E24" s="2" t="str" cm="1">
        <f t="array" aca="1" ref="E24" ca="1">INDEX(SalesPerson!A:A,RANDBETWEEN(2,21))</f>
        <v>S017</v>
      </c>
      <c r="F24" s="2" t="str">
        <f ca="1">_xlfn.XLOOKUP(C24,Customers!A:A,Customers!B:B)</f>
        <v>PT Sentosa Abadi</v>
      </c>
      <c r="G24" s="2" t="str">
        <f ca="1">_xlfn.XLOOKUP(D24,Products!A:A,Products!B:B)</f>
        <v>Printer Epson L3251</v>
      </c>
      <c r="H24" s="2" t="str">
        <f ca="1">_xlfn.XLOOKUP(E24,SalesPerson!A:A,SalesPerson!B:B)</f>
        <v>Qori Amanda</v>
      </c>
      <c r="I24" s="2" t="str">
        <f ca="1">_xlfn.XLOOKUP(E24,SalesPerson!A:A,SalesPerson!C:C)</f>
        <v>Pontianak</v>
      </c>
      <c r="J24" s="2">
        <f t="shared" ca="1" si="0"/>
        <v>9</v>
      </c>
      <c r="K24" s="2">
        <f ca="1">_xlfn.XLOOKUP(D24,Products!A:A,Products!D:D)</f>
        <v>2900000</v>
      </c>
      <c r="L24" s="2">
        <f ca="1">_xlfn.XLOOKUP(D24,Products!A:A,Products!E:E)</f>
        <v>2400000</v>
      </c>
      <c r="M24" s="2">
        <f t="shared" ca="1" si="2"/>
        <v>26100000</v>
      </c>
      <c r="N24" s="2">
        <f t="shared" ca="1" si="3"/>
        <v>21600000</v>
      </c>
      <c r="O24" s="3">
        <f t="shared" ca="1" si="4"/>
        <v>4500000</v>
      </c>
      <c r="P24" s="2" t="str">
        <f ca="1">_xlfn.XLOOKUP(D24,Products!A:A,Products!C:C)</f>
        <v>Printer</v>
      </c>
    </row>
    <row r="25" spans="1:16" ht="28.8" x14ac:dyDescent="0.3">
      <c r="A25" t="str">
        <f t="shared" ca="1" si="1"/>
        <v>0030</v>
      </c>
      <c r="B25" s="13">
        <v>45742</v>
      </c>
      <c r="C25" s="2" t="str" cm="1">
        <f t="array" aca="1" ref="C25" ca="1">INDEX(Customers!A:A,RANDBETWEEN(2,20))</f>
        <v>C018</v>
      </c>
      <c r="D25" s="2" t="str" cm="1">
        <f t="array" aca="1" ref="D25" ca="1">INDEX(Products!A:A,RANDBETWEEN(2,101))</f>
        <v>P042</v>
      </c>
      <c r="E25" s="2" t="str" cm="1">
        <f t="array" aca="1" ref="E25" ca="1">INDEX(SalesPerson!A:A,RANDBETWEEN(2,21))</f>
        <v>S020</v>
      </c>
      <c r="F25" s="2" t="str">
        <f ca="1">_xlfn.XLOOKUP(C25,Customers!A:A,Customers!B:B)</f>
        <v>PT Indo Retail</v>
      </c>
      <c r="G25" s="2" t="str">
        <f ca="1">_xlfn.XLOOKUP(D25,Products!A:A,Products!B:B)</f>
        <v>Laptop Lenovo IdeaPad</v>
      </c>
      <c r="H25" s="2" t="str">
        <f ca="1">_xlfn.XLOOKUP(E25,SalesPerson!A:A,SalesPerson!B:B)</f>
        <v>Teguh Hidayat</v>
      </c>
      <c r="I25" s="2" t="str">
        <f ca="1">_xlfn.XLOOKUP(E25,SalesPerson!A:A,SalesPerson!C:C)</f>
        <v>Cirebon</v>
      </c>
      <c r="J25" s="2">
        <f t="shared" ca="1" si="0"/>
        <v>9</v>
      </c>
      <c r="K25" s="2">
        <f ca="1">_xlfn.XLOOKUP(D25,Products!A:A,Products!D:D)</f>
        <v>9200000</v>
      </c>
      <c r="L25" s="2">
        <f ca="1">_xlfn.XLOOKUP(D25,Products!A:A,Products!E:E)</f>
        <v>7900000</v>
      </c>
      <c r="M25" s="2">
        <f t="shared" ca="1" si="2"/>
        <v>82800000</v>
      </c>
      <c r="N25" s="2">
        <f t="shared" ca="1" si="3"/>
        <v>71100000</v>
      </c>
      <c r="O25" s="3">
        <f t="shared" ca="1" si="4"/>
        <v>11700000</v>
      </c>
      <c r="P25" s="2" t="str">
        <f ca="1">_xlfn.XLOOKUP(D25,Products!A:A,Products!C:C)</f>
        <v>Laptop</v>
      </c>
    </row>
    <row r="26" spans="1:16" ht="28.8" x14ac:dyDescent="0.3">
      <c r="A26" t="str">
        <f t="shared" ca="1" si="1"/>
        <v>0063</v>
      </c>
      <c r="B26" s="13">
        <v>45743</v>
      </c>
      <c r="C26" s="2" t="str" cm="1">
        <f t="array" aca="1" ref="C26" ca="1">INDEX(Customers!A:A,RANDBETWEEN(2,20))</f>
        <v>C013</v>
      </c>
      <c r="D26" s="2" t="str" cm="1">
        <f t="array" aca="1" ref="D26" ca="1">INDEX(Products!A:A,RANDBETWEEN(2,101))</f>
        <v>P038</v>
      </c>
      <c r="E26" s="2" t="str" cm="1">
        <f t="array" aca="1" ref="E26" ca="1">INDEX(SalesPerson!A:A,RANDBETWEEN(2,21))</f>
        <v>S011</v>
      </c>
      <c r="F26" s="2" t="str">
        <f ca="1">_xlfn.XLOOKUP(C26,Customers!A:A,Customers!B:B)</f>
        <v>PT Prima Teknologi</v>
      </c>
      <c r="G26" s="2" t="str">
        <f ca="1">_xlfn.XLOOKUP(D26,Products!A:A,Products!B:B)</f>
        <v>RAM DDR4 16GB</v>
      </c>
      <c r="H26" s="2" t="str">
        <f ca="1">_xlfn.XLOOKUP(E26,SalesPerson!A:A,SalesPerson!B:B)</f>
        <v>Kevin Saputra</v>
      </c>
      <c r="I26" s="2" t="str">
        <f ca="1">_xlfn.XLOOKUP(E26,SalesPerson!A:A,SalesPerson!C:C)</f>
        <v>Tangerang</v>
      </c>
      <c r="J26" s="2">
        <f t="shared" ca="1" si="0"/>
        <v>8</v>
      </c>
      <c r="K26" s="2">
        <f ca="1">_xlfn.XLOOKUP(D26,Products!A:A,Products!D:D)</f>
        <v>980000</v>
      </c>
      <c r="L26" s="2">
        <f ca="1">_xlfn.XLOOKUP(D26,Products!A:A,Products!E:E)</f>
        <v>780000</v>
      </c>
      <c r="M26" s="2">
        <f t="shared" ca="1" si="2"/>
        <v>7840000</v>
      </c>
      <c r="N26" s="2">
        <f t="shared" ca="1" si="3"/>
        <v>6240000</v>
      </c>
      <c r="O26" s="3">
        <f t="shared" ca="1" si="4"/>
        <v>1600000</v>
      </c>
      <c r="P26" s="2" t="str">
        <f ca="1">_xlfn.XLOOKUP(D26,Products!A:A,Products!C:C)</f>
        <v>Components</v>
      </c>
    </row>
    <row r="27" spans="1:16" ht="28.8" x14ac:dyDescent="0.3">
      <c r="A27" t="str">
        <f t="shared" ca="1" si="1"/>
        <v>0074</v>
      </c>
      <c r="B27" s="13">
        <v>45744</v>
      </c>
      <c r="C27" s="2" t="str" cm="1">
        <f t="array" aca="1" ref="C27" ca="1">INDEX(Customers!A:A,RANDBETWEEN(2,20))</f>
        <v>C016</v>
      </c>
      <c r="D27" s="2" t="str" cm="1">
        <f t="array" aca="1" ref="D27" ca="1">INDEX(Products!A:A,RANDBETWEEN(2,101))</f>
        <v>P085</v>
      </c>
      <c r="E27" s="2" t="str" cm="1">
        <f t="array" aca="1" ref="E27" ca="1">INDEX(SalesPerson!A:A,RANDBETWEEN(2,21))</f>
        <v>S010</v>
      </c>
      <c r="F27" s="2" t="str">
        <f ca="1">_xlfn.XLOOKUP(C27,Customers!A:A,Customers!B:B)</f>
        <v>PT Global Nusantara</v>
      </c>
      <c r="G27" s="2" t="str">
        <f ca="1">_xlfn.XLOOKUP(D27,Products!A:A,Products!B:B)</f>
        <v>Monitor Samsung 27"</v>
      </c>
      <c r="H27" s="2" t="str">
        <f ca="1">_xlfn.XLOOKUP(E27,SalesPerson!A:A,SalesPerson!B:B)</f>
        <v>Joko Susilo</v>
      </c>
      <c r="I27" s="2" t="str">
        <f ca="1">_xlfn.XLOOKUP(E27,SalesPerson!A:A,SalesPerson!C:C)</f>
        <v>Bekasi</v>
      </c>
      <c r="J27" s="2">
        <f t="shared" ca="1" si="0"/>
        <v>2</v>
      </c>
      <c r="K27" s="2">
        <f ca="1">_xlfn.XLOOKUP(D27,Products!A:A,Products!D:D)</f>
        <v>3200000</v>
      </c>
      <c r="L27" s="2">
        <f ca="1">_xlfn.XLOOKUP(D27,Products!A:A,Products!E:E)</f>
        <v>2600000</v>
      </c>
      <c r="M27" s="2">
        <f t="shared" ca="1" si="2"/>
        <v>6400000</v>
      </c>
      <c r="N27" s="2">
        <f t="shared" ca="1" si="3"/>
        <v>5200000</v>
      </c>
      <c r="O27" s="3">
        <f t="shared" ca="1" si="4"/>
        <v>1200000</v>
      </c>
      <c r="P27" s="2" t="str">
        <f ca="1">_xlfn.XLOOKUP(D27,Products!A:A,Products!C:C)</f>
        <v>Monitor</v>
      </c>
    </row>
    <row r="28" spans="1:16" ht="28.8" x14ac:dyDescent="0.3">
      <c r="A28" t="str">
        <f t="shared" ca="1" si="1"/>
        <v>0060</v>
      </c>
      <c r="B28" s="13">
        <v>45745</v>
      </c>
      <c r="C28" s="2" t="str" cm="1">
        <f t="array" aca="1" ref="C28" ca="1">INDEX(Customers!A:A,RANDBETWEEN(2,20))</f>
        <v>C001</v>
      </c>
      <c r="D28" s="2" t="str" cm="1">
        <f t="array" aca="1" ref="D28" ca="1">INDEX(Products!A:A,RANDBETWEEN(2,101))</f>
        <v>P038</v>
      </c>
      <c r="E28" s="2" t="str" cm="1">
        <f t="array" aca="1" ref="E28" ca="1">INDEX(SalesPerson!A:A,RANDBETWEEN(2,21))</f>
        <v>S012</v>
      </c>
      <c r="F28" s="2" t="str">
        <f ca="1">_xlfn.XLOOKUP(C28,Customers!A:A,Customers!B:B)</f>
        <v>PT Maju Jaya</v>
      </c>
      <c r="G28" s="2" t="str">
        <f ca="1">_xlfn.XLOOKUP(D28,Products!A:A,Products!B:B)</f>
        <v>RAM DDR4 16GB</v>
      </c>
      <c r="H28" s="2" t="str">
        <f ca="1">_xlfn.XLOOKUP(E28,SalesPerson!A:A,SalesPerson!B:B)</f>
        <v>Lestari Wulandari</v>
      </c>
      <c r="I28" s="2" t="str">
        <f ca="1">_xlfn.XLOOKUP(E28,SalesPerson!A:A,SalesPerson!C:C)</f>
        <v>Depok</v>
      </c>
      <c r="J28" s="2">
        <f t="shared" ca="1" si="0"/>
        <v>8</v>
      </c>
      <c r="K28" s="2">
        <f ca="1">_xlfn.XLOOKUP(D28,Products!A:A,Products!D:D)</f>
        <v>980000</v>
      </c>
      <c r="L28" s="2">
        <f ca="1">_xlfn.XLOOKUP(D28,Products!A:A,Products!E:E)</f>
        <v>780000</v>
      </c>
      <c r="M28" s="2">
        <f t="shared" ca="1" si="2"/>
        <v>7840000</v>
      </c>
      <c r="N28" s="2">
        <f t="shared" ca="1" si="3"/>
        <v>6240000</v>
      </c>
      <c r="O28" s="3">
        <f t="shared" ca="1" si="4"/>
        <v>1600000</v>
      </c>
      <c r="P28" s="2" t="str">
        <f ca="1">_xlfn.XLOOKUP(D28,Products!A:A,Products!C:C)</f>
        <v>Components</v>
      </c>
    </row>
    <row r="29" spans="1:16" ht="28.8" x14ac:dyDescent="0.3">
      <c r="A29" t="str">
        <f t="shared" ca="1" si="1"/>
        <v>0048</v>
      </c>
      <c r="B29" s="13">
        <v>45746</v>
      </c>
      <c r="C29" s="2" t="str" cm="1">
        <f t="array" aca="1" ref="C29" ca="1">INDEX(Customers!A:A,RANDBETWEEN(2,20))</f>
        <v>C002</v>
      </c>
      <c r="D29" s="2" t="str" cm="1">
        <f t="array" aca="1" ref="D29" ca="1">INDEX(Products!A:A,RANDBETWEEN(2,101))</f>
        <v>P092</v>
      </c>
      <c r="E29" s="2" t="str" cm="1">
        <f t="array" aca="1" ref="E29" ca="1">INDEX(SalesPerson!A:A,RANDBETWEEN(2,21))</f>
        <v>S020</v>
      </c>
      <c r="F29" s="2" t="str">
        <f ca="1">_xlfn.XLOOKUP(C29,Customers!A:A,Customers!B:B)</f>
        <v>PT Nusantara Abadi</v>
      </c>
      <c r="G29" s="2" t="str">
        <f ca="1">_xlfn.XLOOKUP(D29,Products!A:A,Products!B:B)</f>
        <v>Webcam Logitech</v>
      </c>
      <c r="H29" s="2" t="str">
        <f ca="1">_xlfn.XLOOKUP(E29,SalesPerson!A:A,SalesPerson!B:B)</f>
        <v>Teguh Hidayat</v>
      </c>
      <c r="I29" s="2" t="str">
        <f ca="1">_xlfn.XLOOKUP(E29,SalesPerson!A:A,SalesPerson!C:C)</f>
        <v>Cirebon</v>
      </c>
      <c r="J29" s="2">
        <f t="shared" ca="1" si="0"/>
        <v>9</v>
      </c>
      <c r="K29" s="2">
        <f ca="1">_xlfn.XLOOKUP(D29,Products!A:A,Products!D:D)</f>
        <v>680000</v>
      </c>
      <c r="L29" s="2">
        <f ca="1">_xlfn.XLOOKUP(D29,Products!A:A,Products!E:E)</f>
        <v>520000</v>
      </c>
      <c r="M29" s="2">
        <f t="shared" ca="1" si="2"/>
        <v>6120000</v>
      </c>
      <c r="N29" s="2">
        <f t="shared" ca="1" si="3"/>
        <v>4680000</v>
      </c>
      <c r="O29" s="3">
        <f t="shared" ca="1" si="4"/>
        <v>1440000</v>
      </c>
      <c r="P29" s="2" t="str">
        <f ca="1">_xlfn.XLOOKUP(D29,Products!A:A,Products!C:C)</f>
        <v>Accessories</v>
      </c>
    </row>
    <row r="30" spans="1:16" ht="28.8" x14ac:dyDescent="0.3">
      <c r="A30" t="str">
        <f t="shared" ca="1" si="1"/>
        <v>0083</v>
      </c>
      <c r="B30" s="13">
        <v>45747</v>
      </c>
      <c r="C30" s="2" t="str" cm="1">
        <f t="array" aca="1" ref="C30" ca="1">INDEX(Customers!A:A,RANDBETWEEN(2,20))</f>
        <v>C002</v>
      </c>
      <c r="D30" s="2" t="str" cm="1">
        <f t="array" aca="1" ref="D30" ca="1">INDEX(Products!A:A,RANDBETWEEN(2,101))</f>
        <v>P038</v>
      </c>
      <c r="E30" s="2" t="str" cm="1">
        <f t="array" aca="1" ref="E30" ca="1">INDEX(SalesPerson!A:A,RANDBETWEEN(2,21))</f>
        <v>S016</v>
      </c>
      <c r="F30" s="2" t="str">
        <f ca="1">_xlfn.XLOOKUP(C30,Customers!A:A,Customers!B:B)</f>
        <v>PT Nusantara Abadi</v>
      </c>
      <c r="G30" s="2" t="str">
        <f ca="1">_xlfn.XLOOKUP(D30,Products!A:A,Products!B:B)</f>
        <v>RAM DDR4 16GB</v>
      </c>
      <c r="H30" s="2" t="str">
        <f ca="1">_xlfn.XLOOKUP(E30,SalesPerson!A:A,SalesPerson!B:B)</f>
        <v>Putra Ramadhan</v>
      </c>
      <c r="I30" s="2" t="str">
        <f ca="1">_xlfn.XLOOKUP(E30,SalesPerson!A:A,SalesPerson!C:C)</f>
        <v>Pekanbaru</v>
      </c>
      <c r="J30" s="2">
        <f t="shared" ca="1" si="0"/>
        <v>9</v>
      </c>
      <c r="K30" s="2">
        <f ca="1">_xlfn.XLOOKUP(D30,Products!A:A,Products!D:D)</f>
        <v>980000</v>
      </c>
      <c r="L30" s="2">
        <f ca="1">_xlfn.XLOOKUP(D30,Products!A:A,Products!E:E)</f>
        <v>780000</v>
      </c>
      <c r="M30" s="2">
        <f t="shared" ca="1" si="2"/>
        <v>8820000</v>
      </c>
      <c r="N30" s="2">
        <f t="shared" ca="1" si="3"/>
        <v>7020000</v>
      </c>
      <c r="O30" s="3">
        <f t="shared" ca="1" si="4"/>
        <v>1800000</v>
      </c>
      <c r="P30" s="2" t="str">
        <f ca="1">_xlfn.XLOOKUP(D30,Products!A:A,Products!C:C)</f>
        <v>Components</v>
      </c>
    </row>
    <row r="31" spans="1:16" ht="28.8" x14ac:dyDescent="0.3">
      <c r="A31" t="str">
        <f t="shared" ca="1" si="1"/>
        <v>0049</v>
      </c>
      <c r="B31" s="13">
        <v>45748</v>
      </c>
      <c r="C31" s="2" t="str" cm="1">
        <f t="array" aca="1" ref="C31" ca="1">INDEX(Customers!A:A,RANDBETWEEN(2,20))</f>
        <v>C015</v>
      </c>
      <c r="D31" s="2" t="str" cm="1">
        <f t="array" aca="1" ref="D31" ca="1">INDEX(Products!A:A,RANDBETWEEN(2,101))</f>
        <v>P084</v>
      </c>
      <c r="E31" s="2" t="str" cm="1">
        <f t="array" aca="1" ref="E31" ca="1">INDEX(SalesPerson!A:A,RANDBETWEEN(2,21))</f>
        <v>S014</v>
      </c>
      <c r="F31" s="2" t="str">
        <f ca="1">_xlfn.XLOOKUP(C31,Customers!A:A,Customers!B:B)</f>
        <v>PT Sentosa Abadi</v>
      </c>
      <c r="G31" s="2" t="str">
        <f ca="1">_xlfn.XLOOKUP(D31,Products!A:A,Products!B:B)</f>
        <v>Monitor LG 24"</v>
      </c>
      <c r="H31" s="2" t="str">
        <f ca="1">_xlfn.XLOOKUP(E31,SalesPerson!A:A,SalesPerson!B:B)</f>
        <v>Nanda Prasetyo</v>
      </c>
      <c r="I31" s="2" t="str">
        <f ca="1">_xlfn.XLOOKUP(E31,SalesPerson!A:A,SalesPerson!C:C)</f>
        <v>Malang</v>
      </c>
      <c r="J31" s="2">
        <f t="shared" ca="1" si="0"/>
        <v>5</v>
      </c>
      <c r="K31" s="2">
        <f ca="1">_xlfn.XLOOKUP(D31,Products!A:A,Products!D:D)</f>
        <v>2100000</v>
      </c>
      <c r="L31" s="2">
        <f ca="1">_xlfn.XLOOKUP(D31,Products!A:A,Products!E:E)</f>
        <v>1700000</v>
      </c>
      <c r="M31" s="2">
        <f t="shared" ca="1" si="2"/>
        <v>10500000</v>
      </c>
      <c r="N31" s="2">
        <f t="shared" ca="1" si="3"/>
        <v>8500000</v>
      </c>
      <c r="O31" s="3">
        <f t="shared" ca="1" si="4"/>
        <v>2000000</v>
      </c>
      <c r="P31" s="2" t="str">
        <f ca="1">_xlfn.XLOOKUP(D31,Products!A:A,Products!C:C)</f>
        <v>Monitor</v>
      </c>
    </row>
    <row r="32" spans="1:16" ht="28.8" x14ac:dyDescent="0.3">
      <c r="A32" t="str">
        <f t="shared" ca="1" si="1"/>
        <v>0039</v>
      </c>
      <c r="B32" s="13">
        <v>45749</v>
      </c>
      <c r="C32" s="2" t="str" cm="1">
        <f t="array" aca="1" ref="C32" ca="1">INDEX(Customers!A:A,RANDBETWEEN(2,20))</f>
        <v>C012</v>
      </c>
      <c r="D32" s="2" t="str" cm="1">
        <f t="array" aca="1" ref="D32" ca="1">INDEX(Products!A:A,RANDBETWEEN(2,101))</f>
        <v>P060</v>
      </c>
      <c r="E32" s="2" t="str" cm="1">
        <f t="array" aca="1" ref="E32" ca="1">INDEX(SalesPerson!A:A,RANDBETWEEN(2,21))</f>
        <v>S019</v>
      </c>
      <c r="F32" s="2" t="str">
        <f ca="1">_xlfn.XLOOKUP(C32,Customers!A:A,Customers!B:B)</f>
        <v>PT Sukses Makmur</v>
      </c>
      <c r="G32" s="2" t="str">
        <f ca="1">_xlfn.XLOOKUP(D32,Products!A:A,Products!B:B)</f>
        <v>USB Hub 4 Port</v>
      </c>
      <c r="H32" s="2" t="str">
        <f ca="1">_xlfn.XLOOKUP(E32,SalesPerson!A:A,SalesPerson!B:B)</f>
        <v>Sinta Maharani</v>
      </c>
      <c r="I32" s="2" t="str">
        <f ca="1">_xlfn.XLOOKUP(E32,SalesPerson!A:A,SalesPerson!C:C)</f>
        <v>Solo</v>
      </c>
      <c r="J32" s="2">
        <f t="shared" ca="1" si="0"/>
        <v>2</v>
      </c>
      <c r="K32" s="2">
        <f ca="1">_xlfn.XLOOKUP(D32,Products!A:A,Products!D:D)</f>
        <v>150000</v>
      </c>
      <c r="L32" s="2">
        <f ca="1">_xlfn.XLOOKUP(D32,Products!A:A,Products!E:E)</f>
        <v>90000</v>
      </c>
      <c r="M32" s="2">
        <f t="shared" ca="1" si="2"/>
        <v>300000</v>
      </c>
      <c r="N32" s="2">
        <f t="shared" ca="1" si="3"/>
        <v>180000</v>
      </c>
      <c r="O32" s="3">
        <f t="shared" ca="1" si="4"/>
        <v>120000</v>
      </c>
      <c r="P32" s="2" t="str">
        <f ca="1">_xlfn.XLOOKUP(D32,Products!A:A,Products!C:C)</f>
        <v>Accessories</v>
      </c>
    </row>
    <row r="33" spans="1:16" ht="28.8" x14ac:dyDescent="0.3">
      <c r="A33" t="str">
        <f t="shared" ca="1" si="1"/>
        <v>0069</v>
      </c>
      <c r="B33" s="13">
        <v>45750</v>
      </c>
      <c r="C33" s="2" t="str" cm="1">
        <f t="array" aca="1" ref="C33" ca="1">INDEX(Customers!A:A,RANDBETWEEN(2,20))</f>
        <v>C005</v>
      </c>
      <c r="D33" s="2" t="str" cm="1">
        <f t="array" aca="1" ref="D33" ca="1">INDEX(Products!A:A,RANDBETWEEN(2,101))</f>
        <v>P071</v>
      </c>
      <c r="E33" s="2" t="str" cm="1">
        <f t="array" aca="1" ref="E33" ca="1">INDEX(SalesPerson!A:A,RANDBETWEEN(2,21))</f>
        <v>S001</v>
      </c>
      <c r="F33" s="2" t="str">
        <f ca="1">_xlfn.XLOOKUP(C33,Customers!A:A,Customers!B:B)</f>
        <v>PT Berkah Sejahtera</v>
      </c>
      <c r="G33" s="2" t="str">
        <f ca="1">_xlfn.XLOOKUP(D33,Products!A:A,Products!B:B)</f>
        <v>Printer Epson L3253</v>
      </c>
      <c r="H33" s="2" t="str">
        <f ca="1">_xlfn.XLOOKUP(E33,SalesPerson!A:A,SalesPerson!B:B)</f>
        <v>Andi Pratama</v>
      </c>
      <c r="I33" s="2" t="str">
        <f ca="1">_xlfn.XLOOKUP(E33,SalesPerson!A:A,SalesPerson!C:C)</f>
        <v>Jakarta</v>
      </c>
      <c r="J33" s="2">
        <f t="shared" ca="1" si="0"/>
        <v>2</v>
      </c>
      <c r="K33" s="2">
        <f ca="1">_xlfn.XLOOKUP(D33,Products!A:A,Products!D:D)</f>
        <v>2900000</v>
      </c>
      <c r="L33" s="2">
        <f ca="1">_xlfn.XLOOKUP(D33,Products!A:A,Products!E:E)</f>
        <v>2400000</v>
      </c>
      <c r="M33" s="2">
        <f t="shared" ca="1" si="2"/>
        <v>5800000</v>
      </c>
      <c r="N33" s="2">
        <f t="shared" ca="1" si="3"/>
        <v>4800000</v>
      </c>
      <c r="O33" s="3">
        <f t="shared" ca="1" si="4"/>
        <v>1000000</v>
      </c>
      <c r="P33" s="2" t="str">
        <f ca="1">_xlfn.XLOOKUP(D33,Products!A:A,Products!C:C)</f>
        <v>Printer</v>
      </c>
    </row>
    <row r="34" spans="1:16" ht="28.8" x14ac:dyDescent="0.3">
      <c r="A34" t="str">
        <f t="shared" ca="1" si="1"/>
        <v>0100</v>
      </c>
      <c r="B34" s="13">
        <v>45751</v>
      </c>
      <c r="C34" s="2" t="str" cm="1">
        <f t="array" aca="1" ref="C34" ca="1">INDEX(Customers!A:A,RANDBETWEEN(2,20))</f>
        <v>C012</v>
      </c>
      <c r="D34" s="2" t="str" cm="1">
        <f t="array" aca="1" ref="D34" ca="1">INDEX(Products!A:A,RANDBETWEEN(2,101))</f>
        <v>P071</v>
      </c>
      <c r="E34" s="2" t="str" cm="1">
        <f t="array" aca="1" ref="E34" ca="1">INDEX(SalesPerson!A:A,RANDBETWEEN(2,21))</f>
        <v>S015</v>
      </c>
      <c r="F34" s="2" t="str">
        <f ca="1">_xlfn.XLOOKUP(C34,Customers!A:A,Customers!B:B)</f>
        <v>PT Sukses Makmur</v>
      </c>
      <c r="G34" s="2" t="str">
        <f ca="1">_xlfn.XLOOKUP(D34,Products!A:A,Products!B:B)</f>
        <v>Printer Epson L3253</v>
      </c>
      <c r="H34" s="2" t="str">
        <f ca="1">_xlfn.XLOOKUP(E34,SalesPerson!A:A,SalesPerson!B:B)</f>
        <v>Olivia Putri</v>
      </c>
      <c r="I34" s="2" t="str">
        <f ca="1">_xlfn.XLOOKUP(E34,SalesPerson!A:A,SalesPerson!C:C)</f>
        <v>Batam</v>
      </c>
      <c r="J34" s="2">
        <f t="shared" ref="J34:J65" ca="1" si="5">RANDBETWEEN(1,10)</f>
        <v>8</v>
      </c>
      <c r="K34" s="2">
        <f ca="1">_xlfn.XLOOKUP(D34,Products!A:A,Products!D:D)</f>
        <v>2900000</v>
      </c>
      <c r="L34" s="2">
        <f ca="1">_xlfn.XLOOKUP(D34,Products!A:A,Products!E:E)</f>
        <v>2400000</v>
      </c>
      <c r="M34" s="2">
        <f t="shared" ca="1" si="2"/>
        <v>23200000</v>
      </c>
      <c r="N34" s="2">
        <f t="shared" ca="1" si="3"/>
        <v>19200000</v>
      </c>
      <c r="O34" s="3">
        <f t="shared" ca="1" si="4"/>
        <v>4000000</v>
      </c>
      <c r="P34" s="2" t="str">
        <f ca="1">_xlfn.XLOOKUP(D34,Products!A:A,Products!C:C)</f>
        <v>Printer</v>
      </c>
    </row>
    <row r="35" spans="1:16" ht="28.8" x14ac:dyDescent="0.3">
      <c r="A35" t="str">
        <f t="shared" ca="1" si="1"/>
        <v>0047</v>
      </c>
      <c r="B35" s="13">
        <v>45752</v>
      </c>
      <c r="C35" s="2" t="str" cm="1">
        <f t="array" aca="1" ref="C35" ca="1">INDEX(Customers!A:A,RANDBETWEEN(2,20))</f>
        <v>C015</v>
      </c>
      <c r="D35" s="2" t="str" cm="1">
        <f t="array" aca="1" ref="D35" ca="1">INDEX(Products!A:A,RANDBETWEEN(2,101))</f>
        <v>P034</v>
      </c>
      <c r="E35" s="2" t="str" cm="1">
        <f t="array" aca="1" ref="E35" ca="1">INDEX(SalesPerson!A:A,RANDBETWEEN(2,21))</f>
        <v>S009</v>
      </c>
      <c r="F35" s="2" t="str">
        <f ca="1">_xlfn.XLOOKUP(C35,Customers!A:A,Customers!B:B)</f>
        <v>PT Sentosa Abadi</v>
      </c>
      <c r="G35" s="2" t="str">
        <f ca="1">_xlfn.XLOOKUP(D35,Products!A:A,Products!B:B)</f>
        <v>Speaker Logitech</v>
      </c>
      <c r="H35" s="2" t="str">
        <f ca="1">_xlfn.XLOOKUP(E35,SalesPerson!A:A,SalesPerson!B:B)</f>
        <v>Intan Permata</v>
      </c>
      <c r="I35" s="2" t="str">
        <f ca="1">_xlfn.XLOOKUP(E35,SalesPerson!A:A,SalesPerson!C:C)</f>
        <v>Palembang</v>
      </c>
      <c r="J35" s="2">
        <f t="shared" ca="1" si="5"/>
        <v>4</v>
      </c>
      <c r="K35" s="2">
        <f ca="1">_xlfn.XLOOKUP(D35,Products!A:A,Products!D:D)</f>
        <v>780000</v>
      </c>
      <c r="L35" s="2">
        <f ca="1">_xlfn.XLOOKUP(D35,Products!A:A,Products!E:E)</f>
        <v>590000</v>
      </c>
      <c r="M35" s="2">
        <f t="shared" ref="M35:M66" ca="1" si="6">J35*K35</f>
        <v>3120000</v>
      </c>
      <c r="N35" s="2">
        <f t="shared" ref="N35:N66" ca="1" si="7">J35*L35</f>
        <v>2360000</v>
      </c>
      <c r="O35" s="3">
        <f t="shared" ref="O35:O66" ca="1" si="8">M35-N35</f>
        <v>760000</v>
      </c>
      <c r="P35" s="2" t="str">
        <f ca="1">_xlfn.XLOOKUP(D35,Products!A:A,Products!C:C)</f>
        <v>Audio</v>
      </c>
    </row>
    <row r="36" spans="1:16" ht="28.8" x14ac:dyDescent="0.3">
      <c r="A36" t="str">
        <f t="shared" ca="1" si="1"/>
        <v>0043</v>
      </c>
      <c r="B36" s="13">
        <v>45753</v>
      </c>
      <c r="C36" s="2" t="str" cm="1">
        <f t="array" aca="1" ref="C36" ca="1">INDEX(Customers!A:A,RANDBETWEEN(2,20))</f>
        <v>C008</v>
      </c>
      <c r="D36" s="2" t="str" cm="1">
        <f t="array" aca="1" ref="D36" ca="1">INDEX(Products!A:A,RANDBETWEEN(2,101))</f>
        <v>P008</v>
      </c>
      <c r="E36" s="2" t="str" cm="1">
        <f t="array" aca="1" ref="E36" ca="1">INDEX(SalesPerson!A:A,RANDBETWEEN(2,21))</f>
        <v>S015</v>
      </c>
      <c r="F36" s="2" t="str">
        <f ca="1">_xlfn.XLOOKUP(C36,Customers!A:A,Customers!B:B)</f>
        <v>PT Cahaya Abadi</v>
      </c>
      <c r="G36" s="2" t="str">
        <f ca="1">_xlfn.XLOOKUP(D36,Products!A:A,Products!B:B)</f>
        <v>SSD 1TB Kingston</v>
      </c>
      <c r="H36" s="2" t="str">
        <f ca="1">_xlfn.XLOOKUP(E36,SalesPerson!A:A,SalesPerson!B:B)</f>
        <v>Olivia Putri</v>
      </c>
      <c r="I36" s="2" t="str">
        <f ca="1">_xlfn.XLOOKUP(E36,SalesPerson!A:A,SalesPerson!C:C)</f>
        <v>Batam</v>
      </c>
      <c r="J36" s="2">
        <f t="shared" ca="1" si="5"/>
        <v>9</v>
      </c>
      <c r="K36" s="2">
        <f ca="1">_xlfn.XLOOKUP(D36,Products!A:A,Products!D:D)</f>
        <v>1250000</v>
      </c>
      <c r="L36" s="2">
        <f ca="1">_xlfn.XLOOKUP(D36,Products!A:A,Products!E:E)</f>
        <v>980000</v>
      </c>
      <c r="M36" s="2">
        <f t="shared" ca="1" si="6"/>
        <v>11250000</v>
      </c>
      <c r="N36" s="2">
        <f t="shared" ca="1" si="7"/>
        <v>8820000</v>
      </c>
      <c r="O36" s="3">
        <f t="shared" ca="1" si="8"/>
        <v>2430000</v>
      </c>
      <c r="P36" s="2" t="str">
        <f ca="1">_xlfn.XLOOKUP(D36,Products!A:A,Products!C:C)</f>
        <v>Storage</v>
      </c>
    </row>
    <row r="37" spans="1:16" ht="28.8" x14ac:dyDescent="0.3">
      <c r="A37" t="str">
        <f t="shared" ca="1" si="1"/>
        <v>0012</v>
      </c>
      <c r="B37" s="13">
        <v>45754</v>
      </c>
      <c r="C37" s="2" t="str" cm="1">
        <f t="array" aca="1" ref="C37" ca="1">INDEX(Customers!A:A,RANDBETWEEN(2,20))</f>
        <v>C014</v>
      </c>
      <c r="D37" s="2" t="str" cm="1">
        <f t="array" aca="1" ref="D37" ca="1">INDEX(Products!A:A,RANDBETWEEN(2,101))</f>
        <v>P062</v>
      </c>
      <c r="E37" s="2" t="str" cm="1">
        <f t="array" aca="1" ref="E37" ca="1">INDEX(SalesPerson!A:A,RANDBETWEEN(2,21))</f>
        <v>S020</v>
      </c>
      <c r="F37" s="2" t="str">
        <f ca="1">_xlfn.XLOOKUP(C37,Customers!A:A,Customers!B:B)</f>
        <v>CV Nusantara Jaya</v>
      </c>
      <c r="G37" s="2" t="str">
        <f ca="1">_xlfn.XLOOKUP(D37,Products!A:A,Products!B:B)</f>
        <v>Laptop Lenovo IdeaPad</v>
      </c>
      <c r="H37" s="2" t="str">
        <f ca="1">_xlfn.XLOOKUP(E37,SalesPerson!A:A,SalesPerson!B:B)</f>
        <v>Teguh Hidayat</v>
      </c>
      <c r="I37" s="2" t="str">
        <f ca="1">_xlfn.XLOOKUP(E37,SalesPerson!A:A,SalesPerson!C:C)</f>
        <v>Cirebon</v>
      </c>
      <c r="J37" s="2">
        <f t="shared" ca="1" si="5"/>
        <v>3</v>
      </c>
      <c r="K37" s="2">
        <f ca="1">_xlfn.XLOOKUP(D37,Products!A:A,Products!D:D)</f>
        <v>9200000</v>
      </c>
      <c r="L37" s="2">
        <f ca="1">_xlfn.XLOOKUP(D37,Products!A:A,Products!E:E)</f>
        <v>7900000</v>
      </c>
      <c r="M37" s="2">
        <f t="shared" ca="1" si="6"/>
        <v>27600000</v>
      </c>
      <c r="N37" s="2">
        <f t="shared" ca="1" si="7"/>
        <v>23700000</v>
      </c>
      <c r="O37" s="3">
        <f t="shared" ca="1" si="8"/>
        <v>3900000</v>
      </c>
      <c r="P37" s="2" t="str">
        <f ca="1">_xlfn.XLOOKUP(D37,Products!A:A,Products!C:C)</f>
        <v>Laptop</v>
      </c>
    </row>
    <row r="38" spans="1:16" ht="28.8" x14ac:dyDescent="0.3">
      <c r="A38" t="str">
        <f t="shared" ca="1" si="1"/>
        <v>0072</v>
      </c>
      <c r="B38" s="13">
        <v>45755</v>
      </c>
      <c r="C38" s="2" t="str" cm="1">
        <f t="array" aca="1" ref="C38" ca="1">INDEX(Customers!A:A,RANDBETWEEN(2,20))</f>
        <v>C010</v>
      </c>
      <c r="D38" s="2" t="str" cm="1">
        <f t="array" aca="1" ref="D38" ca="1">INDEX(Products!A:A,RANDBETWEEN(2,101))</f>
        <v>P019</v>
      </c>
      <c r="E38" s="2" t="str" cm="1">
        <f t="array" aca="1" ref="E38" ca="1">INDEX(SalesPerson!A:A,RANDBETWEEN(2,21))</f>
        <v>S020</v>
      </c>
      <c r="F38" s="2" t="str">
        <f ca="1">_xlfn.XLOOKUP(C38,Customers!A:A,Customers!B:B)</f>
        <v>PT Bintang Timur</v>
      </c>
      <c r="G38" s="2" t="str">
        <f ca="1">_xlfn.XLOOKUP(D38,Products!A:A,Products!B:B)</f>
        <v>HDMI Cable</v>
      </c>
      <c r="H38" s="2" t="str">
        <f ca="1">_xlfn.XLOOKUP(E38,SalesPerson!A:A,SalesPerson!B:B)</f>
        <v>Teguh Hidayat</v>
      </c>
      <c r="I38" s="2" t="str">
        <f ca="1">_xlfn.XLOOKUP(E38,SalesPerson!A:A,SalesPerson!C:C)</f>
        <v>Cirebon</v>
      </c>
      <c r="J38" s="2">
        <f t="shared" ca="1" si="5"/>
        <v>4</v>
      </c>
      <c r="K38" s="2">
        <f ca="1">_xlfn.XLOOKUP(D38,Products!A:A,Products!D:D)</f>
        <v>90000</v>
      </c>
      <c r="L38" s="2">
        <f ca="1">_xlfn.XLOOKUP(D38,Products!A:A,Products!E:E)</f>
        <v>50000</v>
      </c>
      <c r="M38" s="2">
        <f t="shared" ca="1" si="6"/>
        <v>360000</v>
      </c>
      <c r="N38" s="2">
        <f t="shared" ca="1" si="7"/>
        <v>200000</v>
      </c>
      <c r="O38" s="3">
        <f t="shared" ca="1" si="8"/>
        <v>160000</v>
      </c>
      <c r="P38" s="2" t="str">
        <f ca="1">_xlfn.XLOOKUP(D38,Products!A:A,Products!C:C)</f>
        <v>Accessories</v>
      </c>
    </row>
    <row r="39" spans="1:16" ht="28.8" x14ac:dyDescent="0.3">
      <c r="A39" t="str">
        <f t="shared" ca="1" si="1"/>
        <v>0088</v>
      </c>
      <c r="B39" s="13">
        <v>45756</v>
      </c>
      <c r="C39" s="2" t="str" cm="1">
        <f t="array" aca="1" ref="C39" ca="1">INDEX(Customers!A:A,RANDBETWEEN(2,20))</f>
        <v>C017</v>
      </c>
      <c r="D39" s="2" t="str" cm="1">
        <f t="array" aca="1" ref="D39" ca="1">INDEX(Products!A:A,RANDBETWEEN(2,101))</f>
        <v>P099</v>
      </c>
      <c r="E39" s="2" t="str" cm="1">
        <f t="array" aca="1" ref="E39" ca="1">INDEX(SalesPerson!A:A,RANDBETWEEN(2,21))</f>
        <v>S018</v>
      </c>
      <c r="F39" s="2" t="str">
        <f ca="1">_xlfn.XLOOKUP(C39,Customers!A:A,Customers!B:B)</f>
        <v>CV Berkah Mandiri</v>
      </c>
      <c r="G39" s="2" t="str">
        <f ca="1">_xlfn.XLOOKUP(D39,Products!A:A,Products!B:B)</f>
        <v>HDMI Cable</v>
      </c>
      <c r="H39" s="2" t="str">
        <f ca="1">_xlfn.XLOOKUP(E39,SalesPerson!A:A,SalesPerson!B:B)</f>
        <v>Rian Kurniawan</v>
      </c>
      <c r="I39" s="2" t="str">
        <f ca="1">_xlfn.XLOOKUP(E39,SalesPerson!A:A,SalesPerson!C:C)</f>
        <v>Banjarmasin</v>
      </c>
      <c r="J39" s="2">
        <f t="shared" ca="1" si="5"/>
        <v>4</v>
      </c>
      <c r="K39" s="2">
        <f ca="1">_xlfn.XLOOKUP(D39,Products!A:A,Products!D:D)</f>
        <v>90000</v>
      </c>
      <c r="L39" s="2">
        <f ca="1">_xlfn.XLOOKUP(D39,Products!A:A,Products!E:E)</f>
        <v>50000</v>
      </c>
      <c r="M39" s="2">
        <f t="shared" ca="1" si="6"/>
        <v>360000</v>
      </c>
      <c r="N39" s="2">
        <f t="shared" ca="1" si="7"/>
        <v>200000</v>
      </c>
      <c r="O39" s="3">
        <f t="shared" ca="1" si="8"/>
        <v>160000</v>
      </c>
      <c r="P39" s="2" t="str">
        <f ca="1">_xlfn.XLOOKUP(D39,Products!A:A,Products!C:C)</f>
        <v>Accessories</v>
      </c>
    </row>
    <row r="40" spans="1:16" ht="28.8" x14ac:dyDescent="0.3">
      <c r="A40" t="str">
        <f t="shared" ca="1" si="1"/>
        <v>0094</v>
      </c>
      <c r="B40" s="13">
        <v>45757</v>
      </c>
      <c r="C40" s="2" t="str" cm="1">
        <f t="array" aca="1" ref="C40" ca="1">INDEX(Customers!A:A,RANDBETWEEN(2,20))</f>
        <v>C003</v>
      </c>
      <c r="D40" s="2" t="str" cm="1">
        <f t="array" aca="1" ref="D40" ca="1">INDEX(Products!A:A,RANDBETWEEN(2,101))</f>
        <v>P011</v>
      </c>
      <c r="E40" s="2" t="str" cm="1">
        <f t="array" aca="1" ref="E40" ca="1">INDEX(SalesPerson!A:A,RANDBETWEEN(2,21))</f>
        <v>S014</v>
      </c>
      <c r="F40" s="2" t="str">
        <f ca="1">_xlfn.XLOOKUP(C40,Customers!A:A,Customers!B:B)</f>
        <v>CV Sinar Teknologi</v>
      </c>
      <c r="G40" s="2" t="str">
        <f ca="1">_xlfn.XLOOKUP(D40,Products!A:A,Products!B:B)</f>
        <v>Printer Epson L3250</v>
      </c>
      <c r="H40" s="2" t="str">
        <f ca="1">_xlfn.XLOOKUP(E40,SalesPerson!A:A,SalesPerson!B:B)</f>
        <v>Nanda Prasetyo</v>
      </c>
      <c r="I40" s="2" t="str">
        <f ca="1">_xlfn.XLOOKUP(E40,SalesPerson!A:A,SalesPerson!C:C)</f>
        <v>Malang</v>
      </c>
      <c r="J40" s="2">
        <f t="shared" ca="1" si="5"/>
        <v>8</v>
      </c>
      <c r="K40" s="2">
        <f ca="1">_xlfn.XLOOKUP(D40,Products!A:A,Products!D:D)</f>
        <v>2900000</v>
      </c>
      <c r="L40" s="2">
        <f ca="1">_xlfn.XLOOKUP(D40,Products!A:A,Products!E:E)</f>
        <v>2400000</v>
      </c>
      <c r="M40" s="2">
        <f t="shared" ca="1" si="6"/>
        <v>23200000</v>
      </c>
      <c r="N40" s="2">
        <f t="shared" ca="1" si="7"/>
        <v>19200000</v>
      </c>
      <c r="O40" s="3">
        <f t="shared" ca="1" si="8"/>
        <v>4000000</v>
      </c>
      <c r="P40" s="2" t="str">
        <f ca="1">_xlfn.XLOOKUP(D40,Products!A:A,Products!C:C)</f>
        <v>Printer</v>
      </c>
    </row>
    <row r="41" spans="1:16" ht="28.8" x14ac:dyDescent="0.3">
      <c r="A41" t="str">
        <f t="shared" ca="1" si="1"/>
        <v>0076</v>
      </c>
      <c r="B41" s="13">
        <v>45758</v>
      </c>
      <c r="C41" s="2" t="str" cm="1">
        <f t="array" aca="1" ref="C41" ca="1">INDEX(Customers!A:A,RANDBETWEEN(2,20))</f>
        <v>C010</v>
      </c>
      <c r="D41" s="2" t="str" cm="1">
        <f t="array" aca="1" ref="D41" ca="1">INDEX(Products!A:A,RANDBETWEEN(2,101))</f>
        <v>P028</v>
      </c>
      <c r="E41" s="2" t="str" cm="1">
        <f t="array" aca="1" ref="E41" ca="1">INDEX(SalesPerson!A:A,RANDBETWEEN(2,21))</f>
        <v>S015</v>
      </c>
      <c r="F41" s="2" t="str">
        <f ca="1">_xlfn.XLOOKUP(C41,Customers!A:A,Customers!B:B)</f>
        <v>PT Bintang Timur</v>
      </c>
      <c r="G41" s="2" t="str">
        <f ca="1">_xlfn.XLOOKUP(D41,Products!A:A,Products!B:B)</f>
        <v>SSD 1TB Kingston</v>
      </c>
      <c r="H41" s="2" t="str">
        <f ca="1">_xlfn.XLOOKUP(E41,SalesPerson!A:A,SalesPerson!B:B)</f>
        <v>Olivia Putri</v>
      </c>
      <c r="I41" s="2" t="str">
        <f ca="1">_xlfn.XLOOKUP(E41,SalesPerson!A:A,SalesPerson!C:C)</f>
        <v>Batam</v>
      </c>
      <c r="J41" s="2">
        <f t="shared" ca="1" si="5"/>
        <v>9</v>
      </c>
      <c r="K41" s="2">
        <f ca="1">_xlfn.XLOOKUP(D41,Products!A:A,Products!D:D)</f>
        <v>1250000</v>
      </c>
      <c r="L41" s="2">
        <f ca="1">_xlfn.XLOOKUP(D41,Products!A:A,Products!E:E)</f>
        <v>980000</v>
      </c>
      <c r="M41" s="2">
        <f t="shared" ca="1" si="6"/>
        <v>11250000</v>
      </c>
      <c r="N41" s="2">
        <f t="shared" ca="1" si="7"/>
        <v>8820000</v>
      </c>
      <c r="O41" s="3">
        <f t="shared" ca="1" si="8"/>
        <v>2430000</v>
      </c>
      <c r="P41" s="2" t="str">
        <f ca="1">_xlfn.XLOOKUP(D41,Products!A:A,Products!C:C)</f>
        <v>Storage</v>
      </c>
    </row>
    <row r="42" spans="1:16" ht="28.8" x14ac:dyDescent="0.3">
      <c r="A42" t="str">
        <f t="shared" ca="1" si="1"/>
        <v>0035</v>
      </c>
      <c r="B42" s="13">
        <v>45759</v>
      </c>
      <c r="C42" s="2" t="str" cm="1">
        <f t="array" aca="1" ref="C42" ca="1">INDEX(Customers!A:A,RANDBETWEEN(2,20))</f>
        <v>C007</v>
      </c>
      <c r="D42" s="2" t="str" cm="1">
        <f t="array" aca="1" ref="D42" ca="1">INDEX(Products!A:A,RANDBETWEEN(2,101))</f>
        <v>P097</v>
      </c>
      <c r="E42" s="2" t="str" cm="1">
        <f t="array" aca="1" ref="E42" ca="1">INDEX(SalesPerson!A:A,RANDBETWEEN(2,21))</f>
        <v>S009</v>
      </c>
      <c r="F42" s="2" t="str">
        <f ca="1">_xlfn.XLOOKUP(C42,Customers!A:A,Customers!B:B)</f>
        <v>PT Mitra Solusi</v>
      </c>
      <c r="G42" s="2" t="str">
        <f ca="1">_xlfn.XLOOKUP(D42,Products!A:A,Products!B:B)</f>
        <v>External HDD 2TB</v>
      </c>
      <c r="H42" s="2" t="str">
        <f ca="1">_xlfn.XLOOKUP(E42,SalesPerson!A:A,SalesPerson!B:B)</f>
        <v>Intan Permata</v>
      </c>
      <c r="I42" s="2" t="str">
        <f ca="1">_xlfn.XLOOKUP(E42,SalesPerson!A:A,SalesPerson!C:C)</f>
        <v>Palembang</v>
      </c>
      <c r="J42" s="2">
        <f t="shared" ca="1" si="5"/>
        <v>5</v>
      </c>
      <c r="K42" s="2">
        <f ca="1">_xlfn.XLOOKUP(D42,Products!A:A,Products!D:D)</f>
        <v>1650000</v>
      </c>
      <c r="L42" s="2">
        <f ca="1">_xlfn.XLOOKUP(D42,Products!A:A,Products!E:E)</f>
        <v>1350000</v>
      </c>
      <c r="M42" s="2">
        <f t="shared" ca="1" si="6"/>
        <v>8250000</v>
      </c>
      <c r="N42" s="2">
        <f t="shared" ca="1" si="7"/>
        <v>6750000</v>
      </c>
      <c r="O42" s="3">
        <f t="shared" ca="1" si="8"/>
        <v>1500000</v>
      </c>
      <c r="P42" s="2" t="str">
        <f ca="1">_xlfn.XLOOKUP(D42,Products!A:A,Products!C:C)</f>
        <v>Storage</v>
      </c>
    </row>
    <row r="43" spans="1:16" ht="28.8" x14ac:dyDescent="0.3">
      <c r="A43" t="str">
        <f t="shared" ca="1" si="1"/>
        <v>0082</v>
      </c>
      <c r="B43" s="13">
        <v>45760</v>
      </c>
      <c r="C43" s="2" t="str" cm="1">
        <f t="array" aca="1" ref="C43" ca="1">INDEX(Customers!A:A,RANDBETWEEN(2,20))</f>
        <v>C012</v>
      </c>
      <c r="D43" s="2" t="str" cm="1">
        <f t="array" aca="1" ref="D43" ca="1">INDEX(Products!A:A,RANDBETWEEN(2,101))</f>
        <v>P035</v>
      </c>
      <c r="E43" s="2" t="str" cm="1">
        <f t="array" aca="1" ref="E43" ca="1">INDEX(SalesPerson!A:A,RANDBETWEEN(2,21))</f>
        <v>S009</v>
      </c>
      <c r="F43" s="2" t="str">
        <f ca="1">_xlfn.XLOOKUP(C43,Customers!A:A,Customers!B:B)</f>
        <v>PT Sukses Makmur</v>
      </c>
      <c r="G43" s="2" t="str">
        <f ca="1">_xlfn.XLOOKUP(D43,Products!A:A,Products!B:B)</f>
        <v>UPS APC 650VA</v>
      </c>
      <c r="H43" s="2" t="str">
        <f ca="1">_xlfn.XLOOKUP(E43,SalesPerson!A:A,SalesPerson!B:B)</f>
        <v>Intan Permata</v>
      </c>
      <c r="I43" s="2" t="str">
        <f ca="1">_xlfn.XLOOKUP(E43,SalesPerson!A:A,SalesPerson!C:C)</f>
        <v>Palembang</v>
      </c>
      <c r="J43" s="2">
        <f t="shared" ca="1" si="5"/>
        <v>9</v>
      </c>
      <c r="K43" s="2">
        <f ca="1">_xlfn.XLOOKUP(D43,Products!A:A,Products!D:D)</f>
        <v>950000</v>
      </c>
      <c r="L43" s="2">
        <f ca="1">_xlfn.XLOOKUP(D43,Products!A:A,Products!E:E)</f>
        <v>760000</v>
      </c>
      <c r="M43" s="2">
        <f t="shared" ca="1" si="6"/>
        <v>8550000</v>
      </c>
      <c r="N43" s="2">
        <f t="shared" ca="1" si="7"/>
        <v>6840000</v>
      </c>
      <c r="O43" s="3">
        <f t="shared" ca="1" si="8"/>
        <v>1710000</v>
      </c>
      <c r="P43" s="2" t="str">
        <f ca="1">_xlfn.XLOOKUP(D43,Products!A:A,Products!C:C)</f>
        <v>Power</v>
      </c>
    </row>
    <row r="44" spans="1:16" ht="28.8" x14ac:dyDescent="0.3">
      <c r="A44" t="str">
        <f t="shared" ca="1" si="1"/>
        <v>0038</v>
      </c>
      <c r="B44" s="13">
        <v>45761</v>
      </c>
      <c r="C44" s="2" t="str" cm="1">
        <f t="array" aca="1" ref="C44" ca="1">INDEX(Customers!A:A,RANDBETWEEN(2,20))</f>
        <v>C005</v>
      </c>
      <c r="D44" s="2" t="str" cm="1">
        <f t="array" aca="1" ref="D44" ca="1">INDEX(Products!A:A,RANDBETWEEN(2,101))</f>
        <v>P049</v>
      </c>
      <c r="E44" s="2" t="str" cm="1">
        <f t="array" aca="1" ref="E44" ca="1">INDEX(SalesPerson!A:A,RANDBETWEEN(2,21))</f>
        <v>S018</v>
      </c>
      <c r="F44" s="2" t="str">
        <f ca="1">_xlfn.XLOOKUP(C44,Customers!A:A,Customers!B:B)</f>
        <v>PT Berkah Sejahtera</v>
      </c>
      <c r="G44" s="2" t="str">
        <f ca="1">_xlfn.XLOOKUP(D44,Products!A:A,Products!B:B)</f>
        <v>SSD 512GB Samsung</v>
      </c>
      <c r="H44" s="2" t="str">
        <f ca="1">_xlfn.XLOOKUP(E44,SalesPerson!A:A,SalesPerson!B:B)</f>
        <v>Rian Kurniawan</v>
      </c>
      <c r="I44" s="2" t="str">
        <f ca="1">_xlfn.XLOOKUP(E44,SalesPerson!A:A,SalesPerson!C:C)</f>
        <v>Banjarmasin</v>
      </c>
      <c r="J44" s="2">
        <f t="shared" ca="1" si="5"/>
        <v>8</v>
      </c>
      <c r="K44" s="2">
        <f ca="1">_xlfn.XLOOKUP(D44,Products!A:A,Products!D:D)</f>
        <v>850000</v>
      </c>
      <c r="L44" s="2">
        <f ca="1">_xlfn.XLOOKUP(D44,Products!A:A,Products!E:E)</f>
        <v>670000</v>
      </c>
      <c r="M44" s="2">
        <f t="shared" ca="1" si="6"/>
        <v>6800000</v>
      </c>
      <c r="N44" s="2">
        <f t="shared" ca="1" si="7"/>
        <v>5360000</v>
      </c>
      <c r="O44" s="3">
        <f t="shared" ca="1" si="8"/>
        <v>1440000</v>
      </c>
      <c r="P44" s="2" t="str">
        <f ca="1">_xlfn.XLOOKUP(D44,Products!A:A,Products!C:C)</f>
        <v>Storage</v>
      </c>
    </row>
    <row r="45" spans="1:16" ht="28.8" x14ac:dyDescent="0.3">
      <c r="A45" t="str">
        <f t="shared" ca="1" si="1"/>
        <v>0030</v>
      </c>
      <c r="B45" s="13">
        <v>45762</v>
      </c>
      <c r="C45" s="2" t="str" cm="1">
        <f t="array" aca="1" ref="C45" ca="1">INDEX(Customers!A:A,RANDBETWEEN(2,20))</f>
        <v>C017</v>
      </c>
      <c r="D45" s="2" t="str" cm="1">
        <f t="array" aca="1" ref="D45" ca="1">INDEX(Products!A:A,RANDBETWEEN(2,101))</f>
        <v>P046</v>
      </c>
      <c r="E45" s="2" t="str" cm="1">
        <f t="array" aca="1" ref="E45" ca="1">INDEX(SalesPerson!A:A,RANDBETWEEN(2,21))</f>
        <v>S017</v>
      </c>
      <c r="F45" s="2" t="str">
        <f ca="1">_xlfn.XLOOKUP(C45,Customers!A:A,Customers!B:B)</f>
        <v>CV Berkah Mandiri</v>
      </c>
      <c r="G45" s="2" t="str">
        <f ca="1">_xlfn.XLOOKUP(D45,Products!A:A,Products!B:B)</f>
        <v>Mechanical Keyboard</v>
      </c>
      <c r="H45" s="2" t="str">
        <f ca="1">_xlfn.XLOOKUP(E45,SalesPerson!A:A,SalesPerson!B:B)</f>
        <v>Qori Amanda</v>
      </c>
      <c r="I45" s="2" t="str">
        <f ca="1">_xlfn.XLOOKUP(E45,SalesPerson!A:A,SalesPerson!C:C)</f>
        <v>Pontianak</v>
      </c>
      <c r="J45" s="2">
        <f t="shared" ca="1" si="5"/>
        <v>3</v>
      </c>
      <c r="K45" s="2">
        <f ca="1">_xlfn.XLOOKUP(D45,Products!A:A,Products!D:D)</f>
        <v>750000</v>
      </c>
      <c r="L45" s="2">
        <f ca="1">_xlfn.XLOOKUP(D45,Products!A:A,Products!E:E)</f>
        <v>520000</v>
      </c>
      <c r="M45" s="2">
        <f t="shared" ca="1" si="6"/>
        <v>2250000</v>
      </c>
      <c r="N45" s="2">
        <f t="shared" ca="1" si="7"/>
        <v>1560000</v>
      </c>
      <c r="O45" s="3">
        <f t="shared" ca="1" si="8"/>
        <v>690000</v>
      </c>
      <c r="P45" s="2" t="str">
        <f ca="1">_xlfn.XLOOKUP(D45,Products!A:A,Products!C:C)</f>
        <v>Accessories</v>
      </c>
    </row>
    <row r="46" spans="1:16" ht="28.8" x14ac:dyDescent="0.3">
      <c r="A46" t="str">
        <f t="shared" ca="1" si="1"/>
        <v>0061</v>
      </c>
      <c r="B46" s="13">
        <v>45763</v>
      </c>
      <c r="C46" s="2" t="str" cm="1">
        <f t="array" aca="1" ref="C46" ca="1">INDEX(Customers!A:A,RANDBETWEEN(2,20))</f>
        <v>C015</v>
      </c>
      <c r="D46" s="2" t="str" cm="1">
        <f t="array" aca="1" ref="D46" ca="1">INDEX(Products!A:A,RANDBETWEEN(2,101))</f>
        <v>P079</v>
      </c>
      <c r="E46" s="2" t="str" cm="1">
        <f t="array" aca="1" ref="E46" ca="1">INDEX(SalesPerson!A:A,RANDBETWEEN(2,21))</f>
        <v>S007</v>
      </c>
      <c r="F46" s="2" t="str">
        <f ca="1">_xlfn.XLOOKUP(C46,Customers!A:A,Customers!B:B)</f>
        <v>PT Sentosa Abadi</v>
      </c>
      <c r="G46" s="2" t="str">
        <f ca="1">_xlfn.XLOOKUP(D46,Products!A:A,Products!B:B)</f>
        <v>HDMI Cable</v>
      </c>
      <c r="H46" s="2" t="str">
        <f ca="1">_xlfn.XLOOKUP(E46,SalesPerson!A:A,SalesPerson!B:B)</f>
        <v>Gita Maharani</v>
      </c>
      <c r="I46" s="2" t="str">
        <f ca="1">_xlfn.XLOOKUP(E46,SalesPerson!A:A,SalesPerson!C:C)</f>
        <v>Yogyakarta</v>
      </c>
      <c r="J46" s="2">
        <f t="shared" ca="1" si="5"/>
        <v>1</v>
      </c>
      <c r="K46" s="2">
        <f ca="1">_xlfn.XLOOKUP(D46,Products!A:A,Products!D:D)</f>
        <v>90000</v>
      </c>
      <c r="L46" s="2">
        <f ca="1">_xlfn.XLOOKUP(D46,Products!A:A,Products!E:E)</f>
        <v>50000</v>
      </c>
      <c r="M46" s="2">
        <f t="shared" ca="1" si="6"/>
        <v>90000</v>
      </c>
      <c r="N46" s="2">
        <f t="shared" ca="1" si="7"/>
        <v>50000</v>
      </c>
      <c r="O46" s="3">
        <f t="shared" ca="1" si="8"/>
        <v>40000</v>
      </c>
      <c r="P46" s="2" t="str">
        <f ca="1">_xlfn.XLOOKUP(D46,Products!A:A,Products!C:C)</f>
        <v>Accessories</v>
      </c>
    </row>
    <row r="47" spans="1:16" ht="28.8" x14ac:dyDescent="0.3">
      <c r="A47" t="str">
        <f t="shared" ca="1" si="1"/>
        <v>0024</v>
      </c>
      <c r="B47" s="13">
        <v>45764</v>
      </c>
      <c r="C47" s="2" t="str" cm="1">
        <f t="array" aca="1" ref="C47" ca="1">INDEX(Customers!A:A,RANDBETWEEN(2,20))</f>
        <v>C002</v>
      </c>
      <c r="D47" s="2" t="str" cm="1">
        <f t="array" aca="1" ref="D47" ca="1">INDEX(Products!A:A,RANDBETWEEN(2,101))</f>
        <v>P055</v>
      </c>
      <c r="E47" s="2" t="str" cm="1">
        <f t="array" aca="1" ref="E47" ca="1">INDEX(SalesPerson!A:A,RANDBETWEEN(2,21))</f>
        <v>S001</v>
      </c>
      <c r="F47" s="2" t="str">
        <f ca="1">_xlfn.XLOOKUP(C47,Customers!A:A,Customers!B:B)</f>
        <v>PT Nusantara Abadi</v>
      </c>
      <c r="G47" s="2" t="str">
        <f ca="1">_xlfn.XLOOKUP(D47,Products!A:A,Products!B:B)</f>
        <v>UPS APC 650VA</v>
      </c>
      <c r="H47" s="2" t="str">
        <f ca="1">_xlfn.XLOOKUP(E47,SalesPerson!A:A,SalesPerson!B:B)</f>
        <v>Andi Pratama</v>
      </c>
      <c r="I47" s="2" t="str">
        <f ca="1">_xlfn.XLOOKUP(E47,SalesPerson!A:A,SalesPerson!C:C)</f>
        <v>Jakarta</v>
      </c>
      <c r="J47" s="2">
        <f t="shared" ca="1" si="5"/>
        <v>4</v>
      </c>
      <c r="K47" s="2">
        <f ca="1">_xlfn.XLOOKUP(D47,Products!A:A,Products!D:D)</f>
        <v>950000</v>
      </c>
      <c r="L47" s="2">
        <f ca="1">_xlfn.XLOOKUP(D47,Products!A:A,Products!E:E)</f>
        <v>760000</v>
      </c>
      <c r="M47" s="2">
        <f t="shared" ca="1" si="6"/>
        <v>3800000</v>
      </c>
      <c r="N47" s="2">
        <f t="shared" ca="1" si="7"/>
        <v>3040000</v>
      </c>
      <c r="O47" s="3">
        <f t="shared" ca="1" si="8"/>
        <v>760000</v>
      </c>
      <c r="P47" s="2" t="str">
        <f ca="1">_xlfn.XLOOKUP(D47,Products!A:A,Products!C:C)</f>
        <v>Power</v>
      </c>
    </row>
    <row r="48" spans="1:16" x14ac:dyDescent="0.3">
      <c r="A48" t="str">
        <f t="shared" ca="1" si="1"/>
        <v>0058</v>
      </c>
      <c r="B48" s="13">
        <v>45765</v>
      </c>
      <c r="C48" s="2" t="str" cm="1">
        <f t="array" aca="1" ref="C48" ca="1">INDEX(Customers!A:A,RANDBETWEEN(2,20))</f>
        <v>C016</v>
      </c>
      <c r="D48" s="2" t="str" cm="1">
        <f t="array" aca="1" ref="D48" ca="1">INDEX(Products!A:A,RANDBETWEEN(2,101))</f>
        <v>P012</v>
      </c>
      <c r="E48" s="2" t="str" cm="1">
        <f t="array" aca="1" ref="E48" ca="1">INDEX(SalesPerson!A:A,RANDBETWEEN(2,21))</f>
        <v>S017</v>
      </c>
      <c r="F48" s="2" t="str">
        <f ca="1">_xlfn.XLOOKUP(C48,Customers!A:A,Customers!B:B)</f>
        <v>PT Global Nusantara</v>
      </c>
      <c r="G48" s="2" t="str">
        <f ca="1">_xlfn.XLOOKUP(D48,Products!A:A,Products!B:B)</f>
        <v>Webcam Logitech</v>
      </c>
      <c r="H48" s="2" t="str">
        <f ca="1">_xlfn.XLOOKUP(E48,SalesPerson!A:A,SalesPerson!B:B)</f>
        <v>Qori Amanda</v>
      </c>
      <c r="I48" s="2" t="str">
        <f ca="1">_xlfn.XLOOKUP(E48,SalesPerson!A:A,SalesPerson!C:C)</f>
        <v>Pontianak</v>
      </c>
      <c r="J48" s="2">
        <f t="shared" ca="1" si="5"/>
        <v>5</v>
      </c>
      <c r="K48" s="2">
        <f ca="1">_xlfn.XLOOKUP(D48,Products!A:A,Products!D:D)</f>
        <v>680000</v>
      </c>
      <c r="L48" s="2">
        <f ca="1">_xlfn.XLOOKUP(D48,Products!A:A,Products!E:E)</f>
        <v>520000</v>
      </c>
      <c r="M48" s="2">
        <f t="shared" ca="1" si="6"/>
        <v>3400000</v>
      </c>
      <c r="N48" s="2">
        <f t="shared" ca="1" si="7"/>
        <v>2600000</v>
      </c>
      <c r="O48" s="3">
        <f t="shared" ca="1" si="8"/>
        <v>800000</v>
      </c>
      <c r="P48" s="2" t="str">
        <f ca="1">_xlfn.XLOOKUP(D48,Products!A:A,Products!C:C)</f>
        <v>Accessories</v>
      </c>
    </row>
    <row r="49" spans="1:16" ht="28.8" x14ac:dyDescent="0.3">
      <c r="A49" t="str">
        <f t="shared" ca="1" si="1"/>
        <v>0041</v>
      </c>
      <c r="B49" s="13">
        <v>45766</v>
      </c>
      <c r="C49" s="2" t="str" cm="1">
        <f t="array" aca="1" ref="C49" ca="1">INDEX(Customers!A:A,RANDBETWEEN(2,20))</f>
        <v>C012</v>
      </c>
      <c r="D49" s="2" t="str" cm="1">
        <f t="array" aca="1" ref="D49" ca="1">INDEX(Products!A:A,RANDBETWEEN(2,101))</f>
        <v>P068</v>
      </c>
      <c r="E49" s="2" t="str" cm="1">
        <f t="array" aca="1" ref="E49" ca="1">INDEX(SalesPerson!A:A,RANDBETWEEN(2,21))</f>
        <v>S001</v>
      </c>
      <c r="F49" s="2" t="str">
        <f ca="1">_xlfn.XLOOKUP(C49,Customers!A:A,Customers!B:B)</f>
        <v>PT Sukses Makmur</v>
      </c>
      <c r="G49" s="2" t="str">
        <f ca="1">_xlfn.XLOOKUP(D49,Products!A:A,Products!B:B)</f>
        <v>SSD 1TB Kingston</v>
      </c>
      <c r="H49" s="2" t="str">
        <f ca="1">_xlfn.XLOOKUP(E49,SalesPerson!A:A,SalesPerson!B:B)</f>
        <v>Andi Pratama</v>
      </c>
      <c r="I49" s="2" t="str">
        <f ca="1">_xlfn.XLOOKUP(E49,SalesPerson!A:A,SalesPerson!C:C)</f>
        <v>Jakarta</v>
      </c>
      <c r="J49" s="2">
        <f t="shared" ca="1" si="5"/>
        <v>7</v>
      </c>
      <c r="K49" s="2">
        <f ca="1">_xlfn.XLOOKUP(D49,Products!A:A,Products!D:D)</f>
        <v>1250000</v>
      </c>
      <c r="L49" s="2">
        <f ca="1">_xlfn.XLOOKUP(D49,Products!A:A,Products!E:E)</f>
        <v>980000</v>
      </c>
      <c r="M49" s="2">
        <f t="shared" ca="1" si="6"/>
        <v>8750000</v>
      </c>
      <c r="N49" s="2">
        <f t="shared" ca="1" si="7"/>
        <v>6860000</v>
      </c>
      <c r="O49" s="3">
        <f t="shared" ca="1" si="8"/>
        <v>1890000</v>
      </c>
      <c r="P49" s="2" t="str">
        <f ca="1">_xlfn.XLOOKUP(D49,Products!A:A,Products!C:C)</f>
        <v>Storage</v>
      </c>
    </row>
    <row r="50" spans="1:16" x14ac:dyDescent="0.3">
      <c r="A50" t="str">
        <f t="shared" ca="1" si="1"/>
        <v>0059</v>
      </c>
      <c r="B50" s="13">
        <v>45767</v>
      </c>
      <c r="C50" s="2" t="str" cm="1">
        <f t="array" aca="1" ref="C50" ca="1">INDEX(Customers!A:A,RANDBETWEEN(2,20))</f>
        <v>C017</v>
      </c>
      <c r="D50" s="2" t="str" cm="1">
        <f t="array" aca="1" ref="D50" ca="1">INDEX(Products!A:A,RANDBETWEEN(2,101))</f>
        <v>P088</v>
      </c>
      <c r="E50" s="2" t="str" cm="1">
        <f t="array" aca="1" ref="E50" ca="1">INDEX(SalesPerson!A:A,RANDBETWEEN(2,21))</f>
        <v>S014</v>
      </c>
      <c r="F50" s="2" t="str">
        <f ca="1">_xlfn.XLOOKUP(C50,Customers!A:A,Customers!B:B)</f>
        <v>CV Berkah Mandiri</v>
      </c>
      <c r="G50" s="2" t="str">
        <f ca="1">_xlfn.XLOOKUP(D50,Products!A:A,Products!B:B)</f>
        <v>SSD 1TB Kingston</v>
      </c>
      <c r="H50" s="2" t="str">
        <f ca="1">_xlfn.XLOOKUP(E50,SalesPerson!A:A,SalesPerson!B:B)</f>
        <v>Nanda Prasetyo</v>
      </c>
      <c r="I50" s="2" t="str">
        <f ca="1">_xlfn.XLOOKUP(E50,SalesPerson!A:A,SalesPerson!C:C)</f>
        <v>Malang</v>
      </c>
      <c r="J50" s="2">
        <f t="shared" ca="1" si="5"/>
        <v>8</v>
      </c>
      <c r="K50" s="2">
        <f ca="1">_xlfn.XLOOKUP(D50,Products!A:A,Products!D:D)</f>
        <v>1250000</v>
      </c>
      <c r="L50" s="2">
        <f ca="1">_xlfn.XLOOKUP(D50,Products!A:A,Products!E:E)</f>
        <v>980000</v>
      </c>
      <c r="M50" s="2">
        <f t="shared" ca="1" si="6"/>
        <v>10000000</v>
      </c>
      <c r="N50" s="2">
        <f t="shared" ca="1" si="7"/>
        <v>7840000</v>
      </c>
      <c r="O50" s="3">
        <f t="shared" ca="1" si="8"/>
        <v>2160000</v>
      </c>
      <c r="P50" s="2" t="str">
        <f ca="1">_xlfn.XLOOKUP(D50,Products!A:A,Products!C:C)</f>
        <v>Storage</v>
      </c>
    </row>
    <row r="51" spans="1:16" x14ac:dyDescent="0.3">
      <c r="A51" t="str">
        <f t="shared" ca="1" si="1"/>
        <v>0059</v>
      </c>
      <c r="B51" s="13">
        <v>45768</v>
      </c>
      <c r="C51" s="2" t="str" cm="1">
        <f t="array" aca="1" ref="C51" ca="1">INDEX(Customers!A:A,RANDBETWEEN(2,20))</f>
        <v>C017</v>
      </c>
      <c r="D51" s="2" t="str" cm="1">
        <f t="array" aca="1" ref="D51" ca="1">INDEX(Products!A:A,RANDBETWEEN(2,101))</f>
        <v>P078</v>
      </c>
      <c r="E51" s="2" t="str" cm="1">
        <f t="array" aca="1" ref="E51" ca="1">INDEX(SalesPerson!A:A,RANDBETWEEN(2,21))</f>
        <v>S001</v>
      </c>
      <c r="F51" s="2" t="str">
        <f ca="1">_xlfn.XLOOKUP(C51,Customers!A:A,Customers!B:B)</f>
        <v>CV Berkah Mandiri</v>
      </c>
      <c r="G51" s="2" t="str">
        <f ca="1">_xlfn.XLOOKUP(D51,Products!A:A,Products!B:B)</f>
        <v>RAM DDR4 16GB</v>
      </c>
      <c r="H51" s="2" t="str">
        <f ca="1">_xlfn.XLOOKUP(E51,SalesPerson!A:A,SalesPerson!B:B)</f>
        <v>Andi Pratama</v>
      </c>
      <c r="I51" s="2" t="str">
        <f ca="1">_xlfn.XLOOKUP(E51,SalesPerson!A:A,SalesPerson!C:C)</f>
        <v>Jakarta</v>
      </c>
      <c r="J51" s="2">
        <f t="shared" ca="1" si="5"/>
        <v>6</v>
      </c>
      <c r="K51" s="2">
        <f ca="1">_xlfn.XLOOKUP(D51,Products!A:A,Products!D:D)</f>
        <v>980000</v>
      </c>
      <c r="L51" s="2">
        <f ca="1">_xlfn.XLOOKUP(D51,Products!A:A,Products!E:E)</f>
        <v>780000</v>
      </c>
      <c r="M51" s="2">
        <f t="shared" ca="1" si="6"/>
        <v>5880000</v>
      </c>
      <c r="N51" s="2">
        <f t="shared" ca="1" si="7"/>
        <v>4680000</v>
      </c>
      <c r="O51" s="3">
        <f t="shared" ca="1" si="8"/>
        <v>1200000</v>
      </c>
      <c r="P51" s="2" t="str">
        <f ca="1">_xlfn.XLOOKUP(D51,Products!A:A,Products!C:C)</f>
        <v>Components</v>
      </c>
    </row>
    <row r="52" spans="1:16" ht="28.8" x14ac:dyDescent="0.3">
      <c r="A52" t="str">
        <f t="shared" ca="1" si="1"/>
        <v>0082</v>
      </c>
      <c r="B52" s="13">
        <v>45769</v>
      </c>
      <c r="C52" s="2" t="str" cm="1">
        <f t="array" aca="1" ref="C52" ca="1">INDEX(Customers!A:A,RANDBETWEEN(2,20))</f>
        <v>C014</v>
      </c>
      <c r="D52" s="2" t="str" cm="1">
        <f t="array" aca="1" ref="D52" ca="1">INDEX(Products!A:A,RANDBETWEEN(2,101))</f>
        <v>P053</v>
      </c>
      <c r="E52" s="2" t="str" cm="1">
        <f t="array" aca="1" ref="E52" ca="1">INDEX(SalesPerson!A:A,RANDBETWEEN(2,21))</f>
        <v>S010</v>
      </c>
      <c r="F52" s="2" t="str">
        <f ca="1">_xlfn.XLOOKUP(C52,Customers!A:A,Customers!B:B)</f>
        <v>CV Nusantara Jaya</v>
      </c>
      <c r="G52" s="2" t="str">
        <f ca="1">_xlfn.XLOOKUP(D52,Products!A:A,Products!B:B)</f>
        <v>Headset HyperX</v>
      </c>
      <c r="H52" s="2" t="str">
        <f ca="1">_xlfn.XLOOKUP(E52,SalesPerson!A:A,SalesPerson!B:B)</f>
        <v>Joko Susilo</v>
      </c>
      <c r="I52" s="2" t="str">
        <f ca="1">_xlfn.XLOOKUP(E52,SalesPerson!A:A,SalesPerson!C:C)</f>
        <v>Bekasi</v>
      </c>
      <c r="J52" s="2">
        <f t="shared" ca="1" si="5"/>
        <v>7</v>
      </c>
      <c r="K52" s="2">
        <f ca="1">_xlfn.XLOOKUP(D52,Products!A:A,Products!D:D)</f>
        <v>890000</v>
      </c>
      <c r="L52" s="2">
        <f ca="1">_xlfn.XLOOKUP(D52,Products!A:A,Products!E:E)</f>
        <v>690000</v>
      </c>
      <c r="M52" s="2">
        <f t="shared" ca="1" si="6"/>
        <v>6230000</v>
      </c>
      <c r="N52" s="2">
        <f t="shared" ca="1" si="7"/>
        <v>4830000</v>
      </c>
      <c r="O52" s="3">
        <f t="shared" ca="1" si="8"/>
        <v>1400000</v>
      </c>
      <c r="P52" s="2" t="str">
        <f ca="1">_xlfn.XLOOKUP(D52,Products!A:A,Products!C:C)</f>
        <v>Accessories</v>
      </c>
    </row>
    <row r="53" spans="1:16" ht="28.8" x14ac:dyDescent="0.3">
      <c r="A53" t="str">
        <f t="shared" ca="1" si="1"/>
        <v>0054</v>
      </c>
      <c r="B53" s="13">
        <v>45770</v>
      </c>
      <c r="C53" s="2" t="str" cm="1">
        <f t="array" aca="1" ref="C53" ca="1">INDEX(Customers!A:A,RANDBETWEEN(2,20))</f>
        <v>C016</v>
      </c>
      <c r="D53" s="2" t="str" cm="1">
        <f t="array" aca="1" ref="D53" ca="1">INDEX(Products!A:A,RANDBETWEEN(2,101))</f>
        <v>P098</v>
      </c>
      <c r="E53" s="2" t="str" cm="1">
        <f t="array" aca="1" ref="E53" ca="1">INDEX(SalesPerson!A:A,RANDBETWEEN(2,21))</f>
        <v>S019</v>
      </c>
      <c r="F53" s="2" t="str">
        <f ca="1">_xlfn.XLOOKUP(C53,Customers!A:A,Customers!B:B)</f>
        <v>PT Global Nusantara</v>
      </c>
      <c r="G53" s="2" t="str">
        <f ca="1">_xlfn.XLOOKUP(D53,Products!A:A,Products!B:B)</f>
        <v>RAM DDR4 16GB</v>
      </c>
      <c r="H53" s="2" t="str">
        <f ca="1">_xlfn.XLOOKUP(E53,SalesPerson!A:A,SalesPerson!B:B)</f>
        <v>Sinta Maharani</v>
      </c>
      <c r="I53" s="2" t="str">
        <f ca="1">_xlfn.XLOOKUP(E53,SalesPerson!A:A,SalesPerson!C:C)</f>
        <v>Solo</v>
      </c>
      <c r="J53" s="2">
        <f t="shared" ca="1" si="5"/>
        <v>7</v>
      </c>
      <c r="K53" s="2">
        <f ca="1">_xlfn.XLOOKUP(D53,Products!A:A,Products!D:D)</f>
        <v>980000</v>
      </c>
      <c r="L53" s="2">
        <f ca="1">_xlfn.XLOOKUP(D53,Products!A:A,Products!E:E)</f>
        <v>780000</v>
      </c>
      <c r="M53" s="2">
        <f t="shared" ca="1" si="6"/>
        <v>6860000</v>
      </c>
      <c r="N53" s="2">
        <f t="shared" ca="1" si="7"/>
        <v>5460000</v>
      </c>
      <c r="O53" s="3">
        <f t="shared" ca="1" si="8"/>
        <v>1400000</v>
      </c>
      <c r="P53" s="2" t="str">
        <f ca="1">_xlfn.XLOOKUP(D53,Products!A:A,Products!C:C)</f>
        <v>Components</v>
      </c>
    </row>
    <row r="54" spans="1:16" x14ac:dyDescent="0.3">
      <c r="A54" t="str">
        <f t="shared" ca="1" si="1"/>
        <v>0008</v>
      </c>
      <c r="B54" s="13">
        <v>45771</v>
      </c>
      <c r="C54" s="2" t="str" cm="1">
        <f t="array" aca="1" ref="C54" ca="1">INDEX(Customers!A:A,RANDBETWEEN(2,20))</f>
        <v>C005</v>
      </c>
      <c r="D54" s="2" t="str" cm="1">
        <f t="array" aca="1" ref="D54" ca="1">INDEX(Products!A:A,RANDBETWEEN(2,101))</f>
        <v>P087</v>
      </c>
      <c r="E54" s="2" t="str" cm="1">
        <f t="array" aca="1" ref="E54" ca="1">INDEX(SalesPerson!A:A,RANDBETWEEN(2,21))</f>
        <v>S001</v>
      </c>
      <c r="F54" s="2" t="str">
        <f ca="1">_xlfn.XLOOKUP(C54,Customers!A:A,Customers!B:B)</f>
        <v>PT Berkah Sejahtera</v>
      </c>
      <c r="G54" s="2" t="str">
        <f ca="1">_xlfn.XLOOKUP(D54,Products!A:A,Products!B:B)</f>
        <v>Wireless Mouse Logitech</v>
      </c>
      <c r="H54" s="2" t="str">
        <f ca="1">_xlfn.XLOOKUP(E54,SalesPerson!A:A,SalesPerson!B:B)</f>
        <v>Andi Pratama</v>
      </c>
      <c r="I54" s="2" t="str">
        <f ca="1">_xlfn.XLOOKUP(E54,SalesPerson!A:A,SalesPerson!C:C)</f>
        <v>Jakarta</v>
      </c>
      <c r="J54" s="2">
        <f t="shared" ca="1" si="5"/>
        <v>3</v>
      </c>
      <c r="K54" s="2">
        <f ca="1">_xlfn.XLOOKUP(D54,Products!A:A,Products!D:D)</f>
        <v>250000</v>
      </c>
      <c r="L54" s="2">
        <f ca="1">_xlfn.XLOOKUP(D54,Products!A:A,Products!E:E)</f>
        <v>150000</v>
      </c>
      <c r="M54" s="2">
        <f t="shared" ca="1" si="6"/>
        <v>750000</v>
      </c>
      <c r="N54" s="2">
        <f t="shared" ca="1" si="7"/>
        <v>450000</v>
      </c>
      <c r="O54" s="3">
        <f t="shared" ca="1" si="8"/>
        <v>300000</v>
      </c>
      <c r="P54" s="2" t="str">
        <f ca="1">_xlfn.XLOOKUP(D54,Products!A:A,Products!C:C)</f>
        <v>Accessories</v>
      </c>
    </row>
    <row r="55" spans="1:16" ht="28.8" x14ac:dyDescent="0.3">
      <c r="A55" t="str">
        <f t="shared" ca="1" si="1"/>
        <v>0046</v>
      </c>
      <c r="B55" s="13">
        <v>45772</v>
      </c>
      <c r="C55" s="2" t="str" cm="1">
        <f t="array" aca="1" ref="C55" ca="1">INDEX(Customers!A:A,RANDBETWEEN(2,20))</f>
        <v>C017</v>
      </c>
      <c r="D55" s="2" t="str" cm="1">
        <f t="array" aca="1" ref="D55" ca="1">INDEX(Products!A:A,RANDBETWEEN(2,101))</f>
        <v>P077</v>
      </c>
      <c r="E55" s="2" t="str" cm="1">
        <f t="array" aca="1" ref="E55" ca="1">INDEX(SalesPerson!A:A,RANDBETWEEN(2,21))</f>
        <v>S018</v>
      </c>
      <c r="F55" s="2" t="str">
        <f ca="1">_xlfn.XLOOKUP(C55,Customers!A:A,Customers!B:B)</f>
        <v>CV Berkah Mandiri</v>
      </c>
      <c r="G55" s="2" t="str">
        <f ca="1">_xlfn.XLOOKUP(D55,Products!A:A,Products!B:B)</f>
        <v>External HDD 2TB</v>
      </c>
      <c r="H55" s="2" t="str">
        <f ca="1">_xlfn.XLOOKUP(E55,SalesPerson!A:A,SalesPerson!B:B)</f>
        <v>Rian Kurniawan</v>
      </c>
      <c r="I55" s="2" t="str">
        <f ca="1">_xlfn.XLOOKUP(E55,SalesPerson!A:A,SalesPerson!C:C)</f>
        <v>Banjarmasin</v>
      </c>
      <c r="J55" s="2">
        <f t="shared" ca="1" si="5"/>
        <v>10</v>
      </c>
      <c r="K55" s="2">
        <f ca="1">_xlfn.XLOOKUP(D55,Products!A:A,Products!D:D)</f>
        <v>1650000</v>
      </c>
      <c r="L55" s="2">
        <f ca="1">_xlfn.XLOOKUP(D55,Products!A:A,Products!E:E)</f>
        <v>1350000</v>
      </c>
      <c r="M55" s="2">
        <f t="shared" ca="1" si="6"/>
        <v>16500000</v>
      </c>
      <c r="N55" s="2">
        <f t="shared" ca="1" si="7"/>
        <v>13500000</v>
      </c>
      <c r="O55" s="3">
        <f t="shared" ca="1" si="8"/>
        <v>3000000</v>
      </c>
      <c r="P55" s="2" t="str">
        <f ca="1">_xlfn.XLOOKUP(D55,Products!A:A,Products!C:C)</f>
        <v>Storage</v>
      </c>
    </row>
    <row r="56" spans="1:16" ht="28.8" x14ac:dyDescent="0.3">
      <c r="A56" t="str">
        <f t="shared" ca="1" si="1"/>
        <v>0096</v>
      </c>
      <c r="B56" s="13">
        <v>45773</v>
      </c>
      <c r="C56" s="2" t="str" cm="1">
        <f t="array" aca="1" ref="C56" ca="1">INDEX(Customers!A:A,RANDBETWEEN(2,20))</f>
        <v>C003</v>
      </c>
      <c r="D56" s="2" t="str" cm="1">
        <f t="array" aca="1" ref="D56" ca="1">INDEX(Products!A:A,RANDBETWEEN(2,101))</f>
        <v>P075</v>
      </c>
      <c r="E56" s="2" t="str" cm="1">
        <f t="array" aca="1" ref="E56" ca="1">INDEX(SalesPerson!A:A,RANDBETWEEN(2,21))</f>
        <v>S003</v>
      </c>
      <c r="F56" s="2" t="str">
        <f ca="1">_xlfn.XLOOKUP(C56,Customers!A:A,Customers!B:B)</f>
        <v>CV Sinar Teknologi</v>
      </c>
      <c r="G56" s="2" t="str">
        <f ca="1">_xlfn.XLOOKUP(D56,Products!A:A,Products!B:B)</f>
        <v>UPS APC 650VA</v>
      </c>
      <c r="H56" s="2" t="str">
        <f ca="1">_xlfn.XLOOKUP(E56,SalesPerson!A:A,SalesPerson!B:B)</f>
        <v>Citra Lestari</v>
      </c>
      <c r="I56" s="2" t="str">
        <f ca="1">_xlfn.XLOOKUP(E56,SalesPerson!A:A,SalesPerson!C:C)</f>
        <v>Surabaya</v>
      </c>
      <c r="J56" s="2">
        <f t="shared" ca="1" si="5"/>
        <v>10</v>
      </c>
      <c r="K56" s="2">
        <f ca="1">_xlfn.XLOOKUP(D56,Products!A:A,Products!D:D)</f>
        <v>950000</v>
      </c>
      <c r="L56" s="2">
        <f ca="1">_xlfn.XLOOKUP(D56,Products!A:A,Products!E:E)</f>
        <v>760000</v>
      </c>
      <c r="M56" s="2">
        <f t="shared" ca="1" si="6"/>
        <v>9500000</v>
      </c>
      <c r="N56" s="2">
        <f t="shared" ca="1" si="7"/>
        <v>7600000</v>
      </c>
      <c r="O56" s="3">
        <f t="shared" ca="1" si="8"/>
        <v>1900000</v>
      </c>
      <c r="P56" s="2" t="str">
        <f ca="1">_xlfn.XLOOKUP(D56,Products!A:A,Products!C:C)</f>
        <v>Power</v>
      </c>
    </row>
    <row r="57" spans="1:16" ht="28.8" x14ac:dyDescent="0.3">
      <c r="A57" t="str">
        <f t="shared" ca="1" si="1"/>
        <v>0038</v>
      </c>
      <c r="B57" s="13">
        <v>45774</v>
      </c>
      <c r="C57" s="2" t="str" cm="1">
        <f t="array" aca="1" ref="C57" ca="1">INDEX(Customers!A:A,RANDBETWEEN(2,20))</f>
        <v>C001</v>
      </c>
      <c r="D57" s="2" t="str" cm="1">
        <f t="array" aca="1" ref="D57" ca="1">INDEX(Products!A:A,RANDBETWEEN(2,101))</f>
        <v>P081</v>
      </c>
      <c r="E57" s="2" t="str" cm="1">
        <f t="array" aca="1" ref="E57" ca="1">INDEX(SalesPerson!A:A,RANDBETWEEN(2,21))</f>
        <v>S002</v>
      </c>
      <c r="F57" s="2" t="str">
        <f ca="1">_xlfn.XLOOKUP(C57,Customers!A:A,Customers!B:B)</f>
        <v>PT Maju Jaya</v>
      </c>
      <c r="G57" s="2" t="str">
        <f ca="1">_xlfn.XLOOKUP(D57,Products!A:A,Products!B:B)</f>
        <v>Laptop ASUS Vivobook</v>
      </c>
      <c r="H57" s="2" t="str">
        <f ca="1">_xlfn.XLOOKUP(E57,SalesPerson!A:A,SalesPerson!B:B)</f>
        <v>Budi Santoso</v>
      </c>
      <c r="I57" s="2" t="str">
        <f ca="1">_xlfn.XLOOKUP(E57,SalesPerson!A:A,SalesPerson!C:C)</f>
        <v>Bandung</v>
      </c>
      <c r="J57" s="2">
        <f t="shared" ca="1" si="5"/>
        <v>3</v>
      </c>
      <c r="K57" s="2">
        <f ca="1">_xlfn.XLOOKUP(D57,Products!A:A,Products!D:D)</f>
        <v>8500000</v>
      </c>
      <c r="L57" s="2">
        <f ca="1">_xlfn.XLOOKUP(D57,Products!A:A,Products!E:E)</f>
        <v>7200000</v>
      </c>
      <c r="M57" s="2">
        <f t="shared" ca="1" si="6"/>
        <v>25500000</v>
      </c>
      <c r="N57" s="2">
        <f t="shared" ca="1" si="7"/>
        <v>21600000</v>
      </c>
      <c r="O57" s="3">
        <f t="shared" ca="1" si="8"/>
        <v>3900000</v>
      </c>
      <c r="P57" s="2" t="str">
        <f ca="1">_xlfn.XLOOKUP(D57,Products!A:A,Products!C:C)</f>
        <v>Laptop</v>
      </c>
    </row>
    <row r="58" spans="1:16" ht="28.8" x14ac:dyDescent="0.3">
      <c r="A58" t="str">
        <f t="shared" ca="1" si="1"/>
        <v>0034</v>
      </c>
      <c r="B58" s="13">
        <v>45775</v>
      </c>
      <c r="C58" s="2" t="str" cm="1">
        <f t="array" aca="1" ref="C58" ca="1">INDEX(Customers!A:A,RANDBETWEEN(2,20))</f>
        <v>C013</v>
      </c>
      <c r="D58" s="2" t="str" cm="1">
        <f t="array" aca="1" ref="D58" ca="1">INDEX(Products!A:A,RANDBETWEEN(2,101))</f>
        <v>P061</v>
      </c>
      <c r="E58" s="2" t="str" cm="1">
        <f t="array" aca="1" ref="E58" ca="1">INDEX(SalesPerson!A:A,RANDBETWEEN(2,21))</f>
        <v>S012</v>
      </c>
      <c r="F58" s="2" t="str">
        <f ca="1">_xlfn.XLOOKUP(C58,Customers!A:A,Customers!B:B)</f>
        <v>PT Prima Teknologi</v>
      </c>
      <c r="G58" s="2" t="str">
        <f ca="1">_xlfn.XLOOKUP(D58,Products!A:A,Products!B:B)</f>
        <v>Laptop ASUS Vivobook</v>
      </c>
      <c r="H58" s="2" t="str">
        <f ca="1">_xlfn.XLOOKUP(E58,SalesPerson!A:A,SalesPerson!B:B)</f>
        <v>Lestari Wulandari</v>
      </c>
      <c r="I58" s="2" t="str">
        <f ca="1">_xlfn.XLOOKUP(E58,SalesPerson!A:A,SalesPerson!C:C)</f>
        <v>Depok</v>
      </c>
      <c r="J58" s="2">
        <f t="shared" ca="1" si="5"/>
        <v>7</v>
      </c>
      <c r="K58" s="2">
        <f ca="1">_xlfn.XLOOKUP(D58,Products!A:A,Products!D:D)</f>
        <v>8500000</v>
      </c>
      <c r="L58" s="2">
        <f ca="1">_xlfn.XLOOKUP(D58,Products!A:A,Products!E:E)</f>
        <v>7200000</v>
      </c>
      <c r="M58" s="2">
        <f t="shared" ca="1" si="6"/>
        <v>59500000</v>
      </c>
      <c r="N58" s="2">
        <f t="shared" ca="1" si="7"/>
        <v>50400000</v>
      </c>
      <c r="O58" s="3">
        <f t="shared" ca="1" si="8"/>
        <v>9100000</v>
      </c>
      <c r="P58" s="2" t="str">
        <f ca="1">_xlfn.XLOOKUP(D58,Products!A:A,Products!C:C)</f>
        <v>Laptop</v>
      </c>
    </row>
    <row r="59" spans="1:16" ht="28.8" x14ac:dyDescent="0.3">
      <c r="A59" t="str">
        <f t="shared" ca="1" si="1"/>
        <v>0052</v>
      </c>
      <c r="B59" s="13">
        <v>45776</v>
      </c>
      <c r="C59" s="2" t="str" cm="1">
        <f t="array" aca="1" ref="C59" ca="1">INDEX(Customers!A:A,RANDBETWEEN(2,20))</f>
        <v>C003</v>
      </c>
      <c r="D59" s="2" t="str" cm="1">
        <f t="array" aca="1" ref="D59" ca="1">INDEX(Products!A:A,RANDBETWEEN(2,101))</f>
        <v>P035</v>
      </c>
      <c r="E59" s="2" t="str" cm="1">
        <f t="array" aca="1" ref="E59" ca="1">INDEX(SalesPerson!A:A,RANDBETWEEN(2,21))</f>
        <v>S009</v>
      </c>
      <c r="F59" s="2" t="str">
        <f ca="1">_xlfn.XLOOKUP(C59,Customers!A:A,Customers!B:B)</f>
        <v>CV Sinar Teknologi</v>
      </c>
      <c r="G59" s="2" t="str">
        <f ca="1">_xlfn.XLOOKUP(D59,Products!A:A,Products!B:B)</f>
        <v>UPS APC 650VA</v>
      </c>
      <c r="H59" s="2" t="str">
        <f ca="1">_xlfn.XLOOKUP(E59,SalesPerson!A:A,SalesPerson!B:B)</f>
        <v>Intan Permata</v>
      </c>
      <c r="I59" s="2" t="str">
        <f ca="1">_xlfn.XLOOKUP(E59,SalesPerson!A:A,SalesPerson!C:C)</f>
        <v>Palembang</v>
      </c>
      <c r="J59" s="2">
        <f t="shared" ca="1" si="5"/>
        <v>6</v>
      </c>
      <c r="K59" s="2">
        <f ca="1">_xlfn.XLOOKUP(D59,Products!A:A,Products!D:D)</f>
        <v>950000</v>
      </c>
      <c r="L59" s="2">
        <f ca="1">_xlfn.XLOOKUP(D59,Products!A:A,Products!E:E)</f>
        <v>760000</v>
      </c>
      <c r="M59" s="2">
        <f t="shared" ca="1" si="6"/>
        <v>5700000</v>
      </c>
      <c r="N59" s="2">
        <f t="shared" ca="1" si="7"/>
        <v>4560000</v>
      </c>
      <c r="O59" s="3">
        <f t="shared" ca="1" si="8"/>
        <v>1140000</v>
      </c>
      <c r="P59" s="2" t="str">
        <f ca="1">_xlfn.XLOOKUP(D59,Products!A:A,Products!C:C)</f>
        <v>Power</v>
      </c>
    </row>
    <row r="60" spans="1:16" ht="28.8" x14ac:dyDescent="0.3">
      <c r="A60" t="str">
        <f t="shared" ca="1" si="1"/>
        <v>0036</v>
      </c>
      <c r="B60" s="13">
        <v>45777</v>
      </c>
      <c r="C60" s="2" t="str" cm="1">
        <f t="array" aca="1" ref="C60" ca="1">INDEX(Customers!A:A,RANDBETWEEN(2,20))</f>
        <v>C018</v>
      </c>
      <c r="D60" s="2" t="str" cm="1">
        <f t="array" aca="1" ref="D60" ca="1">INDEX(Products!A:A,RANDBETWEEN(2,101))</f>
        <v>P083</v>
      </c>
      <c r="E60" s="2" t="str" cm="1">
        <f t="array" aca="1" ref="E60" ca="1">INDEX(SalesPerson!A:A,RANDBETWEEN(2,21))</f>
        <v>S019</v>
      </c>
      <c r="F60" s="2" t="str">
        <f ca="1">_xlfn.XLOOKUP(C60,Customers!A:A,Customers!B:B)</f>
        <v>PT Indo Retail</v>
      </c>
      <c r="G60" s="2" t="str">
        <f ca="1">_xlfn.XLOOKUP(D60,Products!A:A,Products!B:B)</f>
        <v>Laptop HP 18</v>
      </c>
      <c r="H60" s="2" t="str">
        <f ca="1">_xlfn.XLOOKUP(E60,SalesPerson!A:A,SalesPerson!B:B)</f>
        <v>Sinta Maharani</v>
      </c>
      <c r="I60" s="2" t="str">
        <f ca="1">_xlfn.XLOOKUP(E60,SalesPerson!A:A,SalesPerson!C:C)</f>
        <v>Solo</v>
      </c>
      <c r="J60" s="2">
        <f t="shared" ca="1" si="5"/>
        <v>5</v>
      </c>
      <c r="K60" s="2">
        <f ca="1">_xlfn.XLOOKUP(D60,Products!A:A,Products!D:D)</f>
        <v>7800000</v>
      </c>
      <c r="L60" s="2">
        <f ca="1">_xlfn.XLOOKUP(D60,Products!A:A,Products!E:E)</f>
        <v>6500000</v>
      </c>
      <c r="M60" s="2">
        <f t="shared" ca="1" si="6"/>
        <v>39000000</v>
      </c>
      <c r="N60" s="2">
        <f t="shared" ca="1" si="7"/>
        <v>32500000</v>
      </c>
      <c r="O60" s="3">
        <f t="shared" ca="1" si="8"/>
        <v>6500000</v>
      </c>
      <c r="P60" s="2" t="str">
        <f ca="1">_xlfn.XLOOKUP(D60,Products!A:A,Products!C:C)</f>
        <v>Laptop</v>
      </c>
    </row>
    <row r="61" spans="1:16" ht="28.8" x14ac:dyDescent="0.3">
      <c r="A61" t="str">
        <f t="shared" ca="1" si="1"/>
        <v>0091</v>
      </c>
      <c r="B61" s="13">
        <v>45778</v>
      </c>
      <c r="C61" s="2" t="str" cm="1">
        <f t="array" aca="1" ref="C61" ca="1">INDEX(Customers!A:A,RANDBETWEEN(2,20))</f>
        <v>C016</v>
      </c>
      <c r="D61" s="2" t="str" cm="1">
        <f t="array" aca="1" ref="D61" ca="1">INDEX(Products!A:A,RANDBETWEEN(2,101))</f>
        <v>P082</v>
      </c>
      <c r="E61" s="2" t="str" cm="1">
        <f t="array" aca="1" ref="E61" ca="1">INDEX(SalesPerson!A:A,RANDBETWEEN(2,21))</f>
        <v>S013</v>
      </c>
      <c r="F61" s="2" t="str">
        <f ca="1">_xlfn.XLOOKUP(C61,Customers!A:A,Customers!B:B)</f>
        <v>PT Global Nusantara</v>
      </c>
      <c r="G61" s="2" t="str">
        <f ca="1">_xlfn.XLOOKUP(D61,Products!A:A,Products!B:B)</f>
        <v>Laptop Lenovo IdeaPad</v>
      </c>
      <c r="H61" s="2" t="str">
        <f ca="1">_xlfn.XLOOKUP(E61,SalesPerson!A:A,SalesPerson!B:B)</f>
        <v>Muhammad Rizki</v>
      </c>
      <c r="I61" s="2" t="str">
        <f ca="1">_xlfn.XLOOKUP(E61,SalesPerson!A:A,SalesPerson!C:C)</f>
        <v>Bogor</v>
      </c>
      <c r="J61" s="2">
        <f t="shared" ca="1" si="5"/>
        <v>3</v>
      </c>
      <c r="K61" s="2">
        <f ca="1">_xlfn.XLOOKUP(D61,Products!A:A,Products!D:D)</f>
        <v>9200000</v>
      </c>
      <c r="L61" s="2">
        <f ca="1">_xlfn.XLOOKUP(D61,Products!A:A,Products!E:E)</f>
        <v>7900000</v>
      </c>
      <c r="M61" s="2">
        <f t="shared" ca="1" si="6"/>
        <v>27600000</v>
      </c>
      <c r="N61" s="2">
        <f t="shared" ca="1" si="7"/>
        <v>23700000</v>
      </c>
      <c r="O61" s="3">
        <f t="shared" ca="1" si="8"/>
        <v>3900000</v>
      </c>
      <c r="P61" s="2" t="str">
        <f ca="1">_xlfn.XLOOKUP(D61,Products!A:A,Products!C:C)</f>
        <v>Laptop</v>
      </c>
    </row>
    <row r="62" spans="1:16" ht="28.8" x14ac:dyDescent="0.3">
      <c r="A62" t="str">
        <f t="shared" ca="1" si="1"/>
        <v>0046</v>
      </c>
      <c r="B62" s="13">
        <v>45779</v>
      </c>
      <c r="C62" s="2" t="str" cm="1">
        <f t="array" aca="1" ref="C62" ca="1">INDEX(Customers!A:A,RANDBETWEEN(2,20))</f>
        <v>C010</v>
      </c>
      <c r="D62" s="2" t="str" cm="1">
        <f t="array" aca="1" ref="D62" ca="1">INDEX(Products!A:A,RANDBETWEEN(2,101))</f>
        <v>P036</v>
      </c>
      <c r="E62" s="2" t="str" cm="1">
        <f t="array" aca="1" ref="E62" ca="1">INDEX(SalesPerson!A:A,RANDBETWEEN(2,21))</f>
        <v>S009</v>
      </c>
      <c r="F62" s="2" t="str">
        <f ca="1">_xlfn.XLOOKUP(C62,Customers!A:A,Customers!B:B)</f>
        <v>PT Bintang Timur</v>
      </c>
      <c r="G62" s="2" t="str">
        <f ca="1">_xlfn.XLOOKUP(D62,Products!A:A,Products!B:B)</f>
        <v>Router TP-Link</v>
      </c>
      <c r="H62" s="2" t="str">
        <f ca="1">_xlfn.XLOOKUP(E62,SalesPerson!A:A,SalesPerson!B:B)</f>
        <v>Intan Permata</v>
      </c>
      <c r="I62" s="2" t="str">
        <f ca="1">_xlfn.XLOOKUP(E62,SalesPerson!A:A,SalesPerson!C:C)</f>
        <v>Palembang</v>
      </c>
      <c r="J62" s="2">
        <f t="shared" ca="1" si="5"/>
        <v>2</v>
      </c>
      <c r="K62" s="2">
        <f ca="1">_xlfn.XLOOKUP(D62,Products!A:A,Products!D:D)</f>
        <v>670000</v>
      </c>
      <c r="L62" s="2">
        <f ca="1">_xlfn.XLOOKUP(D62,Products!A:A,Products!E:E)</f>
        <v>510000</v>
      </c>
      <c r="M62" s="2">
        <f t="shared" ca="1" si="6"/>
        <v>1340000</v>
      </c>
      <c r="N62" s="2">
        <f t="shared" ca="1" si="7"/>
        <v>1020000</v>
      </c>
      <c r="O62" s="3">
        <f t="shared" ca="1" si="8"/>
        <v>320000</v>
      </c>
      <c r="P62" s="2" t="str">
        <f ca="1">_xlfn.XLOOKUP(D62,Products!A:A,Products!C:C)</f>
        <v>Network</v>
      </c>
    </row>
    <row r="63" spans="1:16" ht="28.8" x14ac:dyDescent="0.3">
      <c r="A63" t="str">
        <f t="shared" ca="1" si="1"/>
        <v>0100</v>
      </c>
      <c r="B63" s="13">
        <v>45780</v>
      </c>
      <c r="C63" s="2" t="str" cm="1">
        <f t="array" aca="1" ref="C63" ca="1">INDEX(Customers!A:A,RANDBETWEEN(2,20))</f>
        <v>C010</v>
      </c>
      <c r="D63" s="2" t="str" cm="1">
        <f t="array" aca="1" ref="D63" ca="1">INDEX(Products!A:A,RANDBETWEEN(2,101))</f>
        <v>P056</v>
      </c>
      <c r="E63" s="2" t="str" cm="1">
        <f t="array" aca="1" ref="E63" ca="1">INDEX(SalesPerson!A:A,RANDBETWEEN(2,21))</f>
        <v>S002</v>
      </c>
      <c r="F63" s="2" t="str">
        <f ca="1">_xlfn.XLOOKUP(C63,Customers!A:A,Customers!B:B)</f>
        <v>PT Bintang Timur</v>
      </c>
      <c r="G63" s="2" t="str">
        <f ca="1">_xlfn.XLOOKUP(D63,Products!A:A,Products!B:B)</f>
        <v>Router TP-Link</v>
      </c>
      <c r="H63" s="2" t="str">
        <f ca="1">_xlfn.XLOOKUP(E63,SalesPerson!A:A,SalesPerson!B:B)</f>
        <v>Budi Santoso</v>
      </c>
      <c r="I63" s="2" t="str">
        <f ca="1">_xlfn.XLOOKUP(E63,SalesPerson!A:A,SalesPerson!C:C)</f>
        <v>Bandung</v>
      </c>
      <c r="J63" s="2">
        <f t="shared" ca="1" si="5"/>
        <v>10</v>
      </c>
      <c r="K63" s="2">
        <f ca="1">_xlfn.XLOOKUP(D63,Products!A:A,Products!D:D)</f>
        <v>670000</v>
      </c>
      <c r="L63" s="2">
        <f ca="1">_xlfn.XLOOKUP(D63,Products!A:A,Products!E:E)</f>
        <v>510000</v>
      </c>
      <c r="M63" s="2">
        <f t="shared" ca="1" si="6"/>
        <v>6700000</v>
      </c>
      <c r="N63" s="2">
        <f t="shared" ca="1" si="7"/>
        <v>5100000</v>
      </c>
      <c r="O63" s="3">
        <f t="shared" ca="1" si="8"/>
        <v>1600000</v>
      </c>
      <c r="P63" s="2" t="str">
        <f ca="1">_xlfn.XLOOKUP(D63,Products!A:A,Products!C:C)</f>
        <v>Network</v>
      </c>
    </row>
    <row r="64" spans="1:16" ht="28.8" x14ac:dyDescent="0.3">
      <c r="A64" t="str">
        <f t="shared" ca="1" si="1"/>
        <v>0098</v>
      </c>
      <c r="B64" s="13">
        <v>45781</v>
      </c>
      <c r="C64" s="2" t="str" cm="1">
        <f t="array" aca="1" ref="C64" ca="1">INDEX(Customers!A:A,RANDBETWEEN(2,20))</f>
        <v>C010</v>
      </c>
      <c r="D64" s="2" t="str" cm="1">
        <f t="array" aca="1" ref="D64" ca="1">INDEX(Products!A:A,RANDBETWEEN(2,101))</f>
        <v>P050</v>
      </c>
      <c r="E64" s="2" t="str" cm="1">
        <f t="array" aca="1" ref="E64" ca="1">INDEX(SalesPerson!A:A,RANDBETWEEN(2,21))</f>
        <v>S001</v>
      </c>
      <c r="F64" s="2" t="str">
        <f ca="1">_xlfn.XLOOKUP(C64,Customers!A:A,Customers!B:B)</f>
        <v>PT Bintang Timur</v>
      </c>
      <c r="G64" s="2" t="str">
        <f ca="1">_xlfn.XLOOKUP(D64,Products!A:A,Products!B:B)</f>
        <v>Flashdisk 64GB</v>
      </c>
      <c r="H64" s="2" t="str">
        <f ca="1">_xlfn.XLOOKUP(E64,SalesPerson!A:A,SalesPerson!B:B)</f>
        <v>Andi Pratama</v>
      </c>
      <c r="I64" s="2" t="str">
        <f ca="1">_xlfn.XLOOKUP(E64,SalesPerson!A:A,SalesPerson!C:C)</f>
        <v>Jakarta</v>
      </c>
      <c r="J64" s="2">
        <f t="shared" ca="1" si="5"/>
        <v>1</v>
      </c>
      <c r="K64" s="2">
        <f ca="1">_xlfn.XLOOKUP(D64,Products!A:A,Products!D:D)</f>
        <v>120000</v>
      </c>
      <c r="L64" s="2">
        <f ca="1">_xlfn.XLOOKUP(D64,Products!A:A,Products!E:E)</f>
        <v>80000</v>
      </c>
      <c r="M64" s="2">
        <f t="shared" ca="1" si="6"/>
        <v>120000</v>
      </c>
      <c r="N64" s="2">
        <f t="shared" ca="1" si="7"/>
        <v>80000</v>
      </c>
      <c r="O64" s="3">
        <f t="shared" ca="1" si="8"/>
        <v>40000</v>
      </c>
      <c r="P64" s="2" t="str">
        <f ca="1">_xlfn.XLOOKUP(D64,Products!A:A,Products!C:C)</f>
        <v>Storage</v>
      </c>
    </row>
    <row r="65" spans="1:16" ht="28.8" x14ac:dyDescent="0.3">
      <c r="A65" t="str">
        <f t="shared" ca="1" si="1"/>
        <v>0099</v>
      </c>
      <c r="B65" s="13">
        <v>45782</v>
      </c>
      <c r="C65" s="2" t="str" cm="1">
        <f t="array" aca="1" ref="C65" ca="1">INDEX(Customers!A:A,RANDBETWEEN(2,20))</f>
        <v>C003</v>
      </c>
      <c r="D65" s="2" t="str" cm="1">
        <f t="array" aca="1" ref="D65" ca="1">INDEX(Products!A:A,RANDBETWEEN(2,101))</f>
        <v>P034</v>
      </c>
      <c r="E65" s="2" t="str" cm="1">
        <f t="array" aca="1" ref="E65" ca="1">INDEX(SalesPerson!A:A,RANDBETWEEN(2,21))</f>
        <v>S011</v>
      </c>
      <c r="F65" s="2" t="str">
        <f ca="1">_xlfn.XLOOKUP(C65,Customers!A:A,Customers!B:B)</f>
        <v>CV Sinar Teknologi</v>
      </c>
      <c r="G65" s="2" t="str">
        <f ca="1">_xlfn.XLOOKUP(D65,Products!A:A,Products!B:B)</f>
        <v>Speaker Logitech</v>
      </c>
      <c r="H65" s="2" t="str">
        <f ca="1">_xlfn.XLOOKUP(E65,SalesPerson!A:A,SalesPerson!B:B)</f>
        <v>Kevin Saputra</v>
      </c>
      <c r="I65" s="2" t="str">
        <f ca="1">_xlfn.XLOOKUP(E65,SalesPerson!A:A,SalesPerson!C:C)</f>
        <v>Tangerang</v>
      </c>
      <c r="J65" s="2">
        <f t="shared" ca="1" si="5"/>
        <v>9</v>
      </c>
      <c r="K65" s="2">
        <f ca="1">_xlfn.XLOOKUP(D65,Products!A:A,Products!D:D)</f>
        <v>780000</v>
      </c>
      <c r="L65" s="2">
        <f ca="1">_xlfn.XLOOKUP(D65,Products!A:A,Products!E:E)</f>
        <v>590000</v>
      </c>
      <c r="M65" s="2">
        <f t="shared" ca="1" si="6"/>
        <v>7020000</v>
      </c>
      <c r="N65" s="2">
        <f t="shared" ca="1" si="7"/>
        <v>5310000</v>
      </c>
      <c r="O65" s="3">
        <f t="shared" ca="1" si="8"/>
        <v>1710000</v>
      </c>
      <c r="P65" s="2" t="str">
        <f ca="1">_xlfn.XLOOKUP(D65,Products!A:A,Products!C:C)</f>
        <v>Audio</v>
      </c>
    </row>
    <row r="66" spans="1:16" ht="28.8" x14ac:dyDescent="0.3">
      <c r="A66" t="str">
        <f t="shared" ca="1" si="1"/>
        <v>0060</v>
      </c>
      <c r="B66" s="13">
        <v>45783</v>
      </c>
      <c r="C66" s="2" t="str" cm="1">
        <f t="array" aca="1" ref="C66" ca="1">INDEX(Customers!A:A,RANDBETWEEN(2,20))</f>
        <v>C009</v>
      </c>
      <c r="D66" s="2" t="str" cm="1">
        <f t="array" aca="1" ref="D66" ca="1">INDEX(Products!A:A,RANDBETWEEN(2,101))</f>
        <v>P075</v>
      </c>
      <c r="E66" s="2" t="str" cm="1">
        <f t="array" aca="1" ref="E66" ca="1">INDEX(SalesPerson!A:A,RANDBETWEEN(2,21))</f>
        <v>S004</v>
      </c>
      <c r="F66" s="2" t="str">
        <f ca="1">_xlfn.XLOOKUP(C66,Customers!A:A,Customers!B:B)</f>
        <v>PT Andalan Prima</v>
      </c>
      <c r="G66" s="2" t="str">
        <f ca="1">_xlfn.XLOOKUP(D66,Products!A:A,Products!B:B)</f>
        <v>UPS APC 650VA</v>
      </c>
      <c r="H66" s="2" t="str">
        <f ca="1">_xlfn.XLOOKUP(E66,SalesPerson!A:A,SalesPerson!B:B)</f>
        <v>Dimas Saputra</v>
      </c>
      <c r="I66" s="2" t="str">
        <f ca="1">_xlfn.XLOOKUP(E66,SalesPerson!A:A,SalesPerson!C:C)</f>
        <v>Medan</v>
      </c>
      <c r="J66" s="2">
        <f t="shared" ref="J66:J100" ca="1" si="9">RANDBETWEEN(1,10)</f>
        <v>6</v>
      </c>
      <c r="K66" s="2">
        <f ca="1">_xlfn.XLOOKUP(D66,Products!A:A,Products!D:D)</f>
        <v>950000</v>
      </c>
      <c r="L66" s="2">
        <f ca="1">_xlfn.XLOOKUP(D66,Products!A:A,Products!E:E)</f>
        <v>760000</v>
      </c>
      <c r="M66" s="2">
        <f t="shared" ca="1" si="6"/>
        <v>5700000</v>
      </c>
      <c r="N66" s="2">
        <f t="shared" ca="1" si="7"/>
        <v>4560000</v>
      </c>
      <c r="O66" s="3">
        <f t="shared" ca="1" si="8"/>
        <v>1140000</v>
      </c>
      <c r="P66" s="2" t="str">
        <f ca="1">_xlfn.XLOOKUP(D66,Products!A:A,Products!C:C)</f>
        <v>Power</v>
      </c>
    </row>
    <row r="67" spans="1:16" ht="28.8" x14ac:dyDescent="0.3">
      <c r="A67" t="str">
        <f t="shared" ref="A67:A100" ca="1" si="10">"0"&amp;TEXT(RANDBETWEEN(1,100),"000")</f>
        <v>0059</v>
      </c>
      <c r="B67" s="13">
        <v>45784</v>
      </c>
      <c r="C67" s="2" t="str" cm="1">
        <f t="array" aca="1" ref="C67" ca="1">INDEX(Customers!A:A,RANDBETWEEN(2,20))</f>
        <v>C014</v>
      </c>
      <c r="D67" s="2" t="str" cm="1">
        <f t="array" aca="1" ref="D67" ca="1">INDEX(Products!A:A,RANDBETWEEN(2,101))</f>
        <v>P041</v>
      </c>
      <c r="E67" s="2" t="str" cm="1">
        <f t="array" aca="1" ref="E67" ca="1">INDEX(SalesPerson!A:A,RANDBETWEEN(2,21))</f>
        <v>S009</v>
      </c>
      <c r="F67" s="2" t="str">
        <f ca="1">_xlfn.XLOOKUP(C67,Customers!A:A,Customers!B:B)</f>
        <v>CV Nusantara Jaya</v>
      </c>
      <c r="G67" s="2" t="str">
        <f ca="1">_xlfn.XLOOKUP(D67,Products!A:A,Products!B:B)</f>
        <v>Laptop ASUS Vivobook</v>
      </c>
      <c r="H67" s="2" t="str">
        <f ca="1">_xlfn.XLOOKUP(E67,SalesPerson!A:A,SalesPerson!B:B)</f>
        <v>Intan Permata</v>
      </c>
      <c r="I67" s="2" t="str">
        <f ca="1">_xlfn.XLOOKUP(E67,SalesPerson!A:A,SalesPerson!C:C)</f>
        <v>Palembang</v>
      </c>
      <c r="J67" s="2">
        <f t="shared" ca="1" si="9"/>
        <v>9</v>
      </c>
      <c r="K67" s="2">
        <f ca="1">_xlfn.XLOOKUP(D67,Products!A:A,Products!D:D)</f>
        <v>8500000</v>
      </c>
      <c r="L67" s="2">
        <f ca="1">_xlfn.XLOOKUP(D67,Products!A:A,Products!E:E)</f>
        <v>7200000</v>
      </c>
      <c r="M67" s="2">
        <f t="shared" ref="M67:M100" ca="1" si="11">J67*K67</f>
        <v>76500000</v>
      </c>
      <c r="N67" s="2">
        <f t="shared" ref="N67:N100" ca="1" si="12">J67*L67</f>
        <v>64800000</v>
      </c>
      <c r="O67" s="3">
        <f t="shared" ref="O67:O98" ca="1" si="13">M67-N67</f>
        <v>11700000</v>
      </c>
      <c r="P67" s="2" t="str">
        <f ca="1">_xlfn.XLOOKUP(D67,Products!A:A,Products!C:C)</f>
        <v>Laptop</v>
      </c>
    </row>
    <row r="68" spans="1:16" ht="28.8" x14ac:dyDescent="0.3">
      <c r="A68" t="str">
        <f t="shared" ca="1" si="10"/>
        <v>0047</v>
      </c>
      <c r="B68" s="13">
        <v>45785</v>
      </c>
      <c r="C68" s="2" t="str" cm="1">
        <f t="array" aca="1" ref="C68" ca="1">INDEX(Customers!A:A,RANDBETWEEN(2,20))</f>
        <v>C008</v>
      </c>
      <c r="D68" s="2" t="str" cm="1">
        <f t="array" aca="1" ref="D68" ca="1">INDEX(Products!A:A,RANDBETWEEN(2,101))</f>
        <v>P097</v>
      </c>
      <c r="E68" s="2" t="str" cm="1">
        <f t="array" aca="1" ref="E68" ca="1">INDEX(SalesPerson!A:A,RANDBETWEEN(2,21))</f>
        <v>S003</v>
      </c>
      <c r="F68" s="2" t="str">
        <f ca="1">_xlfn.XLOOKUP(C68,Customers!A:A,Customers!B:B)</f>
        <v>PT Cahaya Abadi</v>
      </c>
      <c r="G68" s="2" t="str">
        <f ca="1">_xlfn.XLOOKUP(D68,Products!A:A,Products!B:B)</f>
        <v>External HDD 2TB</v>
      </c>
      <c r="H68" s="2" t="str">
        <f ca="1">_xlfn.XLOOKUP(E68,SalesPerson!A:A,SalesPerson!B:B)</f>
        <v>Citra Lestari</v>
      </c>
      <c r="I68" s="2" t="str">
        <f ca="1">_xlfn.XLOOKUP(E68,SalesPerson!A:A,SalesPerson!C:C)</f>
        <v>Surabaya</v>
      </c>
      <c r="J68" s="2">
        <f t="shared" ca="1" si="9"/>
        <v>4</v>
      </c>
      <c r="K68" s="2">
        <f ca="1">_xlfn.XLOOKUP(D68,Products!A:A,Products!D:D)</f>
        <v>1650000</v>
      </c>
      <c r="L68" s="2">
        <f ca="1">_xlfn.XLOOKUP(D68,Products!A:A,Products!E:E)</f>
        <v>1350000</v>
      </c>
      <c r="M68" s="2">
        <f t="shared" ca="1" si="11"/>
        <v>6600000</v>
      </c>
      <c r="N68" s="2">
        <f t="shared" ca="1" si="12"/>
        <v>5400000</v>
      </c>
      <c r="O68" s="3">
        <f t="shared" ca="1" si="13"/>
        <v>1200000</v>
      </c>
      <c r="P68" s="2" t="str">
        <f ca="1">_xlfn.XLOOKUP(D68,Products!A:A,Products!C:C)</f>
        <v>Storage</v>
      </c>
    </row>
    <row r="69" spans="1:16" ht="28.8" x14ac:dyDescent="0.3">
      <c r="A69" t="str">
        <f t="shared" ca="1" si="10"/>
        <v>0030</v>
      </c>
      <c r="B69" s="13">
        <v>45786</v>
      </c>
      <c r="C69" s="2" t="str" cm="1">
        <f t="array" aca="1" ref="C69" ca="1">INDEX(Customers!A:A,RANDBETWEEN(2,20))</f>
        <v>C014</v>
      </c>
      <c r="D69" s="2" t="str" cm="1">
        <f t="array" aca="1" ref="D69" ca="1">INDEX(Products!A:A,RANDBETWEEN(2,101))</f>
        <v>P067</v>
      </c>
      <c r="E69" s="2" t="str" cm="1">
        <f t="array" aca="1" ref="E69" ca="1">INDEX(SalesPerson!A:A,RANDBETWEEN(2,21))</f>
        <v>S001</v>
      </c>
      <c r="F69" s="2" t="str">
        <f ca="1">_xlfn.XLOOKUP(C69,Customers!A:A,Customers!B:B)</f>
        <v>CV Nusantara Jaya</v>
      </c>
      <c r="G69" s="2" t="str">
        <f ca="1">_xlfn.XLOOKUP(D69,Products!A:A,Products!B:B)</f>
        <v>Wireless Mouse Logitech</v>
      </c>
      <c r="H69" s="2" t="str">
        <f ca="1">_xlfn.XLOOKUP(E69,SalesPerson!A:A,SalesPerson!B:B)</f>
        <v>Andi Pratama</v>
      </c>
      <c r="I69" s="2" t="str">
        <f ca="1">_xlfn.XLOOKUP(E69,SalesPerson!A:A,SalesPerson!C:C)</f>
        <v>Jakarta</v>
      </c>
      <c r="J69" s="2">
        <f t="shared" ca="1" si="9"/>
        <v>1</v>
      </c>
      <c r="K69" s="2">
        <f ca="1">_xlfn.XLOOKUP(D69,Products!A:A,Products!D:D)</f>
        <v>250000</v>
      </c>
      <c r="L69" s="2">
        <f ca="1">_xlfn.XLOOKUP(D69,Products!A:A,Products!E:E)</f>
        <v>150000</v>
      </c>
      <c r="M69" s="2">
        <f t="shared" ca="1" si="11"/>
        <v>250000</v>
      </c>
      <c r="N69" s="2">
        <f t="shared" ca="1" si="12"/>
        <v>150000</v>
      </c>
      <c r="O69" s="3">
        <f t="shared" ca="1" si="13"/>
        <v>100000</v>
      </c>
      <c r="P69" s="2" t="str">
        <f ca="1">_xlfn.XLOOKUP(D69,Products!A:A,Products!C:C)</f>
        <v>Accessories</v>
      </c>
    </row>
    <row r="70" spans="1:16" ht="28.8" x14ac:dyDescent="0.3">
      <c r="A70" t="str">
        <f t="shared" ca="1" si="10"/>
        <v>0012</v>
      </c>
      <c r="B70" s="13">
        <v>45787</v>
      </c>
      <c r="C70" s="2" t="str" cm="1">
        <f t="array" aca="1" ref="C70" ca="1">INDEX(Customers!A:A,RANDBETWEEN(2,20))</f>
        <v>C004</v>
      </c>
      <c r="D70" s="2" t="str" cm="1">
        <f t="array" aca="1" ref="D70" ca="1">INDEX(Products!A:A,RANDBETWEEN(2,101))</f>
        <v>P045</v>
      </c>
      <c r="E70" s="2" t="str" cm="1">
        <f t="array" aca="1" ref="E70" ca="1">INDEX(SalesPerson!A:A,RANDBETWEEN(2,21))</f>
        <v>S019</v>
      </c>
      <c r="F70" s="2" t="str">
        <f ca="1">_xlfn.XLOOKUP(C70,Customers!A:A,Customers!B:B)</f>
        <v>PT Global Digital</v>
      </c>
      <c r="G70" s="2" t="str">
        <f ca="1">_xlfn.XLOOKUP(D70,Products!A:A,Products!B:B)</f>
        <v>Monitor Samsung 27"</v>
      </c>
      <c r="H70" s="2" t="str">
        <f ca="1">_xlfn.XLOOKUP(E70,SalesPerson!A:A,SalesPerson!B:B)</f>
        <v>Sinta Maharani</v>
      </c>
      <c r="I70" s="2" t="str">
        <f ca="1">_xlfn.XLOOKUP(E70,SalesPerson!A:A,SalesPerson!C:C)</f>
        <v>Solo</v>
      </c>
      <c r="J70" s="2">
        <f t="shared" ca="1" si="9"/>
        <v>10</v>
      </c>
      <c r="K70" s="2">
        <f ca="1">_xlfn.XLOOKUP(D70,Products!A:A,Products!D:D)</f>
        <v>3200000</v>
      </c>
      <c r="L70" s="2">
        <f ca="1">_xlfn.XLOOKUP(D70,Products!A:A,Products!E:E)</f>
        <v>2600000</v>
      </c>
      <c r="M70" s="2">
        <f t="shared" ca="1" si="11"/>
        <v>32000000</v>
      </c>
      <c r="N70" s="2">
        <f t="shared" ca="1" si="12"/>
        <v>26000000</v>
      </c>
      <c r="O70" s="3">
        <f t="shared" ca="1" si="13"/>
        <v>6000000</v>
      </c>
      <c r="P70" s="2" t="str">
        <f ca="1">_xlfn.XLOOKUP(D70,Products!A:A,Products!C:C)</f>
        <v>Monitor</v>
      </c>
    </row>
    <row r="71" spans="1:16" ht="28.8" x14ac:dyDescent="0.3">
      <c r="A71" t="str">
        <f t="shared" ca="1" si="10"/>
        <v>0084</v>
      </c>
      <c r="B71" s="13">
        <v>45788</v>
      </c>
      <c r="C71" s="2" t="str" cm="1">
        <f t="array" aca="1" ref="C71" ca="1">INDEX(Customers!A:A,RANDBETWEEN(2,20))</f>
        <v>C018</v>
      </c>
      <c r="D71" s="2" t="str" cm="1">
        <f t="array" aca="1" ref="D71" ca="1">INDEX(Products!A:A,RANDBETWEEN(2,101))</f>
        <v>P013</v>
      </c>
      <c r="E71" s="2" t="str" cm="1">
        <f t="array" aca="1" ref="E71" ca="1">INDEX(SalesPerson!A:A,RANDBETWEEN(2,21))</f>
        <v>S015</v>
      </c>
      <c r="F71" s="2" t="str">
        <f ca="1">_xlfn.XLOOKUP(C71,Customers!A:A,Customers!B:B)</f>
        <v>PT Indo Retail</v>
      </c>
      <c r="G71" s="2" t="str">
        <f ca="1">_xlfn.XLOOKUP(D71,Products!A:A,Products!B:B)</f>
        <v>Headset HyperX</v>
      </c>
      <c r="H71" s="2" t="str">
        <f ca="1">_xlfn.XLOOKUP(E71,SalesPerson!A:A,SalesPerson!B:B)</f>
        <v>Olivia Putri</v>
      </c>
      <c r="I71" s="2" t="str">
        <f ca="1">_xlfn.XLOOKUP(E71,SalesPerson!A:A,SalesPerson!C:C)</f>
        <v>Batam</v>
      </c>
      <c r="J71" s="2">
        <f t="shared" ca="1" si="9"/>
        <v>3</v>
      </c>
      <c r="K71" s="2">
        <f ca="1">_xlfn.XLOOKUP(D71,Products!A:A,Products!D:D)</f>
        <v>890000</v>
      </c>
      <c r="L71" s="2">
        <f ca="1">_xlfn.XLOOKUP(D71,Products!A:A,Products!E:E)</f>
        <v>690000</v>
      </c>
      <c r="M71" s="2">
        <f t="shared" ca="1" si="11"/>
        <v>2670000</v>
      </c>
      <c r="N71" s="2">
        <f t="shared" ca="1" si="12"/>
        <v>2070000</v>
      </c>
      <c r="O71" s="3">
        <f t="shared" ca="1" si="13"/>
        <v>600000</v>
      </c>
      <c r="P71" s="2" t="str">
        <f ca="1">_xlfn.XLOOKUP(D71,Products!A:A,Products!C:C)</f>
        <v>Accessories</v>
      </c>
    </row>
    <row r="72" spans="1:16" ht="28.8" x14ac:dyDescent="0.3">
      <c r="A72" t="str">
        <f t="shared" ca="1" si="10"/>
        <v>0041</v>
      </c>
      <c r="B72" s="13">
        <v>45789</v>
      </c>
      <c r="C72" s="2" t="str" cm="1">
        <f t="array" aca="1" ref="C72" ca="1">INDEX(Customers!A:A,RANDBETWEEN(2,20))</f>
        <v>C010</v>
      </c>
      <c r="D72" s="2" t="str" cm="1">
        <f t="array" aca="1" ref="D72" ca="1">INDEX(Products!A:A,RANDBETWEEN(2,101))</f>
        <v>P007</v>
      </c>
      <c r="E72" s="2" t="str" cm="1">
        <f t="array" aca="1" ref="E72" ca="1">INDEX(SalesPerson!A:A,RANDBETWEEN(2,21))</f>
        <v>S019</v>
      </c>
      <c r="F72" s="2" t="str">
        <f ca="1">_xlfn.XLOOKUP(C72,Customers!A:A,Customers!B:B)</f>
        <v>PT Bintang Timur</v>
      </c>
      <c r="G72" s="2" t="str">
        <f ca="1">_xlfn.XLOOKUP(D72,Products!A:A,Products!B:B)</f>
        <v>Wireless Mouse Logitech</v>
      </c>
      <c r="H72" s="2" t="str">
        <f ca="1">_xlfn.XLOOKUP(E72,SalesPerson!A:A,SalesPerson!B:B)</f>
        <v>Sinta Maharani</v>
      </c>
      <c r="I72" s="2" t="str">
        <f ca="1">_xlfn.XLOOKUP(E72,SalesPerson!A:A,SalesPerson!C:C)</f>
        <v>Solo</v>
      </c>
      <c r="J72" s="2">
        <f t="shared" ca="1" si="9"/>
        <v>7</v>
      </c>
      <c r="K72" s="2">
        <f ca="1">_xlfn.XLOOKUP(D72,Products!A:A,Products!D:D)</f>
        <v>250000</v>
      </c>
      <c r="L72" s="2">
        <f ca="1">_xlfn.XLOOKUP(D72,Products!A:A,Products!E:E)</f>
        <v>150000</v>
      </c>
      <c r="M72" s="2">
        <f t="shared" ca="1" si="11"/>
        <v>1750000</v>
      </c>
      <c r="N72" s="2">
        <f t="shared" ca="1" si="12"/>
        <v>1050000</v>
      </c>
      <c r="O72" s="3">
        <f t="shared" ca="1" si="13"/>
        <v>700000</v>
      </c>
      <c r="P72" s="2" t="str">
        <f ca="1">_xlfn.XLOOKUP(D72,Products!A:A,Products!C:C)</f>
        <v>Accessories</v>
      </c>
    </row>
    <row r="73" spans="1:16" ht="28.8" x14ac:dyDescent="0.3">
      <c r="A73" t="str">
        <f t="shared" ca="1" si="10"/>
        <v>0097</v>
      </c>
      <c r="B73" s="13">
        <v>45790</v>
      </c>
      <c r="C73" s="2" t="str" cm="1">
        <f t="array" aca="1" ref="C73" ca="1">INDEX(Customers!A:A,RANDBETWEEN(2,20))</f>
        <v>C004</v>
      </c>
      <c r="D73" s="2" t="str" cm="1">
        <f t="array" aca="1" ref="D73" ca="1">INDEX(Products!A:A,RANDBETWEEN(2,101))</f>
        <v>P043</v>
      </c>
      <c r="E73" s="2" t="str" cm="1">
        <f t="array" aca="1" ref="E73" ca="1">INDEX(SalesPerson!A:A,RANDBETWEEN(2,21))</f>
        <v>S013</v>
      </c>
      <c r="F73" s="2" t="str">
        <f ca="1">_xlfn.XLOOKUP(C73,Customers!A:A,Customers!B:B)</f>
        <v>PT Global Digital</v>
      </c>
      <c r="G73" s="2" t="str">
        <f ca="1">_xlfn.XLOOKUP(D73,Products!A:A,Products!B:B)</f>
        <v>Laptop HP 16</v>
      </c>
      <c r="H73" s="2" t="str">
        <f ca="1">_xlfn.XLOOKUP(E73,SalesPerson!A:A,SalesPerson!B:B)</f>
        <v>Muhammad Rizki</v>
      </c>
      <c r="I73" s="2" t="str">
        <f ca="1">_xlfn.XLOOKUP(E73,SalesPerson!A:A,SalesPerson!C:C)</f>
        <v>Bogor</v>
      </c>
      <c r="J73" s="2">
        <f t="shared" ca="1" si="9"/>
        <v>1</v>
      </c>
      <c r="K73" s="2">
        <f ca="1">_xlfn.XLOOKUP(D73,Products!A:A,Products!D:D)</f>
        <v>7800000</v>
      </c>
      <c r="L73" s="2">
        <f ca="1">_xlfn.XLOOKUP(D73,Products!A:A,Products!E:E)</f>
        <v>6500000</v>
      </c>
      <c r="M73" s="2">
        <f t="shared" ca="1" si="11"/>
        <v>7800000</v>
      </c>
      <c r="N73" s="2">
        <f t="shared" ca="1" si="12"/>
        <v>6500000</v>
      </c>
      <c r="O73" s="3">
        <f t="shared" ca="1" si="13"/>
        <v>1300000</v>
      </c>
      <c r="P73" s="2" t="str">
        <f ca="1">_xlfn.XLOOKUP(D73,Products!A:A,Products!C:C)</f>
        <v>Laptop</v>
      </c>
    </row>
    <row r="74" spans="1:16" ht="28.8" x14ac:dyDescent="0.3">
      <c r="A74" t="str">
        <f t="shared" ca="1" si="10"/>
        <v>0008</v>
      </c>
      <c r="B74" s="13">
        <v>45791</v>
      </c>
      <c r="C74" s="2" t="str" cm="1">
        <f t="array" aca="1" ref="C74" ca="1">INDEX(Customers!A:A,RANDBETWEEN(2,20))</f>
        <v>C009</v>
      </c>
      <c r="D74" s="2" t="str" cm="1">
        <f t="array" aca="1" ref="D74" ca="1">INDEX(Products!A:A,RANDBETWEEN(2,101))</f>
        <v>P005</v>
      </c>
      <c r="E74" s="2" t="str" cm="1">
        <f t="array" aca="1" ref="E74" ca="1">INDEX(SalesPerson!A:A,RANDBETWEEN(2,21))</f>
        <v>S018</v>
      </c>
      <c r="F74" s="2" t="str">
        <f ca="1">_xlfn.XLOOKUP(C74,Customers!A:A,Customers!B:B)</f>
        <v>PT Andalan Prima</v>
      </c>
      <c r="G74" s="2" t="str">
        <f ca="1">_xlfn.XLOOKUP(D74,Products!A:A,Products!B:B)</f>
        <v>Monitor Samsung 27"</v>
      </c>
      <c r="H74" s="2" t="str">
        <f ca="1">_xlfn.XLOOKUP(E74,SalesPerson!A:A,SalesPerson!B:B)</f>
        <v>Rian Kurniawan</v>
      </c>
      <c r="I74" s="2" t="str">
        <f ca="1">_xlfn.XLOOKUP(E74,SalesPerson!A:A,SalesPerson!C:C)</f>
        <v>Banjarmasin</v>
      </c>
      <c r="J74" s="2">
        <f t="shared" ca="1" si="9"/>
        <v>1</v>
      </c>
      <c r="K74" s="2">
        <f ca="1">_xlfn.XLOOKUP(D74,Products!A:A,Products!D:D)</f>
        <v>3200000</v>
      </c>
      <c r="L74" s="2">
        <f ca="1">_xlfn.XLOOKUP(D74,Products!A:A,Products!E:E)</f>
        <v>2600000</v>
      </c>
      <c r="M74" s="2">
        <f t="shared" ca="1" si="11"/>
        <v>3200000</v>
      </c>
      <c r="N74" s="2">
        <f t="shared" ca="1" si="12"/>
        <v>2600000</v>
      </c>
      <c r="O74" s="3">
        <f t="shared" ca="1" si="13"/>
        <v>600000</v>
      </c>
      <c r="P74" s="2" t="str">
        <f ca="1">_xlfn.XLOOKUP(D74,Products!A:A,Products!C:C)</f>
        <v>Monitor</v>
      </c>
    </row>
    <row r="75" spans="1:16" x14ac:dyDescent="0.3">
      <c r="A75" t="str">
        <f t="shared" ca="1" si="10"/>
        <v>0088</v>
      </c>
      <c r="B75" s="13">
        <v>45792</v>
      </c>
      <c r="C75" s="2" t="str" cm="1">
        <f t="array" aca="1" ref="C75" ca="1">INDEX(Customers!A:A,RANDBETWEEN(2,20))</f>
        <v>C008</v>
      </c>
      <c r="D75" s="2" t="str" cm="1">
        <f t="array" aca="1" ref="D75" ca="1">INDEX(Products!A:A,RANDBETWEEN(2,101))</f>
        <v>P037</v>
      </c>
      <c r="E75" s="2" t="str" cm="1">
        <f t="array" aca="1" ref="E75" ca="1">INDEX(SalesPerson!A:A,RANDBETWEEN(2,21))</f>
        <v>S001</v>
      </c>
      <c r="F75" s="2" t="str">
        <f ca="1">_xlfn.XLOOKUP(C75,Customers!A:A,Customers!B:B)</f>
        <v>PT Cahaya Abadi</v>
      </c>
      <c r="G75" s="2" t="str">
        <f ca="1">_xlfn.XLOOKUP(D75,Products!A:A,Products!B:B)</f>
        <v>External HDD 2TB</v>
      </c>
      <c r="H75" s="2" t="str">
        <f ca="1">_xlfn.XLOOKUP(E75,SalesPerson!A:A,SalesPerson!B:B)</f>
        <v>Andi Pratama</v>
      </c>
      <c r="I75" s="2" t="str">
        <f ca="1">_xlfn.XLOOKUP(E75,SalesPerson!A:A,SalesPerson!C:C)</f>
        <v>Jakarta</v>
      </c>
      <c r="J75" s="2">
        <f t="shared" ca="1" si="9"/>
        <v>6</v>
      </c>
      <c r="K75" s="2">
        <f ca="1">_xlfn.XLOOKUP(D75,Products!A:A,Products!D:D)</f>
        <v>1650000</v>
      </c>
      <c r="L75" s="2">
        <f ca="1">_xlfn.XLOOKUP(D75,Products!A:A,Products!E:E)</f>
        <v>1350000</v>
      </c>
      <c r="M75" s="2">
        <f t="shared" ca="1" si="11"/>
        <v>9900000</v>
      </c>
      <c r="N75" s="2">
        <f t="shared" ca="1" si="12"/>
        <v>8100000</v>
      </c>
      <c r="O75" s="3">
        <f t="shared" ca="1" si="13"/>
        <v>1800000</v>
      </c>
      <c r="P75" s="2" t="str">
        <f ca="1">_xlfn.XLOOKUP(D75,Products!A:A,Products!C:C)</f>
        <v>Storage</v>
      </c>
    </row>
    <row r="76" spans="1:16" ht="28.8" x14ac:dyDescent="0.3">
      <c r="A76" t="str">
        <f t="shared" ca="1" si="10"/>
        <v>0017</v>
      </c>
      <c r="B76" s="13">
        <v>45793</v>
      </c>
      <c r="C76" s="2" t="str" cm="1">
        <f t="array" aca="1" ref="C76" ca="1">INDEX(Customers!A:A,RANDBETWEEN(2,20))</f>
        <v>C005</v>
      </c>
      <c r="D76" s="2" t="str" cm="1">
        <f t="array" aca="1" ref="D76" ca="1">INDEX(Products!A:A,RANDBETWEEN(2,101))</f>
        <v>P065</v>
      </c>
      <c r="E76" s="2" t="str" cm="1">
        <f t="array" aca="1" ref="E76" ca="1">INDEX(SalesPerson!A:A,RANDBETWEEN(2,21))</f>
        <v>S002</v>
      </c>
      <c r="F76" s="2" t="str">
        <f ca="1">_xlfn.XLOOKUP(C76,Customers!A:A,Customers!B:B)</f>
        <v>PT Berkah Sejahtera</v>
      </c>
      <c r="G76" s="2" t="str">
        <f ca="1">_xlfn.XLOOKUP(D76,Products!A:A,Products!B:B)</f>
        <v>Monitor Samsung 27"</v>
      </c>
      <c r="H76" s="2" t="str">
        <f ca="1">_xlfn.XLOOKUP(E76,SalesPerson!A:A,SalesPerson!B:B)</f>
        <v>Budi Santoso</v>
      </c>
      <c r="I76" s="2" t="str">
        <f ca="1">_xlfn.XLOOKUP(E76,SalesPerson!A:A,SalesPerson!C:C)</f>
        <v>Bandung</v>
      </c>
      <c r="J76" s="2">
        <f t="shared" ca="1" si="9"/>
        <v>3</v>
      </c>
      <c r="K76" s="2">
        <f ca="1">_xlfn.XLOOKUP(D76,Products!A:A,Products!D:D)</f>
        <v>3200000</v>
      </c>
      <c r="L76" s="2">
        <f ca="1">_xlfn.XLOOKUP(D76,Products!A:A,Products!E:E)</f>
        <v>2600000</v>
      </c>
      <c r="M76" s="2">
        <f t="shared" ca="1" si="11"/>
        <v>9600000</v>
      </c>
      <c r="N76" s="2">
        <f t="shared" ca="1" si="12"/>
        <v>7800000</v>
      </c>
      <c r="O76" s="3">
        <f t="shared" ca="1" si="13"/>
        <v>1800000</v>
      </c>
      <c r="P76" s="2" t="str">
        <f ca="1">_xlfn.XLOOKUP(D76,Products!A:A,Products!C:C)</f>
        <v>Monitor</v>
      </c>
    </row>
    <row r="77" spans="1:16" ht="28.8" x14ac:dyDescent="0.3">
      <c r="A77" t="str">
        <f t="shared" ca="1" si="10"/>
        <v>0086</v>
      </c>
      <c r="B77" s="13">
        <v>45794</v>
      </c>
      <c r="C77" s="2" t="str" cm="1">
        <f t="array" aca="1" ref="C77" ca="1">INDEX(Customers!A:A,RANDBETWEEN(2,20))</f>
        <v>C015</v>
      </c>
      <c r="D77" s="2" t="str" cm="1">
        <f t="array" aca="1" ref="D77" ca="1">INDEX(Products!A:A,RANDBETWEEN(2,101))</f>
        <v>P034</v>
      </c>
      <c r="E77" s="2" t="str" cm="1">
        <f t="array" aca="1" ref="E77" ca="1">INDEX(SalesPerson!A:A,RANDBETWEEN(2,21))</f>
        <v>S010</v>
      </c>
      <c r="F77" s="2" t="str">
        <f ca="1">_xlfn.XLOOKUP(C77,Customers!A:A,Customers!B:B)</f>
        <v>PT Sentosa Abadi</v>
      </c>
      <c r="G77" s="2" t="str">
        <f ca="1">_xlfn.XLOOKUP(D77,Products!A:A,Products!B:B)</f>
        <v>Speaker Logitech</v>
      </c>
      <c r="H77" s="2" t="str">
        <f ca="1">_xlfn.XLOOKUP(E77,SalesPerson!A:A,SalesPerson!B:B)</f>
        <v>Joko Susilo</v>
      </c>
      <c r="I77" s="2" t="str">
        <f ca="1">_xlfn.XLOOKUP(E77,SalesPerson!A:A,SalesPerson!C:C)</f>
        <v>Bekasi</v>
      </c>
      <c r="J77" s="2">
        <f t="shared" ca="1" si="9"/>
        <v>3</v>
      </c>
      <c r="K77" s="2">
        <f ca="1">_xlfn.XLOOKUP(D77,Products!A:A,Products!D:D)</f>
        <v>780000</v>
      </c>
      <c r="L77" s="2">
        <f ca="1">_xlfn.XLOOKUP(D77,Products!A:A,Products!E:E)</f>
        <v>590000</v>
      </c>
      <c r="M77" s="2">
        <f t="shared" ca="1" si="11"/>
        <v>2340000</v>
      </c>
      <c r="N77" s="2">
        <f t="shared" ca="1" si="12"/>
        <v>1770000</v>
      </c>
      <c r="O77" s="3">
        <f t="shared" ca="1" si="13"/>
        <v>570000</v>
      </c>
      <c r="P77" s="2" t="str">
        <f ca="1">_xlfn.XLOOKUP(D77,Products!A:A,Products!C:C)</f>
        <v>Audio</v>
      </c>
    </row>
    <row r="78" spans="1:16" ht="28.8" x14ac:dyDescent="0.3">
      <c r="A78" t="str">
        <f t="shared" ca="1" si="10"/>
        <v>0038</v>
      </c>
      <c r="B78" s="13">
        <v>45795</v>
      </c>
      <c r="C78" s="2" t="str" cm="1">
        <f t="array" aca="1" ref="C78" ca="1">INDEX(Customers!A:A,RANDBETWEEN(2,20))</f>
        <v>C006</v>
      </c>
      <c r="D78" s="2" t="str" cm="1">
        <f t="array" aca="1" ref="D78" ca="1">INDEX(Products!A:A,RANDBETWEEN(2,101))</f>
        <v>P024</v>
      </c>
      <c r="E78" s="2" t="str" cm="1">
        <f t="array" aca="1" ref="E78" ca="1">INDEX(SalesPerson!A:A,RANDBETWEEN(2,21))</f>
        <v>S018</v>
      </c>
      <c r="F78" s="2" t="str">
        <f ca="1">_xlfn.XLOOKUP(C78,Customers!A:A,Customers!B:B)</f>
        <v>CV Maju Bersama</v>
      </c>
      <c r="G78" s="2" t="str">
        <f ca="1">_xlfn.XLOOKUP(D78,Products!A:A,Products!B:B)</f>
        <v>Monitor LG 24"</v>
      </c>
      <c r="H78" s="2" t="str">
        <f ca="1">_xlfn.XLOOKUP(E78,SalesPerson!A:A,SalesPerson!B:B)</f>
        <v>Rian Kurniawan</v>
      </c>
      <c r="I78" s="2" t="str">
        <f ca="1">_xlfn.XLOOKUP(E78,SalesPerson!A:A,SalesPerson!C:C)</f>
        <v>Banjarmasin</v>
      </c>
      <c r="J78" s="2">
        <f t="shared" ca="1" si="9"/>
        <v>2</v>
      </c>
      <c r="K78" s="2">
        <f ca="1">_xlfn.XLOOKUP(D78,Products!A:A,Products!D:D)</f>
        <v>2100000</v>
      </c>
      <c r="L78" s="2">
        <f ca="1">_xlfn.XLOOKUP(D78,Products!A:A,Products!E:E)</f>
        <v>1700000</v>
      </c>
      <c r="M78" s="2">
        <f t="shared" ca="1" si="11"/>
        <v>4200000</v>
      </c>
      <c r="N78" s="2">
        <f t="shared" ca="1" si="12"/>
        <v>3400000</v>
      </c>
      <c r="O78" s="3">
        <f t="shared" ca="1" si="13"/>
        <v>800000</v>
      </c>
      <c r="P78" s="2" t="str">
        <f ca="1">_xlfn.XLOOKUP(D78,Products!A:A,Products!C:C)</f>
        <v>Monitor</v>
      </c>
    </row>
    <row r="79" spans="1:16" ht="28.8" x14ac:dyDescent="0.3">
      <c r="A79" t="str">
        <f t="shared" ca="1" si="10"/>
        <v>0045</v>
      </c>
      <c r="B79" s="13">
        <v>45796</v>
      </c>
      <c r="C79" s="2" t="str" cm="1">
        <f t="array" aca="1" ref="C79" ca="1">INDEX(Customers!A:A,RANDBETWEEN(2,20))</f>
        <v>C005</v>
      </c>
      <c r="D79" s="2" t="str" cm="1">
        <f t="array" aca="1" ref="D79" ca="1">INDEX(Products!A:A,RANDBETWEEN(2,101))</f>
        <v>P050</v>
      </c>
      <c r="E79" s="2" t="str" cm="1">
        <f t="array" aca="1" ref="E79" ca="1">INDEX(SalesPerson!A:A,RANDBETWEEN(2,21))</f>
        <v>S008</v>
      </c>
      <c r="F79" s="2" t="str">
        <f ca="1">_xlfn.XLOOKUP(C79,Customers!A:A,Customers!B:B)</f>
        <v>PT Berkah Sejahtera</v>
      </c>
      <c r="G79" s="2" t="str">
        <f ca="1">_xlfn.XLOOKUP(D79,Products!A:A,Products!B:B)</f>
        <v>Flashdisk 64GB</v>
      </c>
      <c r="H79" s="2" t="str">
        <f ca="1">_xlfn.XLOOKUP(E79,SalesPerson!A:A,SalesPerson!B:B)</f>
        <v>Hendra Wijaya</v>
      </c>
      <c r="I79" s="2" t="str">
        <f ca="1">_xlfn.XLOOKUP(E79,SalesPerson!A:A,SalesPerson!C:C)</f>
        <v>Bali</v>
      </c>
      <c r="J79" s="2">
        <f t="shared" ca="1" si="9"/>
        <v>10</v>
      </c>
      <c r="K79" s="2">
        <f ca="1">_xlfn.XLOOKUP(D79,Products!A:A,Products!D:D)</f>
        <v>120000</v>
      </c>
      <c r="L79" s="2">
        <f ca="1">_xlfn.XLOOKUP(D79,Products!A:A,Products!E:E)</f>
        <v>80000</v>
      </c>
      <c r="M79" s="2">
        <f t="shared" ca="1" si="11"/>
        <v>1200000</v>
      </c>
      <c r="N79" s="2">
        <f t="shared" ca="1" si="12"/>
        <v>800000</v>
      </c>
      <c r="O79" s="3">
        <f t="shared" ca="1" si="13"/>
        <v>400000</v>
      </c>
      <c r="P79" s="2" t="str">
        <f ca="1">_xlfn.XLOOKUP(D79,Products!A:A,Products!C:C)</f>
        <v>Storage</v>
      </c>
    </row>
    <row r="80" spans="1:16" ht="28.8" x14ac:dyDescent="0.3">
      <c r="A80" t="str">
        <f t="shared" ca="1" si="10"/>
        <v>0002</v>
      </c>
      <c r="B80" s="13">
        <v>45797</v>
      </c>
      <c r="C80" s="2" t="str" cm="1">
        <f t="array" aca="1" ref="C80" ca="1">INDEX(Customers!A:A,RANDBETWEEN(2,20))</f>
        <v>C003</v>
      </c>
      <c r="D80" s="2" t="str" cm="1">
        <f t="array" aca="1" ref="D80" ca="1">INDEX(Products!A:A,RANDBETWEEN(2,101))</f>
        <v>P014</v>
      </c>
      <c r="E80" s="2" t="str" cm="1">
        <f t="array" aca="1" ref="E80" ca="1">INDEX(SalesPerson!A:A,RANDBETWEEN(2,21))</f>
        <v>S010</v>
      </c>
      <c r="F80" s="2" t="str">
        <f ca="1">_xlfn.XLOOKUP(C80,Customers!A:A,Customers!B:B)</f>
        <v>CV Sinar Teknologi</v>
      </c>
      <c r="G80" s="2" t="str">
        <f ca="1">_xlfn.XLOOKUP(D80,Products!A:A,Products!B:B)</f>
        <v>Speaker Logitech</v>
      </c>
      <c r="H80" s="2" t="str">
        <f ca="1">_xlfn.XLOOKUP(E80,SalesPerson!A:A,SalesPerson!B:B)</f>
        <v>Joko Susilo</v>
      </c>
      <c r="I80" s="2" t="str">
        <f ca="1">_xlfn.XLOOKUP(E80,SalesPerson!A:A,SalesPerson!C:C)</f>
        <v>Bekasi</v>
      </c>
      <c r="J80" s="2">
        <f t="shared" ca="1" si="9"/>
        <v>4</v>
      </c>
      <c r="K80" s="2">
        <f ca="1">_xlfn.XLOOKUP(D80,Products!A:A,Products!D:D)</f>
        <v>780000</v>
      </c>
      <c r="L80" s="2">
        <f ca="1">_xlfn.XLOOKUP(D80,Products!A:A,Products!E:E)</f>
        <v>590000</v>
      </c>
      <c r="M80" s="2">
        <f t="shared" ca="1" si="11"/>
        <v>3120000</v>
      </c>
      <c r="N80" s="2">
        <f t="shared" ca="1" si="12"/>
        <v>2360000</v>
      </c>
      <c r="O80" s="3">
        <f t="shared" ca="1" si="13"/>
        <v>760000</v>
      </c>
      <c r="P80" s="2" t="str">
        <f ca="1">_xlfn.XLOOKUP(D80,Products!A:A,Products!C:C)</f>
        <v>Audio</v>
      </c>
    </row>
    <row r="81" spans="1:16" x14ac:dyDescent="0.3">
      <c r="A81" t="str">
        <f t="shared" ca="1" si="10"/>
        <v>0075</v>
      </c>
      <c r="B81" s="13">
        <v>45798</v>
      </c>
      <c r="C81" s="2" t="str" cm="1">
        <f t="array" aca="1" ref="C81" ca="1">INDEX(Customers!A:A,RANDBETWEEN(2,20))</f>
        <v>C018</v>
      </c>
      <c r="D81" s="2" t="str" cm="1">
        <f t="array" aca="1" ref="D81" ca="1">INDEX(Products!A:A,RANDBETWEEN(2,101))</f>
        <v>P043</v>
      </c>
      <c r="E81" s="2" t="str" cm="1">
        <f t="array" aca="1" ref="E81" ca="1">INDEX(SalesPerson!A:A,RANDBETWEEN(2,21))</f>
        <v>S005</v>
      </c>
      <c r="F81" s="2" t="str">
        <f ca="1">_xlfn.XLOOKUP(C81,Customers!A:A,Customers!B:B)</f>
        <v>PT Indo Retail</v>
      </c>
      <c r="G81" s="2" t="str">
        <f ca="1">_xlfn.XLOOKUP(D81,Products!A:A,Products!B:B)</f>
        <v>Laptop HP 16</v>
      </c>
      <c r="H81" s="2" t="str">
        <f ca="1">_xlfn.XLOOKUP(E81,SalesPerson!A:A,SalesPerson!B:B)</f>
        <v>Eka Putri</v>
      </c>
      <c r="I81" s="2" t="str">
        <f ca="1">_xlfn.XLOOKUP(E81,SalesPerson!A:A,SalesPerson!C:C)</f>
        <v>Makassar</v>
      </c>
      <c r="J81" s="2">
        <f t="shared" ca="1" si="9"/>
        <v>3</v>
      </c>
      <c r="K81" s="2">
        <f ca="1">_xlfn.XLOOKUP(D81,Products!A:A,Products!D:D)</f>
        <v>7800000</v>
      </c>
      <c r="L81" s="2">
        <f ca="1">_xlfn.XLOOKUP(D81,Products!A:A,Products!E:E)</f>
        <v>6500000</v>
      </c>
      <c r="M81" s="2">
        <f t="shared" ca="1" si="11"/>
        <v>23400000</v>
      </c>
      <c r="N81" s="2">
        <f t="shared" ca="1" si="12"/>
        <v>19500000</v>
      </c>
      <c r="O81" s="3">
        <f t="shared" ca="1" si="13"/>
        <v>3900000</v>
      </c>
      <c r="P81" s="2" t="str">
        <f ca="1">_xlfn.XLOOKUP(D81,Products!A:A,Products!C:C)</f>
        <v>Laptop</v>
      </c>
    </row>
    <row r="82" spans="1:16" ht="28.8" x14ac:dyDescent="0.3">
      <c r="A82" t="str">
        <f t="shared" ca="1" si="10"/>
        <v>0095</v>
      </c>
      <c r="B82" s="13">
        <v>45799</v>
      </c>
      <c r="C82" s="2" t="str" cm="1">
        <f t="array" aca="1" ref="C82" ca="1">INDEX(Customers!A:A,RANDBETWEEN(2,20))</f>
        <v>C015</v>
      </c>
      <c r="D82" s="2" t="str" cm="1">
        <f t="array" aca="1" ref="D82" ca="1">INDEX(Products!A:A,RANDBETWEEN(2,101))</f>
        <v>P036</v>
      </c>
      <c r="E82" s="2" t="str" cm="1">
        <f t="array" aca="1" ref="E82" ca="1">INDEX(SalesPerson!A:A,RANDBETWEEN(2,21))</f>
        <v>S011</v>
      </c>
      <c r="F82" s="2" t="str">
        <f ca="1">_xlfn.XLOOKUP(C82,Customers!A:A,Customers!B:B)</f>
        <v>PT Sentosa Abadi</v>
      </c>
      <c r="G82" s="2" t="str">
        <f ca="1">_xlfn.XLOOKUP(D82,Products!A:A,Products!B:B)</f>
        <v>Router TP-Link</v>
      </c>
      <c r="H82" s="2" t="str">
        <f ca="1">_xlfn.XLOOKUP(E82,SalesPerson!A:A,SalesPerson!B:B)</f>
        <v>Kevin Saputra</v>
      </c>
      <c r="I82" s="2" t="str">
        <f ca="1">_xlfn.XLOOKUP(E82,SalesPerson!A:A,SalesPerson!C:C)</f>
        <v>Tangerang</v>
      </c>
      <c r="J82" s="2">
        <f t="shared" ca="1" si="9"/>
        <v>4</v>
      </c>
      <c r="K82" s="2">
        <f ca="1">_xlfn.XLOOKUP(D82,Products!A:A,Products!D:D)</f>
        <v>670000</v>
      </c>
      <c r="L82" s="2">
        <f ca="1">_xlfn.XLOOKUP(D82,Products!A:A,Products!E:E)</f>
        <v>510000</v>
      </c>
      <c r="M82" s="2">
        <f t="shared" ca="1" si="11"/>
        <v>2680000</v>
      </c>
      <c r="N82" s="2">
        <f t="shared" ca="1" si="12"/>
        <v>2040000</v>
      </c>
      <c r="O82" s="3">
        <f t="shared" ca="1" si="13"/>
        <v>640000</v>
      </c>
      <c r="P82" s="2" t="str">
        <f ca="1">_xlfn.XLOOKUP(D82,Products!A:A,Products!C:C)</f>
        <v>Network</v>
      </c>
    </row>
    <row r="83" spans="1:16" ht="28.8" x14ac:dyDescent="0.3">
      <c r="A83" t="str">
        <f t="shared" ca="1" si="10"/>
        <v>0036</v>
      </c>
      <c r="B83" s="13">
        <v>45800</v>
      </c>
      <c r="C83" s="2" t="str" cm="1">
        <f t="array" aca="1" ref="C83" ca="1">INDEX(Customers!A:A,RANDBETWEEN(2,20))</f>
        <v>C013</v>
      </c>
      <c r="D83" s="2" t="str" cm="1">
        <f t="array" aca="1" ref="D83" ca="1">INDEX(Products!A:A,RANDBETWEEN(2,101))</f>
        <v>P048</v>
      </c>
      <c r="E83" s="2" t="str" cm="1">
        <f t="array" aca="1" ref="E83" ca="1">INDEX(SalesPerson!A:A,RANDBETWEEN(2,21))</f>
        <v>S001</v>
      </c>
      <c r="F83" s="2" t="str">
        <f ca="1">_xlfn.XLOOKUP(C83,Customers!A:A,Customers!B:B)</f>
        <v>PT Prima Teknologi</v>
      </c>
      <c r="G83" s="2" t="str">
        <f ca="1">_xlfn.XLOOKUP(D83,Products!A:A,Products!B:B)</f>
        <v>SSD 1TB Kingston</v>
      </c>
      <c r="H83" s="2" t="str">
        <f ca="1">_xlfn.XLOOKUP(E83,SalesPerson!A:A,SalesPerson!B:B)</f>
        <v>Andi Pratama</v>
      </c>
      <c r="I83" s="2" t="str">
        <f ca="1">_xlfn.XLOOKUP(E83,SalesPerson!A:A,SalesPerson!C:C)</f>
        <v>Jakarta</v>
      </c>
      <c r="J83" s="2">
        <f t="shared" ca="1" si="9"/>
        <v>6</v>
      </c>
      <c r="K83" s="2">
        <f ca="1">_xlfn.XLOOKUP(D83,Products!A:A,Products!D:D)</f>
        <v>1250000</v>
      </c>
      <c r="L83" s="2">
        <f ca="1">_xlfn.XLOOKUP(D83,Products!A:A,Products!E:E)</f>
        <v>980000</v>
      </c>
      <c r="M83" s="2">
        <f t="shared" ca="1" si="11"/>
        <v>7500000</v>
      </c>
      <c r="N83" s="2">
        <f t="shared" ca="1" si="12"/>
        <v>5880000</v>
      </c>
      <c r="O83" s="3">
        <f t="shared" ca="1" si="13"/>
        <v>1620000</v>
      </c>
      <c r="P83" s="2" t="str">
        <f ca="1">_xlfn.XLOOKUP(D83,Products!A:A,Products!C:C)</f>
        <v>Storage</v>
      </c>
    </row>
    <row r="84" spans="1:16" ht="28.8" x14ac:dyDescent="0.3">
      <c r="A84" t="str">
        <f t="shared" ca="1" si="10"/>
        <v>0055</v>
      </c>
      <c r="B84" s="13">
        <v>45801</v>
      </c>
      <c r="C84" s="2" t="str" cm="1">
        <f t="array" aca="1" ref="C84" ca="1">INDEX(Customers!A:A,RANDBETWEEN(2,20))</f>
        <v>C016</v>
      </c>
      <c r="D84" s="2" t="str" cm="1">
        <f t="array" aca="1" ref="D84" ca="1">INDEX(Products!A:A,RANDBETWEEN(2,101))</f>
        <v>P016</v>
      </c>
      <c r="E84" s="2" t="str" cm="1">
        <f t="array" aca="1" ref="E84" ca="1">INDEX(SalesPerson!A:A,RANDBETWEEN(2,21))</f>
        <v>S011</v>
      </c>
      <c r="F84" s="2" t="str">
        <f ca="1">_xlfn.XLOOKUP(C84,Customers!A:A,Customers!B:B)</f>
        <v>PT Global Nusantara</v>
      </c>
      <c r="G84" s="2" t="str">
        <f ca="1">_xlfn.XLOOKUP(D84,Products!A:A,Products!B:B)</f>
        <v>Router TP-Link</v>
      </c>
      <c r="H84" s="2" t="str">
        <f ca="1">_xlfn.XLOOKUP(E84,SalesPerson!A:A,SalesPerson!B:B)</f>
        <v>Kevin Saputra</v>
      </c>
      <c r="I84" s="2" t="str">
        <f ca="1">_xlfn.XLOOKUP(E84,SalesPerson!A:A,SalesPerson!C:C)</f>
        <v>Tangerang</v>
      </c>
      <c r="J84" s="2">
        <f t="shared" ca="1" si="9"/>
        <v>8</v>
      </c>
      <c r="K84" s="2">
        <f ca="1">_xlfn.XLOOKUP(D84,Products!A:A,Products!D:D)</f>
        <v>670000</v>
      </c>
      <c r="L84" s="2">
        <f ca="1">_xlfn.XLOOKUP(D84,Products!A:A,Products!E:E)</f>
        <v>510000</v>
      </c>
      <c r="M84" s="2">
        <f t="shared" ca="1" si="11"/>
        <v>5360000</v>
      </c>
      <c r="N84" s="2">
        <f t="shared" ca="1" si="12"/>
        <v>4080000</v>
      </c>
      <c r="O84" s="3">
        <f t="shared" ca="1" si="13"/>
        <v>1280000</v>
      </c>
      <c r="P84" s="2" t="str">
        <f ca="1">_xlfn.XLOOKUP(D84,Products!A:A,Products!C:C)</f>
        <v>Network</v>
      </c>
    </row>
    <row r="85" spans="1:16" ht="28.8" x14ac:dyDescent="0.3">
      <c r="A85" t="str">
        <f t="shared" ca="1" si="10"/>
        <v>0048</v>
      </c>
      <c r="B85" s="13">
        <v>45802</v>
      </c>
      <c r="C85" s="2" t="str" cm="1">
        <f t="array" aca="1" ref="C85" ca="1">INDEX(Customers!A:A,RANDBETWEEN(2,20))</f>
        <v>C005</v>
      </c>
      <c r="D85" s="2" t="str" cm="1">
        <f t="array" aca="1" ref="D85" ca="1">INDEX(Products!A:A,RANDBETWEEN(2,101))</f>
        <v>P076</v>
      </c>
      <c r="E85" s="2" t="str" cm="1">
        <f t="array" aca="1" ref="E85" ca="1">INDEX(SalesPerson!A:A,RANDBETWEEN(2,21))</f>
        <v>S006</v>
      </c>
      <c r="F85" s="2" t="str">
        <f ca="1">_xlfn.XLOOKUP(C85,Customers!A:A,Customers!B:B)</f>
        <v>PT Berkah Sejahtera</v>
      </c>
      <c r="G85" s="2" t="str">
        <f ca="1">_xlfn.XLOOKUP(D85,Products!A:A,Products!B:B)</f>
        <v>Router TP-Link</v>
      </c>
      <c r="H85" s="2" t="str">
        <f ca="1">_xlfn.XLOOKUP(E85,SalesPerson!A:A,SalesPerson!B:B)</f>
        <v>Fajar Nugroho</v>
      </c>
      <c r="I85" s="2" t="str">
        <f ca="1">_xlfn.XLOOKUP(E85,SalesPerson!A:A,SalesPerson!C:C)</f>
        <v>Semarang</v>
      </c>
      <c r="J85" s="2">
        <f t="shared" ca="1" si="9"/>
        <v>3</v>
      </c>
      <c r="K85" s="2">
        <f ca="1">_xlfn.XLOOKUP(D85,Products!A:A,Products!D:D)</f>
        <v>670000</v>
      </c>
      <c r="L85" s="2">
        <f ca="1">_xlfn.XLOOKUP(D85,Products!A:A,Products!E:E)</f>
        <v>510000</v>
      </c>
      <c r="M85" s="2">
        <f t="shared" ca="1" si="11"/>
        <v>2010000</v>
      </c>
      <c r="N85" s="2">
        <f t="shared" ca="1" si="12"/>
        <v>1530000</v>
      </c>
      <c r="O85" s="3">
        <f t="shared" ca="1" si="13"/>
        <v>480000</v>
      </c>
      <c r="P85" s="2" t="str">
        <f ca="1">_xlfn.XLOOKUP(D85,Products!A:A,Products!C:C)</f>
        <v>Network</v>
      </c>
    </row>
    <row r="86" spans="1:16" x14ac:dyDescent="0.3">
      <c r="A86" t="str">
        <f t="shared" ca="1" si="10"/>
        <v>0035</v>
      </c>
      <c r="B86" s="13">
        <v>45803</v>
      </c>
      <c r="C86" s="2" t="str" cm="1">
        <f t="array" aca="1" ref="C86" ca="1">INDEX(Customers!A:A,RANDBETWEEN(2,20))</f>
        <v>C004</v>
      </c>
      <c r="D86" s="2" t="str" cm="1">
        <f t="array" aca="1" ref="D86" ca="1">INDEX(Products!A:A,RANDBETWEEN(2,101))</f>
        <v>P096</v>
      </c>
      <c r="E86" s="2" t="str" cm="1">
        <f t="array" aca="1" ref="E86" ca="1">INDEX(SalesPerson!A:A,RANDBETWEEN(2,21))</f>
        <v>S001</v>
      </c>
      <c r="F86" s="2" t="str">
        <f ca="1">_xlfn.XLOOKUP(C86,Customers!A:A,Customers!B:B)</f>
        <v>PT Global Digital</v>
      </c>
      <c r="G86" s="2" t="str">
        <f ca="1">_xlfn.XLOOKUP(D86,Products!A:A,Products!B:B)</f>
        <v>Router TP-Link</v>
      </c>
      <c r="H86" s="2" t="str">
        <f ca="1">_xlfn.XLOOKUP(E86,SalesPerson!A:A,SalesPerson!B:B)</f>
        <v>Andi Pratama</v>
      </c>
      <c r="I86" s="2" t="str">
        <f ca="1">_xlfn.XLOOKUP(E86,SalesPerson!A:A,SalesPerson!C:C)</f>
        <v>Jakarta</v>
      </c>
      <c r="J86" s="2">
        <f t="shared" ca="1" si="9"/>
        <v>5</v>
      </c>
      <c r="K86" s="2">
        <f ca="1">_xlfn.XLOOKUP(D86,Products!A:A,Products!D:D)</f>
        <v>670000</v>
      </c>
      <c r="L86" s="2">
        <f ca="1">_xlfn.XLOOKUP(D86,Products!A:A,Products!E:E)</f>
        <v>510000</v>
      </c>
      <c r="M86" s="2">
        <f t="shared" ca="1" si="11"/>
        <v>3350000</v>
      </c>
      <c r="N86" s="2">
        <f t="shared" ca="1" si="12"/>
        <v>2550000</v>
      </c>
      <c r="O86" s="3">
        <f t="shared" ca="1" si="13"/>
        <v>800000</v>
      </c>
      <c r="P86" s="2" t="str">
        <f ca="1">_xlfn.XLOOKUP(D86,Products!A:A,Products!C:C)</f>
        <v>Network</v>
      </c>
    </row>
    <row r="87" spans="1:16" ht="28.8" x14ac:dyDescent="0.3">
      <c r="A87" t="str">
        <f t="shared" ca="1" si="10"/>
        <v>0093</v>
      </c>
      <c r="B87" s="13">
        <v>45804</v>
      </c>
      <c r="C87" s="2" t="str" cm="1">
        <f t="array" aca="1" ref="C87" ca="1">INDEX(Customers!A:A,RANDBETWEEN(2,20))</f>
        <v>C010</v>
      </c>
      <c r="D87" s="2" t="str" cm="1">
        <f t="array" aca="1" ref="D87" ca="1">INDEX(Products!A:A,RANDBETWEEN(2,101))</f>
        <v>P092</v>
      </c>
      <c r="E87" s="2" t="str" cm="1">
        <f t="array" aca="1" ref="E87" ca="1">INDEX(SalesPerson!A:A,RANDBETWEEN(2,21))</f>
        <v>S004</v>
      </c>
      <c r="F87" s="2" t="str">
        <f ca="1">_xlfn.XLOOKUP(C87,Customers!A:A,Customers!B:B)</f>
        <v>PT Bintang Timur</v>
      </c>
      <c r="G87" s="2" t="str">
        <f ca="1">_xlfn.XLOOKUP(D87,Products!A:A,Products!B:B)</f>
        <v>Webcam Logitech</v>
      </c>
      <c r="H87" s="2" t="str">
        <f ca="1">_xlfn.XLOOKUP(E87,SalesPerson!A:A,SalesPerson!B:B)</f>
        <v>Dimas Saputra</v>
      </c>
      <c r="I87" s="2" t="str">
        <f ca="1">_xlfn.XLOOKUP(E87,SalesPerson!A:A,SalesPerson!C:C)</f>
        <v>Medan</v>
      </c>
      <c r="J87" s="2">
        <f t="shared" ca="1" si="9"/>
        <v>9</v>
      </c>
      <c r="K87" s="2">
        <f ca="1">_xlfn.XLOOKUP(D87,Products!A:A,Products!D:D)</f>
        <v>680000</v>
      </c>
      <c r="L87" s="2">
        <f ca="1">_xlfn.XLOOKUP(D87,Products!A:A,Products!E:E)</f>
        <v>520000</v>
      </c>
      <c r="M87" s="2">
        <f t="shared" ca="1" si="11"/>
        <v>6120000</v>
      </c>
      <c r="N87" s="2">
        <f t="shared" ca="1" si="12"/>
        <v>4680000</v>
      </c>
      <c r="O87" s="3">
        <f t="shared" ca="1" si="13"/>
        <v>1440000</v>
      </c>
      <c r="P87" s="2" t="str">
        <f ca="1">_xlfn.XLOOKUP(D87,Products!A:A,Products!C:C)</f>
        <v>Accessories</v>
      </c>
    </row>
    <row r="88" spans="1:16" x14ac:dyDescent="0.3">
      <c r="A88" t="str">
        <f t="shared" ca="1" si="10"/>
        <v>0030</v>
      </c>
      <c r="B88" s="13">
        <v>45805</v>
      </c>
      <c r="C88" s="2" t="str" cm="1">
        <f t="array" aca="1" ref="C88" ca="1">INDEX(Customers!A:A,RANDBETWEEN(2,20))</f>
        <v>C011</v>
      </c>
      <c r="D88" s="2" t="str" cm="1">
        <f t="array" aca="1" ref="D88" ca="1">INDEX(Products!A:A,RANDBETWEEN(2,101))</f>
        <v>P034</v>
      </c>
      <c r="E88" s="2" t="str" cm="1">
        <f t="array" aca="1" ref="E88" ca="1">INDEX(SalesPerson!A:A,RANDBETWEEN(2,21))</f>
        <v>S003</v>
      </c>
      <c r="F88" s="2" t="str">
        <f ca="1">_xlfn.XLOOKUP(C88,Customers!A:A,Customers!B:B)</f>
        <v>CV Karya Mandiri</v>
      </c>
      <c r="G88" s="2" t="str">
        <f ca="1">_xlfn.XLOOKUP(D88,Products!A:A,Products!B:B)</f>
        <v>Speaker Logitech</v>
      </c>
      <c r="H88" s="2" t="str">
        <f ca="1">_xlfn.XLOOKUP(E88,SalesPerson!A:A,SalesPerson!B:B)</f>
        <v>Citra Lestari</v>
      </c>
      <c r="I88" s="2" t="str">
        <f ca="1">_xlfn.XLOOKUP(E88,SalesPerson!A:A,SalesPerson!C:C)</f>
        <v>Surabaya</v>
      </c>
      <c r="J88" s="2">
        <f t="shared" ca="1" si="9"/>
        <v>6</v>
      </c>
      <c r="K88" s="2">
        <f ca="1">_xlfn.XLOOKUP(D88,Products!A:A,Products!D:D)</f>
        <v>780000</v>
      </c>
      <c r="L88" s="2">
        <f ca="1">_xlfn.XLOOKUP(D88,Products!A:A,Products!E:E)</f>
        <v>590000</v>
      </c>
      <c r="M88" s="2">
        <f t="shared" ca="1" si="11"/>
        <v>4680000</v>
      </c>
      <c r="N88" s="2">
        <f t="shared" ca="1" si="12"/>
        <v>3540000</v>
      </c>
      <c r="O88" s="3">
        <f t="shared" ca="1" si="13"/>
        <v>1140000</v>
      </c>
      <c r="P88" s="2" t="str">
        <f ca="1">_xlfn.XLOOKUP(D88,Products!A:A,Products!C:C)</f>
        <v>Audio</v>
      </c>
    </row>
    <row r="89" spans="1:16" ht="28.8" x14ac:dyDescent="0.3">
      <c r="A89" t="str">
        <f t="shared" ca="1" si="10"/>
        <v>0032</v>
      </c>
      <c r="B89" s="13">
        <v>45806</v>
      </c>
      <c r="C89" s="2" t="str" cm="1">
        <f t="array" aca="1" ref="C89" ca="1">INDEX(Customers!A:A,RANDBETWEEN(2,20))</f>
        <v>C002</v>
      </c>
      <c r="D89" s="2" t="str" cm="1">
        <f t="array" aca="1" ref="D89" ca="1">INDEX(Products!A:A,RANDBETWEEN(2,101))</f>
        <v>P040</v>
      </c>
      <c r="E89" s="2" t="str" cm="1">
        <f t="array" aca="1" ref="E89" ca="1">INDEX(SalesPerson!A:A,RANDBETWEEN(2,21))</f>
        <v>S008</v>
      </c>
      <c r="F89" s="2" t="str">
        <f ca="1">_xlfn.XLOOKUP(C89,Customers!A:A,Customers!B:B)</f>
        <v>PT Nusantara Abadi</v>
      </c>
      <c r="G89" s="2" t="str">
        <f ca="1">_xlfn.XLOOKUP(D89,Products!A:A,Products!B:B)</f>
        <v>USB Hub 4 Port</v>
      </c>
      <c r="H89" s="2" t="str">
        <f ca="1">_xlfn.XLOOKUP(E89,SalesPerson!A:A,SalesPerson!B:B)</f>
        <v>Hendra Wijaya</v>
      </c>
      <c r="I89" s="2" t="str">
        <f ca="1">_xlfn.XLOOKUP(E89,SalesPerson!A:A,SalesPerson!C:C)</f>
        <v>Bali</v>
      </c>
      <c r="J89" s="2">
        <f t="shared" ca="1" si="9"/>
        <v>8</v>
      </c>
      <c r="K89" s="2">
        <f ca="1">_xlfn.XLOOKUP(D89,Products!A:A,Products!D:D)</f>
        <v>150000</v>
      </c>
      <c r="L89" s="2">
        <f ca="1">_xlfn.XLOOKUP(D89,Products!A:A,Products!E:E)</f>
        <v>90000</v>
      </c>
      <c r="M89" s="2">
        <f t="shared" ca="1" si="11"/>
        <v>1200000</v>
      </c>
      <c r="N89" s="2">
        <f t="shared" ca="1" si="12"/>
        <v>720000</v>
      </c>
      <c r="O89" s="3">
        <f t="shared" ca="1" si="13"/>
        <v>480000</v>
      </c>
      <c r="P89" s="2" t="str">
        <f ca="1">_xlfn.XLOOKUP(D89,Products!A:A,Products!C:C)</f>
        <v>Accessories</v>
      </c>
    </row>
    <row r="90" spans="1:16" x14ac:dyDescent="0.3">
      <c r="A90" t="str">
        <f t="shared" ca="1" si="10"/>
        <v>0012</v>
      </c>
      <c r="B90" s="13">
        <v>45807</v>
      </c>
      <c r="C90" s="2" t="str" cm="1">
        <f t="array" aca="1" ref="C90" ca="1">INDEX(Customers!A:A,RANDBETWEEN(2,20))</f>
        <v>C009</v>
      </c>
      <c r="D90" s="2" t="str" cm="1">
        <f t="array" aca="1" ref="D90" ca="1">INDEX(Products!A:A,RANDBETWEEN(2,101))</f>
        <v>P064</v>
      </c>
      <c r="E90" s="2" t="str" cm="1">
        <f t="array" aca="1" ref="E90" ca="1">INDEX(SalesPerson!A:A,RANDBETWEEN(2,21))</f>
        <v>S001</v>
      </c>
      <c r="F90" s="2" t="str">
        <f ca="1">_xlfn.XLOOKUP(C90,Customers!A:A,Customers!B:B)</f>
        <v>PT Andalan Prima</v>
      </c>
      <c r="G90" s="2" t="str">
        <f ca="1">_xlfn.XLOOKUP(D90,Products!A:A,Products!B:B)</f>
        <v>Monitor LG 24"</v>
      </c>
      <c r="H90" s="2" t="str">
        <f ca="1">_xlfn.XLOOKUP(E90,SalesPerson!A:A,SalesPerson!B:B)</f>
        <v>Andi Pratama</v>
      </c>
      <c r="I90" s="2" t="str">
        <f ca="1">_xlfn.XLOOKUP(E90,SalesPerson!A:A,SalesPerson!C:C)</f>
        <v>Jakarta</v>
      </c>
      <c r="J90" s="2">
        <f t="shared" ca="1" si="9"/>
        <v>7</v>
      </c>
      <c r="K90" s="2">
        <f ca="1">_xlfn.XLOOKUP(D90,Products!A:A,Products!D:D)</f>
        <v>2100000</v>
      </c>
      <c r="L90" s="2">
        <f ca="1">_xlfn.XLOOKUP(D90,Products!A:A,Products!E:E)</f>
        <v>1700000</v>
      </c>
      <c r="M90" s="2">
        <f t="shared" ca="1" si="11"/>
        <v>14700000</v>
      </c>
      <c r="N90" s="2">
        <f t="shared" ca="1" si="12"/>
        <v>11900000</v>
      </c>
      <c r="O90" s="3">
        <f t="shared" ca="1" si="13"/>
        <v>2800000</v>
      </c>
      <c r="P90" s="2" t="str">
        <f ca="1">_xlfn.XLOOKUP(D90,Products!A:A,Products!C:C)</f>
        <v>Monitor</v>
      </c>
    </row>
    <row r="91" spans="1:16" ht="28.8" x14ac:dyDescent="0.3">
      <c r="A91" t="str">
        <f t="shared" ca="1" si="10"/>
        <v>0001</v>
      </c>
      <c r="B91" s="13">
        <v>45808</v>
      </c>
      <c r="C91" s="2" t="str" cm="1">
        <f t="array" aca="1" ref="C91" ca="1">INDEX(Customers!A:A,RANDBETWEEN(2,20))</f>
        <v>C001</v>
      </c>
      <c r="D91" s="2" t="str" cm="1">
        <f t="array" aca="1" ref="D91" ca="1">INDEX(Products!A:A,RANDBETWEEN(2,101))</f>
        <v>P095</v>
      </c>
      <c r="E91" s="2" t="str" cm="1">
        <f t="array" aca="1" ref="E91" ca="1">INDEX(SalesPerson!A:A,RANDBETWEEN(2,21))</f>
        <v>S013</v>
      </c>
      <c r="F91" s="2" t="str">
        <f ca="1">_xlfn.XLOOKUP(C91,Customers!A:A,Customers!B:B)</f>
        <v>PT Maju Jaya</v>
      </c>
      <c r="G91" s="2" t="str">
        <f ca="1">_xlfn.XLOOKUP(D91,Products!A:A,Products!B:B)</f>
        <v>UPS APC 650VA</v>
      </c>
      <c r="H91" s="2" t="str">
        <f ca="1">_xlfn.XLOOKUP(E91,SalesPerson!A:A,SalesPerson!B:B)</f>
        <v>Muhammad Rizki</v>
      </c>
      <c r="I91" s="2" t="str">
        <f ca="1">_xlfn.XLOOKUP(E91,SalesPerson!A:A,SalesPerson!C:C)</f>
        <v>Bogor</v>
      </c>
      <c r="J91" s="2">
        <f t="shared" ca="1" si="9"/>
        <v>1</v>
      </c>
      <c r="K91" s="2">
        <f ca="1">_xlfn.XLOOKUP(D91,Products!A:A,Products!D:D)</f>
        <v>950000</v>
      </c>
      <c r="L91" s="2">
        <f ca="1">_xlfn.XLOOKUP(D91,Products!A:A,Products!E:E)</f>
        <v>760000</v>
      </c>
      <c r="M91" s="2">
        <f t="shared" ca="1" si="11"/>
        <v>950000</v>
      </c>
      <c r="N91" s="2">
        <f t="shared" ca="1" si="12"/>
        <v>760000</v>
      </c>
      <c r="O91" s="3">
        <f t="shared" ca="1" si="13"/>
        <v>190000</v>
      </c>
      <c r="P91" s="2" t="str">
        <f ca="1">_xlfn.XLOOKUP(D91,Products!A:A,Products!C:C)</f>
        <v>Power</v>
      </c>
    </row>
    <row r="92" spans="1:16" ht="28.8" x14ac:dyDescent="0.3">
      <c r="A92" t="str">
        <f t="shared" ca="1" si="10"/>
        <v>0020</v>
      </c>
      <c r="B92" s="13">
        <v>45809</v>
      </c>
      <c r="C92" s="2" t="str" cm="1">
        <f t="array" aca="1" ref="C92" ca="1">INDEX(Customers!A:A,RANDBETWEEN(2,20))</f>
        <v>C010</v>
      </c>
      <c r="D92" s="2" t="str" cm="1">
        <f t="array" aca="1" ref="D92" ca="1">INDEX(Products!A:A,RANDBETWEEN(2,101))</f>
        <v>P085</v>
      </c>
      <c r="E92" s="2" t="str" cm="1">
        <f t="array" aca="1" ref="E92" ca="1">INDEX(SalesPerson!A:A,RANDBETWEEN(2,21))</f>
        <v>S001</v>
      </c>
      <c r="F92" s="2" t="str">
        <f ca="1">_xlfn.XLOOKUP(C92,Customers!A:A,Customers!B:B)</f>
        <v>PT Bintang Timur</v>
      </c>
      <c r="G92" s="2" t="str">
        <f ca="1">_xlfn.XLOOKUP(D92,Products!A:A,Products!B:B)</f>
        <v>Monitor Samsung 27"</v>
      </c>
      <c r="H92" s="2" t="str">
        <f ca="1">_xlfn.XLOOKUP(E92,SalesPerson!A:A,SalesPerson!B:B)</f>
        <v>Andi Pratama</v>
      </c>
      <c r="I92" s="2" t="str">
        <f ca="1">_xlfn.XLOOKUP(E92,SalesPerson!A:A,SalesPerson!C:C)</f>
        <v>Jakarta</v>
      </c>
      <c r="J92" s="2">
        <f t="shared" ca="1" si="9"/>
        <v>10</v>
      </c>
      <c r="K92" s="2">
        <f ca="1">_xlfn.XLOOKUP(D92,Products!A:A,Products!D:D)</f>
        <v>3200000</v>
      </c>
      <c r="L92" s="2">
        <f ca="1">_xlfn.XLOOKUP(D92,Products!A:A,Products!E:E)</f>
        <v>2600000</v>
      </c>
      <c r="M92" s="2">
        <f t="shared" ca="1" si="11"/>
        <v>32000000</v>
      </c>
      <c r="N92" s="2">
        <f t="shared" ca="1" si="12"/>
        <v>26000000</v>
      </c>
      <c r="O92" s="3">
        <f t="shared" ca="1" si="13"/>
        <v>6000000</v>
      </c>
      <c r="P92" s="2" t="str">
        <f ca="1">_xlfn.XLOOKUP(D92,Products!A:A,Products!C:C)</f>
        <v>Monitor</v>
      </c>
    </row>
    <row r="93" spans="1:16" ht="28.8" x14ac:dyDescent="0.3">
      <c r="A93" t="str">
        <f t="shared" ca="1" si="10"/>
        <v>0012</v>
      </c>
      <c r="B93" s="13">
        <v>45810</v>
      </c>
      <c r="C93" s="2" t="str" cm="1">
        <f t="array" aca="1" ref="C93" ca="1">INDEX(Customers!A:A,RANDBETWEEN(2,20))</f>
        <v>C001</v>
      </c>
      <c r="D93" s="2" t="str" cm="1">
        <f t="array" aca="1" ref="D93" ca="1">INDEX(Products!A:A,RANDBETWEEN(2,101))</f>
        <v>P058</v>
      </c>
      <c r="E93" s="2" t="str" cm="1">
        <f t="array" aca="1" ref="E93" ca="1">INDEX(SalesPerson!A:A,RANDBETWEEN(2,21))</f>
        <v>S015</v>
      </c>
      <c r="F93" s="2" t="str">
        <f ca="1">_xlfn.XLOOKUP(C93,Customers!A:A,Customers!B:B)</f>
        <v>PT Maju Jaya</v>
      </c>
      <c r="G93" s="2" t="str">
        <f ca="1">_xlfn.XLOOKUP(D93,Products!A:A,Products!B:B)</f>
        <v>RAM DDR4 16GB</v>
      </c>
      <c r="H93" s="2" t="str">
        <f ca="1">_xlfn.XLOOKUP(E93,SalesPerson!A:A,SalesPerson!B:B)</f>
        <v>Olivia Putri</v>
      </c>
      <c r="I93" s="2" t="str">
        <f ca="1">_xlfn.XLOOKUP(E93,SalesPerson!A:A,SalesPerson!C:C)</f>
        <v>Batam</v>
      </c>
      <c r="J93" s="2">
        <f t="shared" ca="1" si="9"/>
        <v>6</v>
      </c>
      <c r="K93" s="2">
        <f ca="1">_xlfn.XLOOKUP(D93,Products!A:A,Products!D:D)</f>
        <v>980000</v>
      </c>
      <c r="L93" s="2">
        <f ca="1">_xlfn.XLOOKUP(D93,Products!A:A,Products!E:E)</f>
        <v>780000</v>
      </c>
      <c r="M93" s="2">
        <f t="shared" ca="1" si="11"/>
        <v>5880000</v>
      </c>
      <c r="N93" s="2">
        <f t="shared" ca="1" si="12"/>
        <v>4680000</v>
      </c>
      <c r="O93" s="3">
        <f t="shared" ca="1" si="13"/>
        <v>1200000</v>
      </c>
      <c r="P93" s="2" t="str">
        <f ca="1">_xlfn.XLOOKUP(D93,Products!A:A,Products!C:C)</f>
        <v>Components</v>
      </c>
    </row>
    <row r="94" spans="1:16" ht="28.8" x14ac:dyDescent="0.3">
      <c r="A94" t="str">
        <f t="shared" ca="1" si="10"/>
        <v>0046</v>
      </c>
      <c r="B94" s="13">
        <v>45811</v>
      </c>
      <c r="C94" s="2" t="str" cm="1">
        <f t="array" aca="1" ref="C94" ca="1">INDEX(Customers!A:A,RANDBETWEEN(2,20))</f>
        <v>C002</v>
      </c>
      <c r="D94" s="2" t="str" cm="1">
        <f t="array" aca="1" ref="D94" ca="1">INDEX(Products!A:A,RANDBETWEEN(2,101))</f>
        <v>P050</v>
      </c>
      <c r="E94" s="2" t="str" cm="1">
        <f t="array" aca="1" ref="E94" ca="1">INDEX(SalesPerson!A:A,RANDBETWEEN(2,21))</f>
        <v>S019</v>
      </c>
      <c r="F94" s="2" t="str">
        <f ca="1">_xlfn.XLOOKUP(C94,Customers!A:A,Customers!B:B)</f>
        <v>PT Nusantara Abadi</v>
      </c>
      <c r="G94" s="2" t="str">
        <f ca="1">_xlfn.XLOOKUP(D94,Products!A:A,Products!B:B)</f>
        <v>Flashdisk 64GB</v>
      </c>
      <c r="H94" s="2" t="str">
        <f ca="1">_xlfn.XLOOKUP(E94,SalesPerson!A:A,SalesPerson!B:B)</f>
        <v>Sinta Maharani</v>
      </c>
      <c r="I94" s="2" t="str">
        <f ca="1">_xlfn.XLOOKUP(E94,SalesPerson!A:A,SalesPerson!C:C)</f>
        <v>Solo</v>
      </c>
      <c r="J94" s="2">
        <f t="shared" ca="1" si="9"/>
        <v>8</v>
      </c>
      <c r="K94" s="2">
        <f ca="1">_xlfn.XLOOKUP(D94,Products!A:A,Products!D:D)</f>
        <v>120000</v>
      </c>
      <c r="L94" s="2">
        <f ca="1">_xlfn.XLOOKUP(D94,Products!A:A,Products!E:E)</f>
        <v>80000</v>
      </c>
      <c r="M94" s="2">
        <f t="shared" ca="1" si="11"/>
        <v>960000</v>
      </c>
      <c r="N94" s="2">
        <f t="shared" ca="1" si="12"/>
        <v>640000</v>
      </c>
      <c r="O94" s="3">
        <f t="shared" ca="1" si="13"/>
        <v>320000</v>
      </c>
      <c r="P94" s="2" t="str">
        <f ca="1">_xlfn.XLOOKUP(D94,Products!A:A,Products!C:C)</f>
        <v>Storage</v>
      </c>
    </row>
    <row r="95" spans="1:16" ht="28.8" x14ac:dyDescent="0.3">
      <c r="A95" t="str">
        <f t="shared" ca="1" si="10"/>
        <v>0034</v>
      </c>
      <c r="B95" s="13">
        <v>45812</v>
      </c>
      <c r="C95" s="2" t="str" cm="1">
        <f t="array" aca="1" ref="C95" ca="1">INDEX(Customers!A:A,RANDBETWEEN(2,20))</f>
        <v>C011</v>
      </c>
      <c r="D95" s="2" t="str" cm="1">
        <f t="array" aca="1" ref="D95" ca="1">INDEX(Products!A:A,RANDBETWEEN(2,101))</f>
        <v>P026</v>
      </c>
      <c r="E95" s="2" t="str" cm="1">
        <f t="array" aca="1" ref="E95" ca="1">INDEX(SalesPerson!A:A,RANDBETWEEN(2,21))</f>
        <v>S004</v>
      </c>
      <c r="F95" s="2" t="str">
        <f ca="1">_xlfn.XLOOKUP(C95,Customers!A:A,Customers!B:B)</f>
        <v>CV Karya Mandiri</v>
      </c>
      <c r="G95" s="2" t="str">
        <f ca="1">_xlfn.XLOOKUP(D95,Products!A:A,Products!B:B)</f>
        <v>Mechanical Keyboard</v>
      </c>
      <c r="H95" s="2" t="str">
        <f ca="1">_xlfn.XLOOKUP(E95,SalesPerson!A:A,SalesPerson!B:B)</f>
        <v>Dimas Saputra</v>
      </c>
      <c r="I95" s="2" t="str">
        <f ca="1">_xlfn.XLOOKUP(E95,SalesPerson!A:A,SalesPerson!C:C)</f>
        <v>Medan</v>
      </c>
      <c r="J95" s="2">
        <f t="shared" ca="1" si="9"/>
        <v>4</v>
      </c>
      <c r="K95" s="2">
        <f ca="1">_xlfn.XLOOKUP(D95,Products!A:A,Products!D:D)</f>
        <v>750000</v>
      </c>
      <c r="L95" s="2">
        <f ca="1">_xlfn.XLOOKUP(D95,Products!A:A,Products!E:E)</f>
        <v>520000</v>
      </c>
      <c r="M95" s="2">
        <f t="shared" ca="1" si="11"/>
        <v>3000000</v>
      </c>
      <c r="N95" s="2">
        <f t="shared" ca="1" si="12"/>
        <v>2080000</v>
      </c>
      <c r="O95" s="3">
        <f t="shared" ca="1" si="13"/>
        <v>920000</v>
      </c>
      <c r="P95" s="2" t="str">
        <f ca="1">_xlfn.XLOOKUP(D95,Products!A:A,Products!C:C)</f>
        <v>Accessories</v>
      </c>
    </row>
    <row r="96" spans="1:16" ht="28.8" x14ac:dyDescent="0.3">
      <c r="A96" t="str">
        <f t="shared" ca="1" si="10"/>
        <v>0064</v>
      </c>
      <c r="B96" s="13">
        <v>45813</v>
      </c>
      <c r="C96" s="2" t="str" cm="1">
        <f t="array" aca="1" ref="C96" ca="1">INDEX(Customers!A:A,RANDBETWEEN(2,20))</f>
        <v>C009</v>
      </c>
      <c r="D96" s="2" t="str" cm="1">
        <f t="array" aca="1" ref="D96" ca="1">INDEX(Products!A:A,RANDBETWEEN(2,101))</f>
        <v>P024</v>
      </c>
      <c r="E96" s="2" t="str" cm="1">
        <f t="array" aca="1" ref="E96" ca="1">INDEX(SalesPerson!A:A,RANDBETWEEN(2,21))</f>
        <v>S003</v>
      </c>
      <c r="F96" s="2" t="str">
        <f ca="1">_xlfn.XLOOKUP(C96,Customers!A:A,Customers!B:B)</f>
        <v>PT Andalan Prima</v>
      </c>
      <c r="G96" s="2" t="str">
        <f ca="1">_xlfn.XLOOKUP(D96,Products!A:A,Products!B:B)</f>
        <v>Monitor LG 24"</v>
      </c>
      <c r="H96" s="2" t="str">
        <f ca="1">_xlfn.XLOOKUP(E96,SalesPerson!A:A,SalesPerson!B:B)</f>
        <v>Citra Lestari</v>
      </c>
      <c r="I96" s="2" t="str">
        <f ca="1">_xlfn.XLOOKUP(E96,SalesPerson!A:A,SalesPerson!C:C)</f>
        <v>Surabaya</v>
      </c>
      <c r="J96" s="2">
        <f t="shared" ca="1" si="9"/>
        <v>6</v>
      </c>
      <c r="K96" s="2">
        <f ca="1">_xlfn.XLOOKUP(D96,Products!A:A,Products!D:D)</f>
        <v>2100000</v>
      </c>
      <c r="L96" s="2">
        <f ca="1">_xlfn.XLOOKUP(D96,Products!A:A,Products!E:E)</f>
        <v>1700000</v>
      </c>
      <c r="M96" s="2">
        <f t="shared" ca="1" si="11"/>
        <v>12600000</v>
      </c>
      <c r="N96" s="2">
        <f t="shared" ca="1" si="12"/>
        <v>10200000</v>
      </c>
      <c r="O96" s="3">
        <f t="shared" ca="1" si="13"/>
        <v>2400000</v>
      </c>
      <c r="P96" s="2" t="str">
        <f ca="1">_xlfn.XLOOKUP(D96,Products!A:A,Products!C:C)</f>
        <v>Monitor</v>
      </c>
    </row>
    <row r="97" spans="1:16" x14ac:dyDescent="0.3">
      <c r="A97" t="str">
        <f t="shared" ca="1" si="10"/>
        <v>0016</v>
      </c>
      <c r="B97" s="13">
        <v>45814</v>
      </c>
      <c r="C97" s="2" t="str" cm="1">
        <f t="array" aca="1" ref="C97" ca="1">INDEX(Customers!A:A,RANDBETWEEN(2,20))</f>
        <v>C012</v>
      </c>
      <c r="D97" s="2" t="str" cm="1">
        <f t="array" aca="1" ref="D97" ca="1">INDEX(Products!A:A,RANDBETWEEN(2,101))</f>
        <v>P076</v>
      </c>
      <c r="E97" s="2" t="str" cm="1">
        <f t="array" aca="1" ref="E97" ca="1">INDEX(SalesPerson!A:A,RANDBETWEEN(2,21))</f>
        <v>S006</v>
      </c>
      <c r="F97" s="2" t="str">
        <f ca="1">_xlfn.XLOOKUP(C97,Customers!A:A,Customers!B:B)</f>
        <v>PT Sukses Makmur</v>
      </c>
      <c r="G97" s="2" t="str">
        <f ca="1">_xlfn.XLOOKUP(D97,Products!A:A,Products!B:B)</f>
        <v>Router TP-Link</v>
      </c>
      <c r="H97" s="2" t="str">
        <f ca="1">_xlfn.XLOOKUP(E97,SalesPerson!A:A,SalesPerson!B:B)</f>
        <v>Fajar Nugroho</v>
      </c>
      <c r="I97" s="2" t="str">
        <f ca="1">_xlfn.XLOOKUP(E97,SalesPerson!A:A,SalesPerson!C:C)</f>
        <v>Semarang</v>
      </c>
      <c r="J97" s="2">
        <f t="shared" ca="1" si="9"/>
        <v>9</v>
      </c>
      <c r="K97" s="2">
        <f ca="1">_xlfn.XLOOKUP(D97,Products!A:A,Products!D:D)</f>
        <v>670000</v>
      </c>
      <c r="L97" s="2">
        <f ca="1">_xlfn.XLOOKUP(D97,Products!A:A,Products!E:E)</f>
        <v>510000</v>
      </c>
      <c r="M97" s="2">
        <f t="shared" ca="1" si="11"/>
        <v>6030000</v>
      </c>
      <c r="N97" s="2">
        <f t="shared" ca="1" si="12"/>
        <v>4590000</v>
      </c>
      <c r="O97" s="3">
        <f t="shared" ca="1" si="13"/>
        <v>1440000</v>
      </c>
      <c r="P97" s="2" t="str">
        <f ca="1">_xlfn.XLOOKUP(D97,Products!A:A,Products!C:C)</f>
        <v>Network</v>
      </c>
    </row>
    <row r="98" spans="1:16" ht="28.8" x14ac:dyDescent="0.3">
      <c r="A98" t="str">
        <f t="shared" ca="1" si="10"/>
        <v>0071</v>
      </c>
      <c r="B98" s="13">
        <v>45815</v>
      </c>
      <c r="C98" s="2" t="str" cm="1">
        <f t="array" aca="1" ref="C98" ca="1">INDEX(Customers!A:A,RANDBETWEEN(2,20))</f>
        <v>C002</v>
      </c>
      <c r="D98" s="2" t="str" cm="1">
        <f t="array" aca="1" ref="D98" ca="1">INDEX(Products!A:A,RANDBETWEEN(2,101))</f>
        <v>P004</v>
      </c>
      <c r="E98" s="2" t="str" cm="1">
        <f t="array" aca="1" ref="E98" ca="1">INDEX(SalesPerson!A:A,RANDBETWEEN(2,21))</f>
        <v>S009</v>
      </c>
      <c r="F98" s="2" t="str">
        <f ca="1">_xlfn.XLOOKUP(C98,Customers!A:A,Customers!B:B)</f>
        <v>PT Nusantara Abadi</v>
      </c>
      <c r="G98" s="2" t="str">
        <f ca="1">_xlfn.XLOOKUP(D98,Products!A:A,Products!B:B)</f>
        <v>Monitor LG 24"</v>
      </c>
      <c r="H98" s="2" t="str">
        <f ca="1">_xlfn.XLOOKUP(E98,SalesPerson!A:A,SalesPerson!B:B)</f>
        <v>Intan Permata</v>
      </c>
      <c r="I98" s="2" t="str">
        <f ca="1">_xlfn.XLOOKUP(E98,SalesPerson!A:A,SalesPerson!C:C)</f>
        <v>Palembang</v>
      </c>
      <c r="J98" s="2">
        <f t="shared" ca="1" si="9"/>
        <v>6</v>
      </c>
      <c r="K98" s="2">
        <f ca="1">_xlfn.XLOOKUP(D98,Products!A:A,Products!D:D)</f>
        <v>2100000</v>
      </c>
      <c r="L98" s="2">
        <f ca="1">_xlfn.XLOOKUP(D98,Products!A:A,Products!E:E)</f>
        <v>1700000</v>
      </c>
      <c r="M98" s="2">
        <f t="shared" ca="1" si="11"/>
        <v>12600000</v>
      </c>
      <c r="N98" s="2">
        <f t="shared" ca="1" si="12"/>
        <v>10200000</v>
      </c>
      <c r="O98" s="3">
        <f t="shared" ca="1" si="13"/>
        <v>2400000</v>
      </c>
      <c r="P98" s="2" t="str">
        <f ca="1">_xlfn.XLOOKUP(D98,Products!A:A,Products!C:C)</f>
        <v>Monitor</v>
      </c>
    </row>
    <row r="99" spans="1:16" ht="28.8" x14ac:dyDescent="0.3">
      <c r="A99" t="str">
        <f t="shared" ca="1" si="10"/>
        <v>0045</v>
      </c>
      <c r="B99" s="13">
        <v>45816</v>
      </c>
      <c r="C99" s="2" t="str" cm="1">
        <f t="array" aca="1" ref="C99" ca="1">INDEX(Customers!A:A,RANDBETWEEN(2,20))</f>
        <v>C018</v>
      </c>
      <c r="D99" s="2" t="str" cm="1">
        <f t="array" aca="1" ref="D99" ca="1">INDEX(Products!A:A,RANDBETWEEN(2,101))</f>
        <v>P067</v>
      </c>
      <c r="E99" s="2" t="str" cm="1">
        <f t="array" aca="1" ref="E99" ca="1">INDEX(SalesPerson!A:A,RANDBETWEEN(2,21))</f>
        <v>S017</v>
      </c>
      <c r="F99" s="2" t="str">
        <f ca="1">_xlfn.XLOOKUP(C99,Customers!A:A,Customers!B:B)</f>
        <v>PT Indo Retail</v>
      </c>
      <c r="G99" s="2" t="str">
        <f ca="1">_xlfn.XLOOKUP(D99,Products!A:A,Products!B:B)</f>
        <v>Wireless Mouse Logitech</v>
      </c>
      <c r="H99" s="2" t="str">
        <f ca="1">_xlfn.XLOOKUP(E99,SalesPerson!A:A,SalesPerson!B:B)</f>
        <v>Qori Amanda</v>
      </c>
      <c r="I99" s="2" t="str">
        <f ca="1">_xlfn.XLOOKUP(E99,SalesPerson!A:A,SalesPerson!C:C)</f>
        <v>Pontianak</v>
      </c>
      <c r="J99" s="2">
        <f t="shared" ca="1" si="9"/>
        <v>1</v>
      </c>
      <c r="K99" s="2">
        <f ca="1">_xlfn.XLOOKUP(D99,Products!A:A,Products!D:D)</f>
        <v>250000</v>
      </c>
      <c r="L99" s="2">
        <f ca="1">_xlfn.XLOOKUP(D99,Products!A:A,Products!E:E)</f>
        <v>150000</v>
      </c>
      <c r="M99" s="2">
        <f t="shared" ca="1" si="11"/>
        <v>250000</v>
      </c>
      <c r="N99" s="2">
        <f t="shared" ca="1" si="12"/>
        <v>150000</v>
      </c>
      <c r="O99" s="3">
        <f ca="1">M99-N99</f>
        <v>100000</v>
      </c>
      <c r="P99" s="2" t="str">
        <f ca="1">_xlfn.XLOOKUP(D99,Products!A:A,Products!C:C)</f>
        <v>Accessories</v>
      </c>
    </row>
    <row r="100" spans="1:16" ht="28.8" x14ac:dyDescent="0.3">
      <c r="A100" t="str">
        <f t="shared" ca="1" si="10"/>
        <v>0056</v>
      </c>
      <c r="B100" s="13">
        <v>45817</v>
      </c>
      <c r="C100" s="2" t="str" cm="1">
        <f t="array" aca="1" ref="C100" ca="1">INDEX(Customers!A:A,RANDBETWEEN(2,20))</f>
        <v>C015</v>
      </c>
      <c r="D100" s="2" t="str" cm="1">
        <f t="array" aca="1" ref="D100" ca="1">INDEX(Products!A:A,RANDBETWEEN(2,101))</f>
        <v>P092</v>
      </c>
      <c r="E100" s="2" t="str" cm="1">
        <f t="array" aca="1" ref="E100" ca="1">INDEX(SalesPerson!A:A,RANDBETWEEN(2,21))</f>
        <v>S003</v>
      </c>
      <c r="F100" s="2" t="str">
        <f ca="1">_xlfn.XLOOKUP(C100,Customers!A:A,Customers!B:B)</f>
        <v>PT Sentosa Abadi</v>
      </c>
      <c r="G100" s="2" t="str">
        <f ca="1">_xlfn.XLOOKUP(D100,Products!A:A,Products!B:B)</f>
        <v>Webcam Logitech</v>
      </c>
      <c r="H100" s="2" t="str">
        <f ca="1">_xlfn.XLOOKUP(E100,SalesPerson!A:A,SalesPerson!B:B)</f>
        <v>Citra Lestari</v>
      </c>
      <c r="I100" s="2" t="str">
        <f ca="1">_xlfn.XLOOKUP(E100,SalesPerson!A:A,SalesPerson!C:C)</f>
        <v>Surabaya</v>
      </c>
      <c r="J100" s="2">
        <f t="shared" ca="1" si="9"/>
        <v>10</v>
      </c>
      <c r="K100" s="2">
        <f ca="1">_xlfn.XLOOKUP(D100,Products!A:A,Products!D:D)</f>
        <v>680000</v>
      </c>
      <c r="L100" s="2">
        <f ca="1">_xlfn.XLOOKUP(D100,Products!A:A,Products!E:E)</f>
        <v>520000</v>
      </c>
      <c r="M100" s="2">
        <f t="shared" ca="1" si="11"/>
        <v>6800000</v>
      </c>
      <c r="N100" s="2">
        <f t="shared" ca="1" si="12"/>
        <v>5200000</v>
      </c>
      <c r="O100" s="3">
        <f ca="1">M100-N100</f>
        <v>1600000</v>
      </c>
      <c r="P100" s="2" t="str">
        <f ca="1">_xlfn.XLOOKUP(D100,Products!A:A,Products!C:C)</f>
        <v>Accessories</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F4574-42C2-429B-BCF7-E2DAA91E14EC}">
  <dimension ref="A1:E101"/>
  <sheetViews>
    <sheetView workbookViewId="0">
      <selection activeCell="J8" sqref="J8"/>
    </sheetView>
  </sheetViews>
  <sheetFormatPr defaultRowHeight="14.4" x14ac:dyDescent="0.3"/>
  <cols>
    <col min="1" max="1" width="11.77734375" customWidth="1"/>
    <col min="2" max="2" width="15" customWidth="1"/>
    <col min="3" max="3" width="10.44140625" customWidth="1"/>
  </cols>
  <sheetData>
    <row r="1" spans="1:5" x14ac:dyDescent="0.3">
      <c r="A1" s="1" t="s">
        <v>0</v>
      </c>
      <c r="B1" s="1" t="s">
        <v>1</v>
      </c>
      <c r="C1" s="1" t="s">
        <v>2</v>
      </c>
      <c r="D1" s="8" t="s">
        <v>3</v>
      </c>
      <c r="E1" s="8" t="s">
        <v>4</v>
      </c>
    </row>
    <row r="2" spans="1:5" ht="28.8" x14ac:dyDescent="0.3">
      <c r="A2" s="2" t="s">
        <v>5</v>
      </c>
      <c r="B2" s="2" t="s">
        <v>46</v>
      </c>
      <c r="C2" s="2" t="s">
        <v>6</v>
      </c>
      <c r="D2" s="9">
        <v>8500000</v>
      </c>
      <c r="E2" s="9">
        <v>7200000</v>
      </c>
    </row>
    <row r="3" spans="1:5" ht="28.8" x14ac:dyDescent="0.3">
      <c r="A3" s="2" t="s">
        <v>7</v>
      </c>
      <c r="B3" s="2" t="s">
        <v>47</v>
      </c>
      <c r="C3" s="2" t="s">
        <v>6</v>
      </c>
      <c r="D3" s="9">
        <v>9200000</v>
      </c>
      <c r="E3" s="9">
        <v>7900000</v>
      </c>
    </row>
    <row r="4" spans="1:5" x14ac:dyDescent="0.3">
      <c r="A4" s="2" t="s">
        <v>9</v>
      </c>
      <c r="B4" s="2" t="s">
        <v>48</v>
      </c>
      <c r="C4" s="2" t="s">
        <v>6</v>
      </c>
      <c r="D4" s="9">
        <v>7800000</v>
      </c>
      <c r="E4" s="9">
        <v>6500000</v>
      </c>
    </row>
    <row r="5" spans="1:5" x14ac:dyDescent="0.3">
      <c r="A5" s="2" t="s">
        <v>11</v>
      </c>
      <c r="B5" s="2" t="s">
        <v>49</v>
      </c>
      <c r="C5" s="2" t="s">
        <v>12</v>
      </c>
      <c r="D5" s="9">
        <v>2100000</v>
      </c>
      <c r="E5" s="9">
        <v>1700000</v>
      </c>
    </row>
    <row r="6" spans="1:5" ht="28.8" x14ac:dyDescent="0.3">
      <c r="A6" s="2" t="s">
        <v>13</v>
      </c>
      <c r="B6" s="2" t="s">
        <v>50</v>
      </c>
      <c r="C6" s="2" t="s">
        <v>12</v>
      </c>
      <c r="D6" s="9">
        <v>3200000</v>
      </c>
      <c r="E6" s="9">
        <v>2600000</v>
      </c>
    </row>
    <row r="7" spans="1:5" ht="28.8" x14ac:dyDescent="0.3">
      <c r="A7" s="2" t="s">
        <v>51</v>
      </c>
      <c r="B7" s="2" t="s">
        <v>10</v>
      </c>
      <c r="C7" s="2" t="s">
        <v>8</v>
      </c>
      <c r="D7" s="9">
        <v>750000</v>
      </c>
      <c r="E7" s="9">
        <v>520000</v>
      </c>
    </row>
    <row r="8" spans="1:5" ht="28.8" x14ac:dyDescent="0.3">
      <c r="A8" s="2" t="s">
        <v>52</v>
      </c>
      <c r="B8" s="2" t="s">
        <v>53</v>
      </c>
      <c r="C8" s="2" t="s">
        <v>8</v>
      </c>
      <c r="D8" s="9">
        <v>250000</v>
      </c>
      <c r="E8" s="9">
        <v>150000</v>
      </c>
    </row>
    <row r="9" spans="1:5" x14ac:dyDescent="0.3">
      <c r="A9" s="2" t="s">
        <v>54</v>
      </c>
      <c r="B9" s="2" t="s">
        <v>55</v>
      </c>
      <c r="C9" s="2" t="s">
        <v>14</v>
      </c>
      <c r="D9" s="9">
        <v>1250000</v>
      </c>
      <c r="E9" s="9">
        <v>980000</v>
      </c>
    </row>
    <row r="10" spans="1:5" ht="28.8" x14ac:dyDescent="0.3">
      <c r="A10" s="2" t="s">
        <v>56</v>
      </c>
      <c r="B10" s="2" t="s">
        <v>57</v>
      </c>
      <c r="C10" s="2" t="s">
        <v>14</v>
      </c>
      <c r="D10" s="9">
        <v>850000</v>
      </c>
      <c r="E10" s="9">
        <v>670000</v>
      </c>
    </row>
    <row r="11" spans="1:5" x14ac:dyDescent="0.3">
      <c r="A11" s="2" t="s">
        <v>58</v>
      </c>
      <c r="B11" s="2" t="s">
        <v>59</v>
      </c>
      <c r="C11" s="2" t="s">
        <v>14</v>
      </c>
      <c r="D11" s="9">
        <v>120000</v>
      </c>
      <c r="E11" s="9">
        <v>80000</v>
      </c>
    </row>
    <row r="12" spans="1:5" ht="28.8" x14ac:dyDescent="0.3">
      <c r="A12" s="2" t="s">
        <v>60</v>
      </c>
      <c r="B12" s="2" t="s">
        <v>61</v>
      </c>
      <c r="C12" s="2" t="s">
        <v>62</v>
      </c>
      <c r="D12" s="9">
        <v>2900000</v>
      </c>
      <c r="E12" s="9">
        <v>2400000</v>
      </c>
    </row>
    <row r="13" spans="1:5" ht="28.8" x14ac:dyDescent="0.3">
      <c r="A13" s="2" t="s">
        <v>63</v>
      </c>
      <c r="B13" s="2" t="s">
        <v>64</v>
      </c>
      <c r="C13" s="2" t="s">
        <v>8</v>
      </c>
      <c r="D13" s="9">
        <v>680000</v>
      </c>
      <c r="E13" s="9">
        <v>520000</v>
      </c>
    </row>
    <row r="14" spans="1:5" x14ac:dyDescent="0.3">
      <c r="A14" s="2" t="s">
        <v>65</v>
      </c>
      <c r="B14" s="2" t="s">
        <v>66</v>
      </c>
      <c r="C14" s="2" t="s">
        <v>8</v>
      </c>
      <c r="D14" s="9">
        <v>890000</v>
      </c>
      <c r="E14" s="9">
        <v>690000</v>
      </c>
    </row>
    <row r="15" spans="1:5" x14ac:dyDescent="0.3">
      <c r="A15" s="2" t="s">
        <v>67</v>
      </c>
      <c r="B15" s="2" t="s">
        <v>68</v>
      </c>
      <c r="C15" s="2" t="s">
        <v>69</v>
      </c>
      <c r="D15" s="9">
        <v>780000</v>
      </c>
      <c r="E15" s="9">
        <v>590000</v>
      </c>
    </row>
    <row r="16" spans="1:5" x14ac:dyDescent="0.3">
      <c r="A16" s="2" t="s">
        <v>70</v>
      </c>
      <c r="B16" s="2" t="s">
        <v>71</v>
      </c>
      <c r="C16" s="2" t="s">
        <v>72</v>
      </c>
      <c r="D16" s="9">
        <v>950000</v>
      </c>
      <c r="E16" s="9">
        <v>760000</v>
      </c>
    </row>
    <row r="17" spans="1:5" x14ac:dyDescent="0.3">
      <c r="A17" s="2" t="s">
        <v>73</v>
      </c>
      <c r="B17" s="2" t="s">
        <v>74</v>
      </c>
      <c r="C17" s="2" t="s">
        <v>75</v>
      </c>
      <c r="D17" s="9">
        <v>670000</v>
      </c>
      <c r="E17" s="9">
        <v>510000</v>
      </c>
    </row>
    <row r="18" spans="1:5" ht="28.8" x14ac:dyDescent="0.3">
      <c r="A18" s="2" t="s">
        <v>76</v>
      </c>
      <c r="B18" s="2" t="s">
        <v>77</v>
      </c>
      <c r="C18" s="2" t="s">
        <v>14</v>
      </c>
      <c r="D18" s="9">
        <v>1650000</v>
      </c>
      <c r="E18" s="9">
        <v>1350000</v>
      </c>
    </row>
    <row r="19" spans="1:5" ht="28.8" x14ac:dyDescent="0.3">
      <c r="A19" s="2" t="s">
        <v>78</v>
      </c>
      <c r="B19" s="2" t="s">
        <v>79</v>
      </c>
      <c r="C19" s="2" t="s">
        <v>80</v>
      </c>
      <c r="D19" s="9">
        <v>980000</v>
      </c>
      <c r="E19" s="9">
        <v>780000</v>
      </c>
    </row>
    <row r="20" spans="1:5" x14ac:dyDescent="0.3">
      <c r="A20" s="2" t="s">
        <v>81</v>
      </c>
      <c r="B20" s="2" t="s">
        <v>82</v>
      </c>
      <c r="C20" s="2" t="s">
        <v>8</v>
      </c>
      <c r="D20" s="9">
        <v>90000</v>
      </c>
      <c r="E20" s="9">
        <v>50000</v>
      </c>
    </row>
    <row r="21" spans="1:5" x14ac:dyDescent="0.3">
      <c r="A21" s="2" t="s">
        <v>83</v>
      </c>
      <c r="B21" s="2" t="s">
        <v>84</v>
      </c>
      <c r="C21" s="2" t="s">
        <v>8</v>
      </c>
      <c r="D21" s="9">
        <v>150000</v>
      </c>
      <c r="E21" s="9">
        <v>90000</v>
      </c>
    </row>
    <row r="22" spans="1:5" ht="28.8" x14ac:dyDescent="0.3">
      <c r="A22" s="2" t="s">
        <v>85</v>
      </c>
      <c r="B22" s="2" t="s">
        <v>46</v>
      </c>
      <c r="C22" s="2" t="s">
        <v>6</v>
      </c>
      <c r="D22" s="9">
        <v>8500000</v>
      </c>
      <c r="E22" s="9">
        <v>7200000</v>
      </c>
    </row>
    <row r="23" spans="1:5" ht="28.8" x14ac:dyDescent="0.3">
      <c r="A23" s="2" t="s">
        <v>86</v>
      </c>
      <c r="B23" s="2" t="s">
        <v>47</v>
      </c>
      <c r="C23" s="2" t="s">
        <v>6</v>
      </c>
      <c r="D23" s="9">
        <v>9200000</v>
      </c>
      <c r="E23" s="9">
        <v>7900000</v>
      </c>
    </row>
    <row r="24" spans="1:5" x14ac:dyDescent="0.3">
      <c r="A24" s="2" t="s">
        <v>87</v>
      </c>
      <c r="B24" s="2" t="s">
        <v>165</v>
      </c>
      <c r="C24" s="2" t="s">
        <v>6</v>
      </c>
      <c r="D24" s="9">
        <v>7800000</v>
      </c>
      <c r="E24" s="9">
        <v>6500000</v>
      </c>
    </row>
    <row r="25" spans="1:5" x14ac:dyDescent="0.3">
      <c r="A25" s="2" t="s">
        <v>88</v>
      </c>
      <c r="B25" s="2" t="s">
        <v>49</v>
      </c>
      <c r="C25" s="2" t="s">
        <v>12</v>
      </c>
      <c r="D25" s="9">
        <v>2100000</v>
      </c>
      <c r="E25" s="9">
        <v>1700000</v>
      </c>
    </row>
    <row r="26" spans="1:5" ht="28.8" x14ac:dyDescent="0.3">
      <c r="A26" s="2" t="s">
        <v>89</v>
      </c>
      <c r="B26" s="2" t="s">
        <v>50</v>
      </c>
      <c r="C26" s="2" t="s">
        <v>12</v>
      </c>
      <c r="D26" s="9">
        <v>3200000</v>
      </c>
      <c r="E26" s="9">
        <v>2600000</v>
      </c>
    </row>
    <row r="27" spans="1:5" ht="28.8" x14ac:dyDescent="0.3">
      <c r="A27" s="2" t="s">
        <v>90</v>
      </c>
      <c r="B27" s="2" t="s">
        <v>10</v>
      </c>
      <c r="C27" s="2" t="s">
        <v>8</v>
      </c>
      <c r="D27" s="9">
        <v>750000</v>
      </c>
      <c r="E27" s="9">
        <v>520000</v>
      </c>
    </row>
    <row r="28" spans="1:5" ht="28.8" x14ac:dyDescent="0.3">
      <c r="A28" s="2" t="s">
        <v>91</v>
      </c>
      <c r="B28" s="2" t="s">
        <v>53</v>
      </c>
      <c r="C28" s="2" t="s">
        <v>8</v>
      </c>
      <c r="D28" s="9">
        <v>250000</v>
      </c>
      <c r="E28" s="9">
        <v>150000</v>
      </c>
    </row>
    <row r="29" spans="1:5" x14ac:dyDescent="0.3">
      <c r="A29" s="2" t="s">
        <v>92</v>
      </c>
      <c r="B29" s="2" t="s">
        <v>55</v>
      </c>
      <c r="C29" s="2" t="s">
        <v>14</v>
      </c>
      <c r="D29" s="9">
        <v>1250000</v>
      </c>
      <c r="E29" s="9">
        <v>980000</v>
      </c>
    </row>
    <row r="30" spans="1:5" ht="28.8" x14ac:dyDescent="0.3">
      <c r="A30" s="2" t="s">
        <v>93</v>
      </c>
      <c r="B30" s="2" t="s">
        <v>57</v>
      </c>
      <c r="C30" s="2" t="s">
        <v>14</v>
      </c>
      <c r="D30" s="9">
        <v>850000</v>
      </c>
      <c r="E30" s="9">
        <v>670000</v>
      </c>
    </row>
    <row r="31" spans="1:5" x14ac:dyDescent="0.3">
      <c r="A31" s="2" t="s">
        <v>94</v>
      </c>
      <c r="B31" s="2" t="s">
        <v>59</v>
      </c>
      <c r="C31" s="2" t="s">
        <v>14</v>
      </c>
      <c r="D31" s="9">
        <v>120000</v>
      </c>
      <c r="E31" s="9">
        <v>80000</v>
      </c>
    </row>
    <row r="32" spans="1:5" ht="28.8" x14ac:dyDescent="0.3">
      <c r="A32" s="2" t="s">
        <v>95</v>
      </c>
      <c r="B32" s="2" t="s">
        <v>166</v>
      </c>
      <c r="C32" s="2" t="s">
        <v>62</v>
      </c>
      <c r="D32" s="9">
        <v>2900000</v>
      </c>
      <c r="E32" s="9">
        <v>2400000</v>
      </c>
    </row>
    <row r="33" spans="1:5" ht="28.8" x14ac:dyDescent="0.3">
      <c r="A33" s="2" t="s">
        <v>96</v>
      </c>
      <c r="B33" s="2" t="s">
        <v>64</v>
      </c>
      <c r="C33" s="2" t="s">
        <v>8</v>
      </c>
      <c r="D33" s="9">
        <v>680000</v>
      </c>
      <c r="E33" s="9">
        <v>520000</v>
      </c>
    </row>
    <row r="34" spans="1:5" x14ac:dyDescent="0.3">
      <c r="A34" s="2" t="s">
        <v>97</v>
      </c>
      <c r="B34" s="2" t="s">
        <v>66</v>
      </c>
      <c r="C34" s="2" t="s">
        <v>8</v>
      </c>
      <c r="D34" s="9">
        <v>890000</v>
      </c>
      <c r="E34" s="9">
        <v>690000</v>
      </c>
    </row>
    <row r="35" spans="1:5" x14ac:dyDescent="0.3">
      <c r="A35" s="2" t="s">
        <v>98</v>
      </c>
      <c r="B35" s="2" t="s">
        <v>68</v>
      </c>
      <c r="C35" s="2" t="s">
        <v>69</v>
      </c>
      <c r="D35" s="9">
        <v>780000</v>
      </c>
      <c r="E35" s="9">
        <v>590000</v>
      </c>
    </row>
    <row r="36" spans="1:5" x14ac:dyDescent="0.3">
      <c r="A36" s="2" t="s">
        <v>99</v>
      </c>
      <c r="B36" s="2" t="s">
        <v>71</v>
      </c>
      <c r="C36" s="2" t="s">
        <v>72</v>
      </c>
      <c r="D36" s="9">
        <v>950000</v>
      </c>
      <c r="E36" s="9">
        <v>760000</v>
      </c>
    </row>
    <row r="37" spans="1:5" x14ac:dyDescent="0.3">
      <c r="A37" s="2" t="s">
        <v>100</v>
      </c>
      <c r="B37" s="2" t="s">
        <v>74</v>
      </c>
      <c r="C37" s="2" t="s">
        <v>75</v>
      </c>
      <c r="D37" s="9">
        <v>670000</v>
      </c>
      <c r="E37" s="9">
        <v>510000</v>
      </c>
    </row>
    <row r="38" spans="1:5" ht="28.8" x14ac:dyDescent="0.3">
      <c r="A38" s="2" t="s">
        <v>101</v>
      </c>
      <c r="B38" s="2" t="s">
        <v>77</v>
      </c>
      <c r="C38" s="2" t="s">
        <v>14</v>
      </c>
      <c r="D38" s="9">
        <v>1650000</v>
      </c>
      <c r="E38" s="9">
        <v>1350000</v>
      </c>
    </row>
    <row r="39" spans="1:5" ht="28.8" x14ac:dyDescent="0.3">
      <c r="A39" s="2" t="s">
        <v>102</v>
      </c>
      <c r="B39" s="2" t="s">
        <v>79</v>
      </c>
      <c r="C39" s="2" t="s">
        <v>80</v>
      </c>
      <c r="D39" s="9">
        <v>980000</v>
      </c>
      <c r="E39" s="9">
        <v>780000</v>
      </c>
    </row>
    <row r="40" spans="1:5" x14ac:dyDescent="0.3">
      <c r="A40" s="2" t="s">
        <v>103</v>
      </c>
      <c r="B40" s="2" t="s">
        <v>82</v>
      </c>
      <c r="C40" s="2" t="s">
        <v>8</v>
      </c>
      <c r="D40" s="9">
        <v>90000</v>
      </c>
      <c r="E40" s="9">
        <v>50000</v>
      </c>
    </row>
    <row r="41" spans="1:5" x14ac:dyDescent="0.3">
      <c r="A41" s="2" t="s">
        <v>104</v>
      </c>
      <c r="B41" s="2" t="s">
        <v>84</v>
      </c>
      <c r="C41" s="2" t="s">
        <v>8</v>
      </c>
      <c r="D41" s="9">
        <v>150000</v>
      </c>
      <c r="E41" s="9">
        <v>90000</v>
      </c>
    </row>
    <row r="42" spans="1:5" ht="28.8" x14ac:dyDescent="0.3">
      <c r="A42" s="2" t="s">
        <v>105</v>
      </c>
      <c r="B42" s="2" t="s">
        <v>46</v>
      </c>
      <c r="C42" s="2" t="s">
        <v>6</v>
      </c>
      <c r="D42" s="9">
        <v>8500000</v>
      </c>
      <c r="E42" s="9">
        <v>7200000</v>
      </c>
    </row>
    <row r="43" spans="1:5" ht="28.8" x14ac:dyDescent="0.3">
      <c r="A43" s="2" t="s">
        <v>106</v>
      </c>
      <c r="B43" s="2" t="s">
        <v>47</v>
      </c>
      <c r="C43" s="2" t="s">
        <v>6</v>
      </c>
      <c r="D43" s="9">
        <v>9200000</v>
      </c>
      <c r="E43" s="9">
        <v>7900000</v>
      </c>
    </row>
    <row r="44" spans="1:5" x14ac:dyDescent="0.3">
      <c r="A44" s="2" t="s">
        <v>107</v>
      </c>
      <c r="B44" s="2" t="s">
        <v>167</v>
      </c>
      <c r="C44" s="2" t="s">
        <v>6</v>
      </c>
      <c r="D44" s="9">
        <v>7800000</v>
      </c>
      <c r="E44" s="9">
        <v>6500000</v>
      </c>
    </row>
    <row r="45" spans="1:5" x14ac:dyDescent="0.3">
      <c r="A45" s="2" t="s">
        <v>108</v>
      </c>
      <c r="B45" s="2" t="s">
        <v>49</v>
      </c>
      <c r="C45" s="2" t="s">
        <v>12</v>
      </c>
      <c r="D45" s="9">
        <v>2100000</v>
      </c>
      <c r="E45" s="9">
        <v>1700000</v>
      </c>
    </row>
    <row r="46" spans="1:5" ht="28.8" x14ac:dyDescent="0.3">
      <c r="A46" s="2" t="s">
        <v>109</v>
      </c>
      <c r="B46" s="2" t="s">
        <v>50</v>
      </c>
      <c r="C46" s="2" t="s">
        <v>12</v>
      </c>
      <c r="D46" s="9">
        <v>3200000</v>
      </c>
      <c r="E46" s="9">
        <v>2600000</v>
      </c>
    </row>
    <row r="47" spans="1:5" ht="28.8" x14ac:dyDescent="0.3">
      <c r="A47" s="2" t="s">
        <v>110</v>
      </c>
      <c r="B47" s="2" t="s">
        <v>10</v>
      </c>
      <c r="C47" s="2" t="s">
        <v>8</v>
      </c>
      <c r="D47" s="9">
        <v>750000</v>
      </c>
      <c r="E47" s="9">
        <v>520000</v>
      </c>
    </row>
    <row r="48" spans="1:5" ht="28.8" x14ac:dyDescent="0.3">
      <c r="A48" s="2" t="s">
        <v>111</v>
      </c>
      <c r="B48" s="2" t="s">
        <v>53</v>
      </c>
      <c r="C48" s="2" t="s">
        <v>8</v>
      </c>
      <c r="D48" s="9">
        <v>250000</v>
      </c>
      <c r="E48" s="9">
        <v>150000</v>
      </c>
    </row>
    <row r="49" spans="1:5" x14ac:dyDescent="0.3">
      <c r="A49" s="2" t="s">
        <v>112</v>
      </c>
      <c r="B49" s="2" t="s">
        <v>55</v>
      </c>
      <c r="C49" s="2" t="s">
        <v>14</v>
      </c>
      <c r="D49" s="9">
        <v>1250000</v>
      </c>
      <c r="E49" s="9">
        <v>980000</v>
      </c>
    </row>
    <row r="50" spans="1:5" ht="28.8" x14ac:dyDescent="0.3">
      <c r="A50" s="2" t="s">
        <v>113</v>
      </c>
      <c r="B50" s="2" t="s">
        <v>57</v>
      </c>
      <c r="C50" s="2" t="s">
        <v>14</v>
      </c>
      <c r="D50" s="9">
        <v>850000</v>
      </c>
      <c r="E50" s="9">
        <v>670000</v>
      </c>
    </row>
    <row r="51" spans="1:5" x14ac:dyDescent="0.3">
      <c r="A51" s="2" t="s">
        <v>114</v>
      </c>
      <c r="B51" s="2" t="s">
        <v>59</v>
      </c>
      <c r="C51" s="2" t="s">
        <v>14</v>
      </c>
      <c r="D51" s="9">
        <v>120000</v>
      </c>
      <c r="E51" s="9">
        <v>80000</v>
      </c>
    </row>
    <row r="52" spans="1:5" ht="28.8" x14ac:dyDescent="0.3">
      <c r="A52" s="2" t="s">
        <v>115</v>
      </c>
      <c r="B52" s="2" t="s">
        <v>168</v>
      </c>
      <c r="C52" s="2" t="s">
        <v>62</v>
      </c>
      <c r="D52" s="9">
        <v>2900000</v>
      </c>
      <c r="E52" s="9">
        <v>2400000</v>
      </c>
    </row>
    <row r="53" spans="1:5" ht="28.8" x14ac:dyDescent="0.3">
      <c r="A53" s="2" t="s">
        <v>116</v>
      </c>
      <c r="B53" s="2" t="s">
        <v>64</v>
      </c>
      <c r="C53" s="2" t="s">
        <v>8</v>
      </c>
      <c r="D53" s="9">
        <v>680000</v>
      </c>
      <c r="E53" s="9">
        <v>520000</v>
      </c>
    </row>
    <row r="54" spans="1:5" x14ac:dyDescent="0.3">
      <c r="A54" s="2" t="s">
        <v>117</v>
      </c>
      <c r="B54" s="2" t="s">
        <v>66</v>
      </c>
      <c r="C54" s="2" t="s">
        <v>8</v>
      </c>
      <c r="D54" s="9">
        <v>890000</v>
      </c>
      <c r="E54" s="9">
        <v>690000</v>
      </c>
    </row>
    <row r="55" spans="1:5" x14ac:dyDescent="0.3">
      <c r="A55" s="2" t="s">
        <v>118</v>
      </c>
      <c r="B55" s="2" t="s">
        <v>68</v>
      </c>
      <c r="C55" s="2" t="s">
        <v>69</v>
      </c>
      <c r="D55" s="9">
        <v>780000</v>
      </c>
      <c r="E55" s="9">
        <v>590000</v>
      </c>
    </row>
    <row r="56" spans="1:5" x14ac:dyDescent="0.3">
      <c r="A56" s="2" t="s">
        <v>119</v>
      </c>
      <c r="B56" s="2" t="s">
        <v>71</v>
      </c>
      <c r="C56" s="2" t="s">
        <v>72</v>
      </c>
      <c r="D56" s="9">
        <v>950000</v>
      </c>
      <c r="E56" s="9">
        <v>760000</v>
      </c>
    </row>
    <row r="57" spans="1:5" x14ac:dyDescent="0.3">
      <c r="A57" s="2" t="s">
        <v>120</v>
      </c>
      <c r="B57" s="2" t="s">
        <v>74</v>
      </c>
      <c r="C57" s="2" t="s">
        <v>75</v>
      </c>
      <c r="D57" s="9">
        <v>670000</v>
      </c>
      <c r="E57" s="9">
        <v>510000</v>
      </c>
    </row>
    <row r="58" spans="1:5" ht="28.8" x14ac:dyDescent="0.3">
      <c r="A58" s="2" t="s">
        <v>121</v>
      </c>
      <c r="B58" s="2" t="s">
        <v>77</v>
      </c>
      <c r="C58" s="2" t="s">
        <v>14</v>
      </c>
      <c r="D58" s="9">
        <v>1650000</v>
      </c>
      <c r="E58" s="9">
        <v>1350000</v>
      </c>
    </row>
    <row r="59" spans="1:5" ht="28.8" x14ac:dyDescent="0.3">
      <c r="A59" s="2" t="s">
        <v>122</v>
      </c>
      <c r="B59" s="2" t="s">
        <v>79</v>
      </c>
      <c r="C59" s="2" t="s">
        <v>80</v>
      </c>
      <c r="D59" s="9">
        <v>980000</v>
      </c>
      <c r="E59" s="9">
        <v>780000</v>
      </c>
    </row>
    <row r="60" spans="1:5" x14ac:dyDescent="0.3">
      <c r="A60" s="2" t="s">
        <v>123</v>
      </c>
      <c r="B60" s="2" t="s">
        <v>82</v>
      </c>
      <c r="C60" s="2" t="s">
        <v>8</v>
      </c>
      <c r="D60" s="9">
        <v>90000</v>
      </c>
      <c r="E60" s="9">
        <v>50000</v>
      </c>
    </row>
    <row r="61" spans="1:5" x14ac:dyDescent="0.3">
      <c r="A61" s="2" t="s">
        <v>124</v>
      </c>
      <c r="B61" s="2" t="s">
        <v>84</v>
      </c>
      <c r="C61" s="2" t="s">
        <v>8</v>
      </c>
      <c r="D61" s="9">
        <v>150000</v>
      </c>
      <c r="E61" s="9">
        <v>90000</v>
      </c>
    </row>
    <row r="62" spans="1:5" ht="28.8" x14ac:dyDescent="0.3">
      <c r="A62" s="2" t="s">
        <v>125</v>
      </c>
      <c r="B62" s="2" t="s">
        <v>46</v>
      </c>
      <c r="C62" s="2" t="s">
        <v>6</v>
      </c>
      <c r="D62" s="9">
        <v>8500000</v>
      </c>
      <c r="E62" s="9">
        <v>7200000</v>
      </c>
    </row>
    <row r="63" spans="1:5" ht="28.8" x14ac:dyDescent="0.3">
      <c r="A63" s="2" t="s">
        <v>126</v>
      </c>
      <c r="B63" s="2" t="s">
        <v>47</v>
      </c>
      <c r="C63" s="2" t="s">
        <v>6</v>
      </c>
      <c r="D63" s="9">
        <v>9200000</v>
      </c>
      <c r="E63" s="9">
        <v>7900000</v>
      </c>
    </row>
    <row r="64" spans="1:5" x14ac:dyDescent="0.3">
      <c r="A64" s="2" t="s">
        <v>127</v>
      </c>
      <c r="B64" s="2" t="s">
        <v>169</v>
      </c>
      <c r="C64" s="2" t="s">
        <v>6</v>
      </c>
      <c r="D64" s="9">
        <v>7800000</v>
      </c>
      <c r="E64" s="9">
        <v>6500000</v>
      </c>
    </row>
    <row r="65" spans="1:5" x14ac:dyDescent="0.3">
      <c r="A65" s="2" t="s">
        <v>128</v>
      </c>
      <c r="B65" s="2" t="s">
        <v>49</v>
      </c>
      <c r="C65" s="2" t="s">
        <v>12</v>
      </c>
      <c r="D65" s="9">
        <v>2100000</v>
      </c>
      <c r="E65" s="9">
        <v>1700000</v>
      </c>
    </row>
    <row r="66" spans="1:5" ht="28.8" x14ac:dyDescent="0.3">
      <c r="A66" s="2" t="s">
        <v>129</v>
      </c>
      <c r="B66" s="2" t="s">
        <v>50</v>
      </c>
      <c r="C66" s="2" t="s">
        <v>12</v>
      </c>
      <c r="D66" s="9">
        <v>3200000</v>
      </c>
      <c r="E66" s="9">
        <v>2600000</v>
      </c>
    </row>
    <row r="67" spans="1:5" ht="28.8" x14ac:dyDescent="0.3">
      <c r="A67" s="2" t="s">
        <v>130</v>
      </c>
      <c r="B67" s="2" t="s">
        <v>10</v>
      </c>
      <c r="C67" s="2" t="s">
        <v>8</v>
      </c>
      <c r="D67" s="9">
        <v>750000</v>
      </c>
      <c r="E67" s="9">
        <v>520000</v>
      </c>
    </row>
    <row r="68" spans="1:5" ht="28.8" x14ac:dyDescent="0.3">
      <c r="A68" s="2" t="s">
        <v>131</v>
      </c>
      <c r="B68" s="2" t="s">
        <v>53</v>
      </c>
      <c r="C68" s="2" t="s">
        <v>8</v>
      </c>
      <c r="D68" s="9">
        <v>250000</v>
      </c>
      <c r="E68" s="9">
        <v>150000</v>
      </c>
    </row>
    <row r="69" spans="1:5" x14ac:dyDescent="0.3">
      <c r="A69" s="2" t="s">
        <v>132</v>
      </c>
      <c r="B69" s="2" t="s">
        <v>55</v>
      </c>
      <c r="C69" s="2" t="s">
        <v>14</v>
      </c>
      <c r="D69" s="9">
        <v>1250000</v>
      </c>
      <c r="E69" s="9">
        <v>980000</v>
      </c>
    </row>
    <row r="70" spans="1:5" ht="28.8" x14ac:dyDescent="0.3">
      <c r="A70" s="2" t="s">
        <v>133</v>
      </c>
      <c r="B70" s="2" t="s">
        <v>57</v>
      </c>
      <c r="C70" s="2" t="s">
        <v>14</v>
      </c>
      <c r="D70" s="9">
        <v>850000</v>
      </c>
      <c r="E70" s="9">
        <v>670000</v>
      </c>
    </row>
    <row r="71" spans="1:5" x14ac:dyDescent="0.3">
      <c r="A71" s="2" t="s">
        <v>134</v>
      </c>
      <c r="B71" s="2" t="s">
        <v>59</v>
      </c>
      <c r="C71" s="2" t="s">
        <v>14</v>
      </c>
      <c r="D71" s="9">
        <v>120000</v>
      </c>
      <c r="E71" s="9">
        <v>80000</v>
      </c>
    </row>
    <row r="72" spans="1:5" ht="28.8" x14ac:dyDescent="0.3">
      <c r="A72" s="2" t="s">
        <v>135</v>
      </c>
      <c r="B72" s="2" t="s">
        <v>170</v>
      </c>
      <c r="C72" s="2" t="s">
        <v>62</v>
      </c>
      <c r="D72" s="9">
        <v>2900000</v>
      </c>
      <c r="E72" s="9">
        <v>2400000</v>
      </c>
    </row>
    <row r="73" spans="1:5" ht="28.8" x14ac:dyDescent="0.3">
      <c r="A73" s="2" t="s">
        <v>136</v>
      </c>
      <c r="B73" s="2" t="s">
        <v>64</v>
      </c>
      <c r="C73" s="2" t="s">
        <v>8</v>
      </c>
      <c r="D73" s="9">
        <v>680000</v>
      </c>
      <c r="E73" s="9">
        <v>520000</v>
      </c>
    </row>
    <row r="74" spans="1:5" x14ac:dyDescent="0.3">
      <c r="A74" s="2" t="s">
        <v>137</v>
      </c>
      <c r="B74" s="2" t="s">
        <v>66</v>
      </c>
      <c r="C74" s="2" t="s">
        <v>8</v>
      </c>
      <c r="D74" s="9">
        <v>890000</v>
      </c>
      <c r="E74" s="9">
        <v>690000</v>
      </c>
    </row>
    <row r="75" spans="1:5" x14ac:dyDescent="0.3">
      <c r="A75" s="2" t="s">
        <v>138</v>
      </c>
      <c r="B75" s="2" t="s">
        <v>68</v>
      </c>
      <c r="C75" s="2" t="s">
        <v>69</v>
      </c>
      <c r="D75" s="9">
        <v>780000</v>
      </c>
      <c r="E75" s="9">
        <v>590000</v>
      </c>
    </row>
    <row r="76" spans="1:5" x14ac:dyDescent="0.3">
      <c r="A76" s="2" t="s">
        <v>139</v>
      </c>
      <c r="B76" s="2" t="s">
        <v>71</v>
      </c>
      <c r="C76" s="2" t="s">
        <v>72</v>
      </c>
      <c r="D76" s="9">
        <v>950000</v>
      </c>
      <c r="E76" s="9">
        <v>760000</v>
      </c>
    </row>
    <row r="77" spans="1:5" x14ac:dyDescent="0.3">
      <c r="A77" s="2" t="s">
        <v>140</v>
      </c>
      <c r="B77" s="2" t="s">
        <v>74</v>
      </c>
      <c r="C77" s="2" t="s">
        <v>75</v>
      </c>
      <c r="D77" s="9">
        <v>670000</v>
      </c>
      <c r="E77" s="9">
        <v>510000</v>
      </c>
    </row>
    <row r="78" spans="1:5" ht="28.8" x14ac:dyDescent="0.3">
      <c r="A78" s="2" t="s">
        <v>141</v>
      </c>
      <c r="B78" s="2" t="s">
        <v>77</v>
      </c>
      <c r="C78" s="2" t="s">
        <v>14</v>
      </c>
      <c r="D78" s="9">
        <v>1650000</v>
      </c>
      <c r="E78" s="9">
        <v>1350000</v>
      </c>
    </row>
    <row r="79" spans="1:5" ht="28.8" x14ac:dyDescent="0.3">
      <c r="A79" s="2" t="s">
        <v>142</v>
      </c>
      <c r="B79" s="2" t="s">
        <v>79</v>
      </c>
      <c r="C79" s="2" t="s">
        <v>80</v>
      </c>
      <c r="D79" s="9">
        <v>980000</v>
      </c>
      <c r="E79" s="9">
        <v>780000</v>
      </c>
    </row>
    <row r="80" spans="1:5" x14ac:dyDescent="0.3">
      <c r="A80" s="2" t="s">
        <v>143</v>
      </c>
      <c r="B80" s="2" t="s">
        <v>82</v>
      </c>
      <c r="C80" s="2" t="s">
        <v>8</v>
      </c>
      <c r="D80" s="9">
        <v>90000</v>
      </c>
      <c r="E80" s="9">
        <v>50000</v>
      </c>
    </row>
    <row r="81" spans="1:5" x14ac:dyDescent="0.3">
      <c r="A81" s="2" t="s">
        <v>144</v>
      </c>
      <c r="B81" s="2" t="s">
        <v>84</v>
      </c>
      <c r="C81" s="2" t="s">
        <v>8</v>
      </c>
      <c r="D81" s="9">
        <v>150000</v>
      </c>
      <c r="E81" s="9">
        <v>90000</v>
      </c>
    </row>
    <row r="82" spans="1:5" ht="28.8" x14ac:dyDescent="0.3">
      <c r="A82" s="2" t="s">
        <v>145</v>
      </c>
      <c r="B82" s="2" t="s">
        <v>46</v>
      </c>
      <c r="C82" s="2" t="s">
        <v>6</v>
      </c>
      <c r="D82" s="9">
        <v>8500000</v>
      </c>
      <c r="E82" s="9">
        <v>7200000</v>
      </c>
    </row>
    <row r="83" spans="1:5" ht="28.8" x14ac:dyDescent="0.3">
      <c r="A83" s="2" t="s">
        <v>146</v>
      </c>
      <c r="B83" s="2" t="s">
        <v>47</v>
      </c>
      <c r="C83" s="2" t="s">
        <v>6</v>
      </c>
      <c r="D83" s="9">
        <v>9200000</v>
      </c>
      <c r="E83" s="9">
        <v>7900000</v>
      </c>
    </row>
    <row r="84" spans="1:5" x14ac:dyDescent="0.3">
      <c r="A84" s="2" t="s">
        <v>147</v>
      </c>
      <c r="B84" s="2" t="s">
        <v>171</v>
      </c>
      <c r="C84" s="2" t="s">
        <v>6</v>
      </c>
      <c r="D84" s="9">
        <v>7800000</v>
      </c>
      <c r="E84" s="9">
        <v>6500000</v>
      </c>
    </row>
    <row r="85" spans="1:5" x14ac:dyDescent="0.3">
      <c r="A85" s="2" t="s">
        <v>148</v>
      </c>
      <c r="B85" s="2" t="s">
        <v>49</v>
      </c>
      <c r="C85" s="2" t="s">
        <v>12</v>
      </c>
      <c r="D85" s="9">
        <v>2100000</v>
      </c>
      <c r="E85" s="9">
        <v>1700000</v>
      </c>
    </row>
    <row r="86" spans="1:5" ht="28.8" x14ac:dyDescent="0.3">
      <c r="A86" s="2" t="s">
        <v>149</v>
      </c>
      <c r="B86" s="2" t="s">
        <v>50</v>
      </c>
      <c r="C86" s="2" t="s">
        <v>12</v>
      </c>
      <c r="D86" s="9">
        <v>3200000</v>
      </c>
      <c r="E86" s="9">
        <v>2600000</v>
      </c>
    </row>
    <row r="87" spans="1:5" ht="28.8" x14ac:dyDescent="0.3">
      <c r="A87" s="2" t="s">
        <v>150</v>
      </c>
      <c r="B87" s="2" t="s">
        <v>10</v>
      </c>
      <c r="C87" s="2" t="s">
        <v>8</v>
      </c>
      <c r="D87" s="9">
        <v>750000</v>
      </c>
      <c r="E87" s="9">
        <v>520000</v>
      </c>
    </row>
    <row r="88" spans="1:5" ht="28.8" x14ac:dyDescent="0.3">
      <c r="A88" s="2" t="s">
        <v>151</v>
      </c>
      <c r="B88" s="2" t="s">
        <v>53</v>
      </c>
      <c r="C88" s="2" t="s">
        <v>8</v>
      </c>
      <c r="D88" s="9">
        <v>250000</v>
      </c>
      <c r="E88" s="9">
        <v>150000</v>
      </c>
    </row>
    <row r="89" spans="1:5" x14ac:dyDescent="0.3">
      <c r="A89" s="2" t="s">
        <v>152</v>
      </c>
      <c r="B89" s="2" t="s">
        <v>55</v>
      </c>
      <c r="C89" s="2" t="s">
        <v>14</v>
      </c>
      <c r="D89" s="9">
        <v>1250000</v>
      </c>
      <c r="E89" s="9">
        <v>980000</v>
      </c>
    </row>
    <row r="90" spans="1:5" ht="28.8" x14ac:dyDescent="0.3">
      <c r="A90" s="2" t="s">
        <v>153</v>
      </c>
      <c r="B90" s="2" t="s">
        <v>57</v>
      </c>
      <c r="C90" s="2" t="s">
        <v>14</v>
      </c>
      <c r="D90" s="9">
        <v>850000</v>
      </c>
      <c r="E90" s="9">
        <v>670000</v>
      </c>
    </row>
    <row r="91" spans="1:5" x14ac:dyDescent="0.3">
      <c r="A91" s="2" t="s">
        <v>154</v>
      </c>
      <c r="B91" s="2" t="s">
        <v>59</v>
      </c>
      <c r="C91" s="2" t="s">
        <v>14</v>
      </c>
      <c r="D91" s="9">
        <v>120000</v>
      </c>
      <c r="E91" s="9">
        <v>80000</v>
      </c>
    </row>
    <row r="92" spans="1:5" ht="28.8" x14ac:dyDescent="0.3">
      <c r="A92" s="2" t="s">
        <v>155</v>
      </c>
      <c r="B92" s="2" t="s">
        <v>172</v>
      </c>
      <c r="C92" s="2" t="s">
        <v>62</v>
      </c>
      <c r="D92" s="9">
        <v>2900000</v>
      </c>
      <c r="E92" s="9">
        <v>2400000</v>
      </c>
    </row>
    <row r="93" spans="1:5" ht="28.8" x14ac:dyDescent="0.3">
      <c r="A93" s="2" t="s">
        <v>156</v>
      </c>
      <c r="B93" s="2" t="s">
        <v>64</v>
      </c>
      <c r="C93" s="2" t="s">
        <v>8</v>
      </c>
      <c r="D93" s="9">
        <v>680000</v>
      </c>
      <c r="E93" s="9">
        <v>520000</v>
      </c>
    </row>
    <row r="94" spans="1:5" x14ac:dyDescent="0.3">
      <c r="A94" s="2" t="s">
        <v>157</v>
      </c>
      <c r="B94" s="2" t="s">
        <v>66</v>
      </c>
      <c r="C94" s="2" t="s">
        <v>8</v>
      </c>
      <c r="D94" s="9">
        <v>890000</v>
      </c>
      <c r="E94" s="9">
        <v>690000</v>
      </c>
    </row>
    <row r="95" spans="1:5" x14ac:dyDescent="0.3">
      <c r="A95" s="2" t="s">
        <v>158</v>
      </c>
      <c r="B95" s="2" t="s">
        <v>68</v>
      </c>
      <c r="C95" s="2" t="s">
        <v>69</v>
      </c>
      <c r="D95" s="9">
        <v>780000</v>
      </c>
      <c r="E95" s="9">
        <v>590000</v>
      </c>
    </row>
    <row r="96" spans="1:5" x14ac:dyDescent="0.3">
      <c r="A96" s="2" t="s">
        <v>159</v>
      </c>
      <c r="B96" s="2" t="s">
        <v>71</v>
      </c>
      <c r="C96" s="2" t="s">
        <v>72</v>
      </c>
      <c r="D96" s="9">
        <v>950000</v>
      </c>
      <c r="E96" s="9">
        <v>760000</v>
      </c>
    </row>
    <row r="97" spans="1:5" x14ac:dyDescent="0.3">
      <c r="A97" s="2" t="s">
        <v>160</v>
      </c>
      <c r="B97" s="2" t="s">
        <v>74</v>
      </c>
      <c r="C97" s="2" t="s">
        <v>75</v>
      </c>
      <c r="D97" s="9">
        <v>670000</v>
      </c>
      <c r="E97" s="9">
        <v>510000</v>
      </c>
    </row>
    <row r="98" spans="1:5" ht="28.8" x14ac:dyDescent="0.3">
      <c r="A98" s="2" t="s">
        <v>161</v>
      </c>
      <c r="B98" s="2" t="s">
        <v>77</v>
      </c>
      <c r="C98" s="2" t="s">
        <v>14</v>
      </c>
      <c r="D98" s="9">
        <v>1650000</v>
      </c>
      <c r="E98" s="9">
        <v>1350000</v>
      </c>
    </row>
    <row r="99" spans="1:5" ht="28.8" x14ac:dyDescent="0.3">
      <c r="A99" s="2" t="s">
        <v>162</v>
      </c>
      <c r="B99" s="2" t="s">
        <v>79</v>
      </c>
      <c r="C99" s="2" t="s">
        <v>80</v>
      </c>
      <c r="D99" s="9">
        <v>980000</v>
      </c>
      <c r="E99" s="9">
        <v>780000</v>
      </c>
    </row>
    <row r="100" spans="1:5" x14ac:dyDescent="0.3">
      <c r="A100" s="2" t="s">
        <v>163</v>
      </c>
      <c r="B100" s="2" t="s">
        <v>82</v>
      </c>
      <c r="C100" s="2" t="s">
        <v>8</v>
      </c>
      <c r="D100" s="9">
        <v>90000</v>
      </c>
      <c r="E100" s="9">
        <v>50000</v>
      </c>
    </row>
    <row r="101" spans="1:5" x14ac:dyDescent="0.3">
      <c r="A101" s="2" t="s">
        <v>164</v>
      </c>
      <c r="B101" s="2" t="s">
        <v>84</v>
      </c>
      <c r="C101" s="2" t="s">
        <v>8</v>
      </c>
      <c r="D101" s="9">
        <v>150000</v>
      </c>
      <c r="E101" s="9">
        <v>90000</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DE376-B43E-4F67-93A8-D6070E75F112}">
  <dimension ref="A1:C21"/>
  <sheetViews>
    <sheetView workbookViewId="0">
      <selection activeCell="A2" sqref="A2:C21"/>
    </sheetView>
  </sheetViews>
  <sheetFormatPr defaultRowHeight="14.4" x14ac:dyDescent="0.3"/>
  <cols>
    <col min="1" max="1" width="9.33203125" customWidth="1"/>
    <col min="2" max="2" width="12.88671875" customWidth="1"/>
  </cols>
  <sheetData>
    <row r="1" spans="1:3" x14ac:dyDescent="0.3">
      <c r="A1" s="1" t="s">
        <v>15</v>
      </c>
      <c r="B1" s="1" t="s">
        <v>176</v>
      </c>
      <c r="C1" s="1" t="s">
        <v>16</v>
      </c>
    </row>
    <row r="2" spans="1:3" x14ac:dyDescent="0.3">
      <c r="A2" s="2" t="s">
        <v>17</v>
      </c>
      <c r="B2" s="2" t="s">
        <v>177</v>
      </c>
      <c r="C2" s="2" t="s">
        <v>18</v>
      </c>
    </row>
    <row r="3" spans="1:3" x14ac:dyDescent="0.3">
      <c r="A3" s="2" t="s">
        <v>19</v>
      </c>
      <c r="B3" s="2" t="s">
        <v>178</v>
      </c>
      <c r="C3" s="2" t="s">
        <v>20</v>
      </c>
    </row>
    <row r="4" spans="1:3" x14ac:dyDescent="0.3">
      <c r="A4" s="2" t="s">
        <v>21</v>
      </c>
      <c r="B4" s="2" t="s">
        <v>179</v>
      </c>
      <c r="C4" s="2" t="s">
        <v>22</v>
      </c>
    </row>
    <row r="5" spans="1:3" x14ac:dyDescent="0.3">
      <c r="A5" s="2" t="s">
        <v>23</v>
      </c>
      <c r="B5" s="2" t="s">
        <v>180</v>
      </c>
      <c r="C5" s="2" t="s">
        <v>24</v>
      </c>
    </row>
    <row r="6" spans="1:3" x14ac:dyDescent="0.3">
      <c r="A6" s="2" t="s">
        <v>25</v>
      </c>
      <c r="B6" s="2" t="s">
        <v>181</v>
      </c>
      <c r="C6" s="2" t="s">
        <v>26</v>
      </c>
    </row>
    <row r="7" spans="1:3" ht="28.8" x14ac:dyDescent="0.3">
      <c r="A7" s="2" t="s">
        <v>182</v>
      </c>
      <c r="B7" s="2" t="s">
        <v>183</v>
      </c>
      <c r="C7" s="2" t="s">
        <v>184</v>
      </c>
    </row>
    <row r="8" spans="1:3" ht="28.8" x14ac:dyDescent="0.3">
      <c r="A8" s="2" t="s">
        <v>185</v>
      </c>
      <c r="B8" s="2" t="s">
        <v>186</v>
      </c>
      <c r="C8" s="2" t="s">
        <v>187</v>
      </c>
    </row>
    <row r="9" spans="1:3" x14ac:dyDescent="0.3">
      <c r="A9" s="2" t="s">
        <v>188</v>
      </c>
      <c r="B9" s="2" t="s">
        <v>189</v>
      </c>
      <c r="C9" s="2" t="s">
        <v>190</v>
      </c>
    </row>
    <row r="10" spans="1:3" ht="28.8" x14ac:dyDescent="0.3">
      <c r="A10" s="2" t="s">
        <v>191</v>
      </c>
      <c r="B10" s="2" t="s">
        <v>192</v>
      </c>
      <c r="C10" s="2" t="s">
        <v>193</v>
      </c>
    </row>
    <row r="11" spans="1:3" x14ac:dyDescent="0.3">
      <c r="A11" s="2" t="s">
        <v>194</v>
      </c>
      <c r="B11" s="2" t="s">
        <v>195</v>
      </c>
      <c r="C11" s="2" t="s">
        <v>196</v>
      </c>
    </row>
    <row r="12" spans="1:3" ht="28.8" x14ac:dyDescent="0.3">
      <c r="A12" s="2" t="s">
        <v>197</v>
      </c>
      <c r="B12" s="2" t="s">
        <v>198</v>
      </c>
      <c r="C12" s="2" t="s">
        <v>199</v>
      </c>
    </row>
    <row r="13" spans="1:3" ht="28.8" x14ac:dyDescent="0.3">
      <c r="A13" s="2" t="s">
        <v>200</v>
      </c>
      <c r="B13" s="2" t="s">
        <v>201</v>
      </c>
      <c r="C13" s="2" t="s">
        <v>202</v>
      </c>
    </row>
    <row r="14" spans="1:3" ht="28.8" x14ac:dyDescent="0.3">
      <c r="A14" s="2" t="s">
        <v>203</v>
      </c>
      <c r="B14" s="2" t="s">
        <v>204</v>
      </c>
      <c r="C14" s="2" t="s">
        <v>205</v>
      </c>
    </row>
    <row r="15" spans="1:3" ht="28.8" x14ac:dyDescent="0.3">
      <c r="A15" s="2" t="s">
        <v>206</v>
      </c>
      <c r="B15" s="2" t="s">
        <v>207</v>
      </c>
      <c r="C15" s="2" t="s">
        <v>208</v>
      </c>
    </row>
    <row r="16" spans="1:3" x14ac:dyDescent="0.3">
      <c r="A16" s="2" t="s">
        <v>209</v>
      </c>
      <c r="B16" s="2" t="s">
        <v>210</v>
      </c>
      <c r="C16" s="2" t="s">
        <v>211</v>
      </c>
    </row>
    <row r="17" spans="1:3" ht="28.8" x14ac:dyDescent="0.3">
      <c r="A17" s="2" t="s">
        <v>212</v>
      </c>
      <c r="B17" s="2" t="s">
        <v>213</v>
      </c>
      <c r="C17" s="2" t="s">
        <v>214</v>
      </c>
    </row>
    <row r="18" spans="1:3" ht="28.8" x14ac:dyDescent="0.3">
      <c r="A18" s="2" t="s">
        <v>215</v>
      </c>
      <c r="B18" s="2" t="s">
        <v>216</v>
      </c>
      <c r="C18" s="2" t="s">
        <v>217</v>
      </c>
    </row>
    <row r="19" spans="1:3" ht="28.8" x14ac:dyDescent="0.3">
      <c r="A19" s="2" t="s">
        <v>218</v>
      </c>
      <c r="B19" s="2" t="s">
        <v>219</v>
      </c>
      <c r="C19" s="2" t="s">
        <v>220</v>
      </c>
    </row>
    <row r="20" spans="1:3" ht="28.8" x14ac:dyDescent="0.3">
      <c r="A20" s="2" t="s">
        <v>221</v>
      </c>
      <c r="B20" s="2" t="s">
        <v>222</v>
      </c>
      <c r="C20" s="2" t="s">
        <v>223</v>
      </c>
    </row>
    <row r="21" spans="1:3" x14ac:dyDescent="0.3">
      <c r="A21" s="2" t="s">
        <v>224</v>
      </c>
      <c r="B21" s="2" t="s">
        <v>225</v>
      </c>
      <c r="C21" s="2" t="s">
        <v>226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6644C-4EC0-4A87-8108-0D489CCDD93F}">
  <dimension ref="A1:S49"/>
  <sheetViews>
    <sheetView showGridLines="0" tabSelected="1" topLeftCell="A8" workbookViewId="0">
      <selection activeCell="O14" sqref="O14"/>
    </sheetView>
  </sheetViews>
  <sheetFormatPr defaultColWidth="0" defaultRowHeight="14.4" x14ac:dyDescent="0.3"/>
  <cols>
    <col min="1" max="19" width="8.88671875" style="12" customWidth="1"/>
    <col min="20" max="16384" width="8.88671875" style="12" hidden="1"/>
  </cols>
  <sheetData>
    <row r="1" s="12" customFormat="1" x14ac:dyDescent="0.3"/>
    <row r="2" s="12" customFormat="1" x14ac:dyDescent="0.3"/>
    <row r="3" s="12" customFormat="1" x14ac:dyDescent="0.3"/>
    <row r="4" s="12" customFormat="1" x14ac:dyDescent="0.3"/>
    <row r="5" s="12" customFormat="1" x14ac:dyDescent="0.3"/>
    <row r="6" s="12" customFormat="1" x14ac:dyDescent="0.3"/>
    <row r="7" s="12" customFormat="1" x14ac:dyDescent="0.3"/>
    <row r="8" s="12" customFormat="1" x14ac:dyDescent="0.3"/>
    <row r="9" s="12" customFormat="1" x14ac:dyDescent="0.3"/>
    <row r="10" s="12" customFormat="1" x14ac:dyDescent="0.3"/>
    <row r="11" s="12" customFormat="1" x14ac:dyDescent="0.3"/>
    <row r="12" s="12" customFormat="1" x14ac:dyDescent="0.3"/>
    <row r="13" s="12" customFormat="1" x14ac:dyDescent="0.3"/>
    <row r="14" s="12" customFormat="1" x14ac:dyDescent="0.3"/>
    <row r="15" s="12" customFormat="1" x14ac:dyDescent="0.3"/>
    <row r="16" s="12" customFormat="1" x14ac:dyDescent="0.3"/>
    <row r="17" s="12" customFormat="1" x14ac:dyDescent="0.3"/>
    <row r="18" s="12" customFormat="1" x14ac:dyDescent="0.3"/>
    <row r="19" s="12" customFormat="1" x14ac:dyDescent="0.3"/>
    <row r="20" s="12" customFormat="1" x14ac:dyDescent="0.3"/>
    <row r="21" s="12" customFormat="1" x14ac:dyDescent="0.3"/>
    <row r="22" s="12" customFormat="1" x14ac:dyDescent="0.3"/>
    <row r="23" s="12" customFormat="1" x14ac:dyDescent="0.3"/>
    <row r="24" s="12" customFormat="1" x14ac:dyDescent="0.3"/>
    <row r="25" s="12" customFormat="1" x14ac:dyDescent="0.3"/>
    <row r="26" s="12" customFormat="1" x14ac:dyDescent="0.3"/>
    <row r="27" s="12" customFormat="1" x14ac:dyDescent="0.3"/>
    <row r="28" s="12" customFormat="1" x14ac:dyDescent="0.3"/>
    <row r="29" s="12" customFormat="1" x14ac:dyDescent="0.3"/>
    <row r="30" s="12" customFormat="1" x14ac:dyDescent="0.3"/>
    <row r="31" s="12" customFormat="1" x14ac:dyDescent="0.3"/>
    <row r="32" s="12" customFormat="1" x14ac:dyDescent="0.3"/>
    <row r="33" s="12" customFormat="1" x14ac:dyDescent="0.3"/>
    <row r="34" s="12" customFormat="1" x14ac:dyDescent="0.3"/>
    <row r="35" s="12" customFormat="1" x14ac:dyDescent="0.3"/>
    <row r="36" s="12" customFormat="1" x14ac:dyDescent="0.3"/>
    <row r="37" s="12" customFormat="1" x14ac:dyDescent="0.3"/>
    <row r="38" s="12" customFormat="1" x14ac:dyDescent="0.3"/>
    <row r="39" s="12" customFormat="1" x14ac:dyDescent="0.3"/>
    <row r="40" s="12" customFormat="1" x14ac:dyDescent="0.3"/>
    <row r="41" s="12" customFormat="1" x14ac:dyDescent="0.3"/>
    <row r="42" s="12" customFormat="1" x14ac:dyDescent="0.3"/>
    <row r="43" s="12" customFormat="1" x14ac:dyDescent="0.3"/>
    <row r="44" s="12" customFormat="1" x14ac:dyDescent="0.3"/>
    <row r="45" s="12" customFormat="1" x14ac:dyDescent="0.3"/>
    <row r="46" s="12" customFormat="1" x14ac:dyDescent="0.3"/>
    <row r="47" s="12" customFormat="1" x14ac:dyDescent="0.3"/>
    <row r="48" s="12" customFormat="1" x14ac:dyDescent="0.3"/>
    <row r="49" s="12" customFormat="1" x14ac:dyDescent="0.3"/>
  </sheetData>
  <conditionalFormatting sqref="K22">
    <cfRule type="colorScale" priority="1">
      <colorScale>
        <cfvo type="min"/>
        <cfvo type="max"/>
        <color rgb="FF63BE7B"/>
        <color rgb="FFFCFCFF"/>
      </colorScale>
    </cfRule>
  </conditionalFormatting>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BFF1F-CF14-4D38-A51C-74221C1F74DB}">
  <dimension ref="A1:Q53"/>
  <sheetViews>
    <sheetView showGridLines="0" topLeftCell="C15" zoomScale="85" zoomScaleNormal="85" workbookViewId="0">
      <selection activeCell="F30" sqref="F30"/>
    </sheetView>
  </sheetViews>
  <sheetFormatPr defaultRowHeight="14.4" x14ac:dyDescent="0.3"/>
  <cols>
    <col min="1" max="1" width="11" bestFit="1" customWidth="1"/>
    <col min="2" max="2" width="15.5546875" bestFit="1" customWidth="1"/>
    <col min="3" max="3" width="13.44140625" bestFit="1" customWidth="1"/>
    <col min="4" max="5" width="15.5546875" bestFit="1" customWidth="1"/>
    <col min="7" max="7" width="13.44140625" bestFit="1" customWidth="1"/>
    <col min="8" max="8" width="15.5546875" bestFit="1" customWidth="1"/>
    <col min="10" max="10" width="22.77734375" bestFit="1" customWidth="1"/>
    <col min="11" max="11" width="11" bestFit="1" customWidth="1"/>
    <col min="12" max="12" width="12.109375" bestFit="1" customWidth="1"/>
    <col min="13" max="13" width="22.77734375" bestFit="1" customWidth="1"/>
    <col min="14" max="14" width="12.88671875" bestFit="1" customWidth="1"/>
    <col min="16" max="16" width="13.44140625" bestFit="1" customWidth="1"/>
    <col min="17" max="17" width="15.5546875" bestFit="1" customWidth="1"/>
  </cols>
  <sheetData>
    <row r="1" spans="1:17" x14ac:dyDescent="0.3">
      <c r="A1" t="s">
        <v>258</v>
      </c>
      <c r="D1" t="s">
        <v>259</v>
      </c>
      <c r="G1" t="s">
        <v>260</v>
      </c>
      <c r="J1" t="s">
        <v>262</v>
      </c>
      <c r="M1" t="s">
        <v>261</v>
      </c>
      <c r="P1" t="s">
        <v>265</v>
      </c>
    </row>
    <row r="2" spans="1:17" x14ac:dyDescent="0.3">
      <c r="A2" t="s">
        <v>42</v>
      </c>
      <c r="D2" s="4" t="s">
        <v>43</v>
      </c>
      <c r="E2" t="s">
        <v>42</v>
      </c>
      <c r="G2" s="4" t="s">
        <v>43</v>
      </c>
      <c r="H2" t="s">
        <v>42</v>
      </c>
      <c r="J2" s="4" t="s">
        <v>43</v>
      </c>
      <c r="K2" t="s">
        <v>264</v>
      </c>
      <c r="M2" s="4" t="s">
        <v>43</v>
      </c>
      <c r="N2" t="s">
        <v>45</v>
      </c>
      <c r="P2" s="4" t="s">
        <v>43</v>
      </c>
      <c r="Q2" t="s">
        <v>42</v>
      </c>
    </row>
    <row r="3" spans="1:17" x14ac:dyDescent="0.3">
      <c r="A3" s="14">
        <v>1205970000</v>
      </c>
      <c r="B3" s="11">
        <f>GETPIVOTDATA("Revenue",$A$2)</f>
        <v>1205970000</v>
      </c>
      <c r="D3" s="5" t="s">
        <v>179</v>
      </c>
      <c r="E3" s="14">
        <v>80120000</v>
      </c>
      <c r="G3" s="5" t="s">
        <v>190</v>
      </c>
      <c r="H3" s="14">
        <v>25780000</v>
      </c>
      <c r="J3" s="5" t="s">
        <v>77</v>
      </c>
      <c r="K3" s="14">
        <v>7</v>
      </c>
      <c r="M3" s="5" t="s">
        <v>77</v>
      </c>
      <c r="N3" s="6">
        <v>2100000</v>
      </c>
      <c r="P3" s="15" t="s">
        <v>44</v>
      </c>
      <c r="Q3" s="14"/>
    </row>
    <row r="4" spans="1:17" x14ac:dyDescent="0.3">
      <c r="D4" s="5" t="s">
        <v>181</v>
      </c>
      <c r="E4" s="14">
        <v>60560000</v>
      </c>
      <c r="G4" s="5" t="s">
        <v>20</v>
      </c>
      <c r="H4" s="14">
        <v>40050000</v>
      </c>
      <c r="J4" s="5" t="s">
        <v>59</v>
      </c>
      <c r="K4" s="14">
        <v>32</v>
      </c>
      <c r="M4" s="5" t="s">
        <v>59</v>
      </c>
      <c r="N4" s="6">
        <v>1280000</v>
      </c>
    </row>
    <row r="5" spans="1:17" x14ac:dyDescent="0.3">
      <c r="A5" t="s">
        <v>45</v>
      </c>
      <c r="D5" s="5" t="s">
        <v>195</v>
      </c>
      <c r="E5" s="14">
        <v>101500000</v>
      </c>
      <c r="G5" s="5" t="s">
        <v>220</v>
      </c>
      <c r="H5" s="14">
        <v>141330000</v>
      </c>
      <c r="J5" s="5" t="s">
        <v>82</v>
      </c>
      <c r="K5" s="14">
        <v>57</v>
      </c>
      <c r="M5" s="5" t="s">
        <v>82</v>
      </c>
      <c r="N5" s="6">
        <v>2280000</v>
      </c>
    </row>
    <row r="6" spans="1:17" x14ac:dyDescent="0.3">
      <c r="A6" s="6">
        <v>209530000</v>
      </c>
      <c r="B6" s="11">
        <f>GETPIVOTDATA("Profit",$A$5)</f>
        <v>209530000</v>
      </c>
      <c r="D6" s="5" t="s">
        <v>204</v>
      </c>
      <c r="E6" s="14">
        <v>105160000</v>
      </c>
      <c r="G6" s="5" t="s">
        <v>211</v>
      </c>
      <c r="H6" s="14">
        <v>58850000</v>
      </c>
      <c r="J6" s="5" t="s">
        <v>66</v>
      </c>
      <c r="K6" s="14">
        <v>23</v>
      </c>
      <c r="M6" s="5" t="s">
        <v>66</v>
      </c>
      <c r="N6" s="6">
        <v>4600000</v>
      </c>
    </row>
    <row r="7" spans="1:17" x14ac:dyDescent="0.3">
      <c r="D7" s="5" t="s">
        <v>210</v>
      </c>
      <c r="E7" s="14">
        <v>58850000</v>
      </c>
      <c r="G7" s="5" t="s">
        <v>196</v>
      </c>
      <c r="H7" s="14">
        <v>101500000</v>
      </c>
      <c r="J7" s="5" t="s">
        <v>46</v>
      </c>
      <c r="K7" s="14">
        <v>44</v>
      </c>
      <c r="M7" s="5" t="s">
        <v>46</v>
      </c>
      <c r="N7" s="6">
        <v>57200000</v>
      </c>
    </row>
    <row r="8" spans="1:17" x14ac:dyDescent="0.3">
      <c r="D8" s="5" t="s">
        <v>213</v>
      </c>
      <c r="E8" s="14">
        <v>171000000</v>
      </c>
      <c r="G8" s="5" t="s">
        <v>205</v>
      </c>
      <c r="H8" s="14">
        <v>105160000</v>
      </c>
      <c r="J8" s="5" t="s">
        <v>48</v>
      </c>
      <c r="K8" s="14">
        <v>11</v>
      </c>
      <c r="M8" s="5" t="s">
        <v>48</v>
      </c>
      <c r="N8" s="6">
        <v>14300000</v>
      </c>
    </row>
    <row r="9" spans="1:17" x14ac:dyDescent="0.3">
      <c r="A9" t="s">
        <v>264</v>
      </c>
      <c r="D9" s="5" t="s">
        <v>216</v>
      </c>
      <c r="E9" s="14">
        <v>44660000</v>
      </c>
      <c r="G9" s="5" t="s">
        <v>226</v>
      </c>
      <c r="H9" s="14">
        <v>102080000</v>
      </c>
      <c r="J9" s="5" t="s">
        <v>165</v>
      </c>
      <c r="K9" s="14">
        <v>3</v>
      </c>
      <c r="M9" s="5" t="s">
        <v>165</v>
      </c>
      <c r="N9" s="6">
        <v>3900000</v>
      </c>
    </row>
    <row r="10" spans="1:17" x14ac:dyDescent="0.3">
      <c r="A10" s="14">
        <v>492</v>
      </c>
      <c r="B10">
        <f>GETPIVOTDATA("Qty",$A$9)</f>
        <v>492</v>
      </c>
      <c r="D10" s="5" t="s">
        <v>219</v>
      </c>
      <c r="E10" s="14">
        <v>141330000</v>
      </c>
      <c r="G10" s="5" t="s">
        <v>202</v>
      </c>
      <c r="H10" s="14">
        <v>14690000</v>
      </c>
      <c r="J10" s="5" t="s">
        <v>167</v>
      </c>
      <c r="K10" s="14">
        <v>14</v>
      </c>
      <c r="M10" s="5" t="s">
        <v>167</v>
      </c>
      <c r="N10" s="6">
        <v>18200000</v>
      </c>
    </row>
    <row r="11" spans="1:17" x14ac:dyDescent="0.3">
      <c r="D11" s="5" t="s">
        <v>222</v>
      </c>
      <c r="E11" s="14">
        <v>85650000</v>
      </c>
      <c r="G11" s="5" t="s">
        <v>18</v>
      </c>
      <c r="H11" s="14">
        <v>9700000</v>
      </c>
      <c r="J11" s="5" t="s">
        <v>169</v>
      </c>
      <c r="K11" s="14">
        <v>5</v>
      </c>
      <c r="M11" s="5" t="s">
        <v>169</v>
      </c>
      <c r="N11" s="6">
        <v>6500000</v>
      </c>
    </row>
    <row r="12" spans="1:17" x14ac:dyDescent="0.3">
      <c r="D12" s="5" t="s">
        <v>225</v>
      </c>
      <c r="E12" s="14">
        <v>102080000</v>
      </c>
      <c r="G12" s="5" t="s">
        <v>26</v>
      </c>
      <c r="H12" s="14">
        <v>60560000</v>
      </c>
      <c r="J12" s="5" t="s">
        <v>171</v>
      </c>
      <c r="K12" s="14">
        <v>5</v>
      </c>
      <c r="M12" s="5" t="s">
        <v>171</v>
      </c>
      <c r="N12" s="6">
        <v>6500000</v>
      </c>
    </row>
    <row r="13" spans="1:17" x14ac:dyDescent="0.3">
      <c r="A13" t="s">
        <v>266</v>
      </c>
      <c r="D13" s="5" t="s">
        <v>44</v>
      </c>
      <c r="E13" s="14">
        <v>950910000</v>
      </c>
      <c r="G13" s="5" t="s">
        <v>208</v>
      </c>
      <c r="H13" s="14">
        <v>28730000</v>
      </c>
      <c r="J13" s="5" t="s">
        <v>47</v>
      </c>
      <c r="K13" s="14">
        <v>15</v>
      </c>
      <c r="M13" s="5" t="s">
        <v>47</v>
      </c>
      <c r="N13" s="6">
        <v>19500000</v>
      </c>
    </row>
    <row r="14" spans="1:17" x14ac:dyDescent="0.3">
      <c r="A14" s="14">
        <v>99</v>
      </c>
      <c r="B14">
        <f>GETPIVOTDATA("Order ID",$A$13)</f>
        <v>99</v>
      </c>
      <c r="G14" s="5" t="s">
        <v>24</v>
      </c>
      <c r="H14" s="14">
        <v>24080000</v>
      </c>
      <c r="J14" s="5" t="s">
        <v>10</v>
      </c>
      <c r="K14" s="14">
        <v>22</v>
      </c>
      <c r="M14" s="5" t="s">
        <v>10</v>
      </c>
      <c r="N14" s="6">
        <v>5060000</v>
      </c>
    </row>
    <row r="15" spans="1:17" x14ac:dyDescent="0.3">
      <c r="G15" s="5" t="s">
        <v>193</v>
      </c>
      <c r="H15" s="14">
        <v>36080000</v>
      </c>
      <c r="J15" s="5" t="s">
        <v>49</v>
      </c>
      <c r="K15" s="14">
        <v>20</v>
      </c>
      <c r="M15" s="5" t="s">
        <v>49</v>
      </c>
      <c r="N15" s="6">
        <v>8000000</v>
      </c>
    </row>
    <row r="16" spans="1:17" x14ac:dyDescent="0.3">
      <c r="G16" s="5" t="s">
        <v>214</v>
      </c>
      <c r="H16" s="14">
        <v>171000000</v>
      </c>
      <c r="J16" s="5" t="s">
        <v>50</v>
      </c>
      <c r="K16" s="14">
        <v>27</v>
      </c>
      <c r="M16" s="5" t="s">
        <v>50</v>
      </c>
      <c r="N16" s="6">
        <v>16200000</v>
      </c>
    </row>
    <row r="17" spans="1:14" x14ac:dyDescent="0.3">
      <c r="G17" s="5" t="s">
        <v>217</v>
      </c>
      <c r="H17" s="14">
        <v>44660000</v>
      </c>
      <c r="J17" s="5" t="s">
        <v>168</v>
      </c>
      <c r="K17" s="14">
        <v>2</v>
      </c>
      <c r="M17" s="5" t="s">
        <v>168</v>
      </c>
      <c r="N17" s="6">
        <v>1000000</v>
      </c>
    </row>
    <row r="18" spans="1:14" x14ac:dyDescent="0.3">
      <c r="G18" s="5" t="s">
        <v>184</v>
      </c>
      <c r="H18" s="14">
        <v>24520000</v>
      </c>
      <c r="J18" s="5" t="s">
        <v>172</v>
      </c>
      <c r="K18" s="14">
        <v>9</v>
      </c>
      <c r="M18" s="5" t="s">
        <v>172</v>
      </c>
      <c r="N18" s="6">
        <v>4500000</v>
      </c>
    </row>
    <row r="19" spans="1:14" x14ac:dyDescent="0.3">
      <c r="G19" s="5" t="s">
        <v>223</v>
      </c>
      <c r="H19" s="14">
        <v>85650000</v>
      </c>
      <c r="J19" s="5" t="s">
        <v>79</v>
      </c>
      <c r="K19" s="14">
        <v>5</v>
      </c>
      <c r="M19" s="5" t="s">
        <v>79</v>
      </c>
      <c r="N19" s="6">
        <v>1000000</v>
      </c>
    </row>
    <row r="20" spans="1:14" x14ac:dyDescent="0.3">
      <c r="G20" s="5" t="s">
        <v>22</v>
      </c>
      <c r="H20" s="14">
        <v>80120000</v>
      </c>
      <c r="J20" s="5" t="s">
        <v>74</v>
      </c>
      <c r="K20" s="14">
        <v>25</v>
      </c>
      <c r="M20" s="5" t="s">
        <v>74</v>
      </c>
      <c r="N20" s="6">
        <v>4000000</v>
      </c>
    </row>
    <row r="21" spans="1:14" x14ac:dyDescent="0.3">
      <c r="G21" s="5" t="s">
        <v>199</v>
      </c>
      <c r="H21" s="14">
        <v>35500000</v>
      </c>
      <c r="J21" s="5" t="s">
        <v>68</v>
      </c>
      <c r="K21" s="14">
        <v>13</v>
      </c>
      <c r="M21" s="5" t="s">
        <v>68</v>
      </c>
      <c r="N21" s="6">
        <v>2470000</v>
      </c>
    </row>
    <row r="22" spans="1:14" x14ac:dyDescent="0.3">
      <c r="G22" s="5" t="s">
        <v>187</v>
      </c>
      <c r="H22" s="14">
        <v>15930000</v>
      </c>
      <c r="J22" s="5" t="s">
        <v>55</v>
      </c>
      <c r="K22" s="14">
        <v>10</v>
      </c>
      <c r="M22" s="5" t="s">
        <v>55</v>
      </c>
      <c r="N22" s="6">
        <v>2700000</v>
      </c>
    </row>
    <row r="23" spans="1:14" x14ac:dyDescent="0.3">
      <c r="G23" s="5" t="s">
        <v>44</v>
      </c>
      <c r="H23" s="14">
        <v>1205970000</v>
      </c>
      <c r="J23" s="5" t="s">
        <v>57</v>
      </c>
      <c r="K23" s="14">
        <v>17</v>
      </c>
      <c r="M23" s="5" t="s">
        <v>57</v>
      </c>
      <c r="N23" s="6">
        <v>3060000</v>
      </c>
    </row>
    <row r="24" spans="1:14" x14ac:dyDescent="0.3">
      <c r="J24" s="5" t="s">
        <v>71</v>
      </c>
      <c r="K24" s="14">
        <v>16</v>
      </c>
      <c r="M24" s="5" t="s">
        <v>71</v>
      </c>
      <c r="N24" s="6">
        <v>3040000</v>
      </c>
    </row>
    <row r="25" spans="1:14" x14ac:dyDescent="0.3">
      <c r="J25" s="5" t="s">
        <v>84</v>
      </c>
      <c r="K25" s="14">
        <v>21</v>
      </c>
      <c r="M25" s="5" t="s">
        <v>84</v>
      </c>
      <c r="N25" s="6">
        <v>1260000</v>
      </c>
    </row>
    <row r="26" spans="1:14" x14ac:dyDescent="0.3">
      <c r="J26" s="5" t="s">
        <v>64</v>
      </c>
      <c r="K26" s="14">
        <v>33</v>
      </c>
      <c r="M26" s="5" t="s">
        <v>64</v>
      </c>
      <c r="N26" s="6">
        <v>5280000</v>
      </c>
    </row>
    <row r="27" spans="1:14" x14ac:dyDescent="0.3">
      <c r="J27" s="5" t="s">
        <v>53</v>
      </c>
      <c r="K27" s="14">
        <v>31</v>
      </c>
      <c r="M27" s="5" t="s">
        <v>53</v>
      </c>
      <c r="N27" s="6">
        <v>3100000</v>
      </c>
    </row>
    <row r="28" spans="1:14" x14ac:dyDescent="0.3">
      <c r="J28" s="5" t="s">
        <v>61</v>
      </c>
      <c r="K28" s="14">
        <v>18</v>
      </c>
      <c r="M28" s="5" t="s">
        <v>61</v>
      </c>
      <c r="N28" s="6">
        <v>9000000</v>
      </c>
    </row>
    <row r="29" spans="1:14" x14ac:dyDescent="0.3">
      <c r="J29" s="5" t="s">
        <v>166</v>
      </c>
      <c r="K29" s="14">
        <v>7</v>
      </c>
      <c r="M29" s="5" t="s">
        <v>166</v>
      </c>
      <c r="N29" s="6">
        <v>3500000</v>
      </c>
    </row>
    <row r="30" spans="1:14" x14ac:dyDescent="0.3">
      <c r="J30" s="5" t="s">
        <v>44</v>
      </c>
      <c r="K30" s="14">
        <v>492</v>
      </c>
      <c r="M30" s="5" t="s">
        <v>44</v>
      </c>
      <c r="N30" s="6">
        <v>209530000</v>
      </c>
    </row>
    <row r="32" spans="1:14" x14ac:dyDescent="0.3">
      <c r="A32" s="4" t="s">
        <v>43</v>
      </c>
      <c r="C32" s="4" t="s">
        <v>43</v>
      </c>
      <c r="E32" s="4" t="s">
        <v>43</v>
      </c>
    </row>
    <row r="33" spans="1:5" x14ac:dyDescent="0.3">
      <c r="A33" s="5" t="s">
        <v>8</v>
      </c>
      <c r="C33" s="5" t="s">
        <v>190</v>
      </c>
      <c r="E33" s="5" t="s">
        <v>177</v>
      </c>
    </row>
    <row r="34" spans="1:5" x14ac:dyDescent="0.3">
      <c r="A34" s="5" t="s">
        <v>6</v>
      </c>
      <c r="C34" s="5" t="s">
        <v>20</v>
      </c>
      <c r="E34" s="5" t="s">
        <v>178</v>
      </c>
    </row>
    <row r="35" spans="1:5" x14ac:dyDescent="0.3">
      <c r="A35" s="5" t="s">
        <v>12</v>
      </c>
      <c r="C35" s="5" t="s">
        <v>220</v>
      </c>
      <c r="E35" s="5" t="s">
        <v>179</v>
      </c>
    </row>
    <row r="36" spans="1:5" x14ac:dyDescent="0.3">
      <c r="A36" s="5" t="s">
        <v>75</v>
      </c>
      <c r="C36" s="5" t="s">
        <v>211</v>
      </c>
      <c r="E36" s="5" t="s">
        <v>180</v>
      </c>
    </row>
    <row r="37" spans="1:5" x14ac:dyDescent="0.3">
      <c r="A37" s="5" t="s">
        <v>72</v>
      </c>
      <c r="C37" s="5" t="s">
        <v>196</v>
      </c>
      <c r="E37" s="5" t="s">
        <v>181</v>
      </c>
    </row>
    <row r="38" spans="1:5" x14ac:dyDescent="0.3">
      <c r="A38" s="5" t="s">
        <v>62</v>
      </c>
      <c r="C38" s="5" t="s">
        <v>205</v>
      </c>
      <c r="E38" s="5" t="s">
        <v>183</v>
      </c>
    </row>
    <row r="39" spans="1:5" x14ac:dyDescent="0.3">
      <c r="A39" s="5" t="s">
        <v>14</v>
      </c>
      <c r="C39" s="5" t="s">
        <v>226</v>
      </c>
      <c r="E39" s="5" t="s">
        <v>186</v>
      </c>
    </row>
    <row r="40" spans="1:5" x14ac:dyDescent="0.3">
      <c r="A40" s="5" t="s">
        <v>44</v>
      </c>
      <c r="C40" s="5" t="s">
        <v>202</v>
      </c>
      <c r="E40" s="5" t="s">
        <v>189</v>
      </c>
    </row>
    <row r="41" spans="1:5" x14ac:dyDescent="0.3">
      <c r="C41" s="5" t="s">
        <v>18</v>
      </c>
      <c r="E41" s="5" t="s">
        <v>192</v>
      </c>
    </row>
    <row r="42" spans="1:5" x14ac:dyDescent="0.3">
      <c r="C42" s="5" t="s">
        <v>26</v>
      </c>
      <c r="E42" s="5" t="s">
        <v>195</v>
      </c>
    </row>
    <row r="43" spans="1:5" x14ac:dyDescent="0.3">
      <c r="C43" s="5" t="s">
        <v>208</v>
      </c>
      <c r="E43" s="5" t="s">
        <v>198</v>
      </c>
    </row>
    <row r="44" spans="1:5" x14ac:dyDescent="0.3">
      <c r="C44" s="5" t="s">
        <v>24</v>
      </c>
      <c r="E44" s="5" t="s">
        <v>201</v>
      </c>
    </row>
    <row r="45" spans="1:5" x14ac:dyDescent="0.3">
      <c r="C45" s="5" t="s">
        <v>193</v>
      </c>
      <c r="E45" s="5" t="s">
        <v>204</v>
      </c>
    </row>
    <row r="46" spans="1:5" x14ac:dyDescent="0.3">
      <c r="C46" s="5" t="s">
        <v>214</v>
      </c>
      <c r="E46" s="5" t="s">
        <v>207</v>
      </c>
    </row>
    <row r="47" spans="1:5" x14ac:dyDescent="0.3">
      <c r="C47" s="5" t="s">
        <v>217</v>
      </c>
      <c r="E47" s="5" t="s">
        <v>210</v>
      </c>
    </row>
    <row r="48" spans="1:5" x14ac:dyDescent="0.3">
      <c r="C48" s="5" t="s">
        <v>184</v>
      </c>
      <c r="E48" s="5" t="s">
        <v>213</v>
      </c>
    </row>
    <row r="49" spans="3:5" x14ac:dyDescent="0.3">
      <c r="C49" s="5" t="s">
        <v>223</v>
      </c>
      <c r="E49" s="5" t="s">
        <v>216</v>
      </c>
    </row>
    <row r="50" spans="3:5" x14ac:dyDescent="0.3">
      <c r="C50" s="5" t="s">
        <v>22</v>
      </c>
      <c r="E50" s="5" t="s">
        <v>219</v>
      </c>
    </row>
    <row r="51" spans="3:5" x14ac:dyDescent="0.3">
      <c r="C51" s="5" t="s">
        <v>199</v>
      </c>
      <c r="E51" s="5" t="s">
        <v>222</v>
      </c>
    </row>
    <row r="52" spans="3:5" x14ac:dyDescent="0.3">
      <c r="C52" s="5" t="s">
        <v>187</v>
      </c>
      <c r="E52" s="5" t="s">
        <v>225</v>
      </c>
    </row>
    <row r="53" spans="3:5" x14ac:dyDescent="0.3">
      <c r="C53" s="5" t="s">
        <v>44</v>
      </c>
      <c r="E53" s="5" t="s">
        <v>44</v>
      </c>
    </row>
  </sheetData>
  <pageMargins left="0.7" right="0.7" top="0.75" bottom="0.75" header="0.3" footer="0.3"/>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49FC-75DF-44D6-9E86-920FC9466C43}">
  <dimension ref="A1:C21"/>
  <sheetViews>
    <sheetView workbookViewId="0">
      <selection sqref="A1:C21"/>
    </sheetView>
  </sheetViews>
  <sheetFormatPr defaultRowHeight="14.4" x14ac:dyDescent="0.3"/>
  <cols>
    <col min="1" max="1" width="13.21875" customWidth="1"/>
    <col min="2" max="2" width="16.44140625" customWidth="1"/>
  </cols>
  <sheetData>
    <row r="1" spans="1:3" x14ac:dyDescent="0.3">
      <c r="A1" s="1" t="s">
        <v>27</v>
      </c>
      <c r="B1" s="1" t="s">
        <v>28</v>
      </c>
      <c r="C1" s="1" t="s">
        <v>29</v>
      </c>
    </row>
    <row r="2" spans="1:3" x14ac:dyDescent="0.3">
      <c r="A2" s="2" t="s">
        <v>30</v>
      </c>
      <c r="B2" s="2" t="s">
        <v>31</v>
      </c>
      <c r="C2" s="2" t="s">
        <v>18</v>
      </c>
    </row>
    <row r="3" spans="1:3" ht="28.8" x14ac:dyDescent="0.3">
      <c r="A3" s="2" t="s">
        <v>32</v>
      </c>
      <c r="B3" s="2" t="s">
        <v>227</v>
      </c>
      <c r="C3" s="2" t="s">
        <v>20</v>
      </c>
    </row>
    <row r="4" spans="1:3" x14ac:dyDescent="0.3">
      <c r="A4" s="2" t="s">
        <v>33</v>
      </c>
      <c r="B4" s="2" t="s">
        <v>228</v>
      </c>
      <c r="C4" s="2" t="s">
        <v>22</v>
      </c>
    </row>
    <row r="5" spans="1:3" x14ac:dyDescent="0.3">
      <c r="A5" s="2" t="s">
        <v>34</v>
      </c>
      <c r="B5" s="2" t="s">
        <v>229</v>
      </c>
      <c r="C5" s="2" t="s">
        <v>24</v>
      </c>
    </row>
    <row r="6" spans="1:3" ht="28.8" x14ac:dyDescent="0.3">
      <c r="A6" s="2" t="s">
        <v>35</v>
      </c>
      <c r="B6" s="2" t="s">
        <v>230</v>
      </c>
      <c r="C6" s="2" t="s">
        <v>26</v>
      </c>
    </row>
    <row r="7" spans="1:3" ht="28.8" x14ac:dyDescent="0.3">
      <c r="A7" s="2" t="s">
        <v>173</v>
      </c>
      <c r="B7" s="2" t="s">
        <v>231</v>
      </c>
      <c r="C7" s="2" t="s">
        <v>184</v>
      </c>
    </row>
    <row r="8" spans="1:3" ht="28.8" x14ac:dyDescent="0.3">
      <c r="A8" s="2" t="s">
        <v>174</v>
      </c>
      <c r="B8" s="2" t="s">
        <v>232</v>
      </c>
      <c r="C8" s="2" t="s">
        <v>187</v>
      </c>
    </row>
    <row r="9" spans="1:3" x14ac:dyDescent="0.3">
      <c r="A9" s="2" t="s">
        <v>175</v>
      </c>
      <c r="B9" s="2" t="s">
        <v>233</v>
      </c>
      <c r="C9" s="2" t="s">
        <v>190</v>
      </c>
    </row>
    <row r="10" spans="1:3" ht="28.8" x14ac:dyDescent="0.3">
      <c r="A10" s="2" t="s">
        <v>234</v>
      </c>
      <c r="B10" s="2" t="s">
        <v>235</v>
      </c>
      <c r="C10" s="2" t="s">
        <v>193</v>
      </c>
    </row>
    <row r="11" spans="1:3" x14ac:dyDescent="0.3">
      <c r="A11" s="2" t="s">
        <v>236</v>
      </c>
      <c r="B11" s="2" t="s">
        <v>237</v>
      </c>
      <c r="C11" s="2" t="s">
        <v>196</v>
      </c>
    </row>
    <row r="12" spans="1:3" ht="28.8" x14ac:dyDescent="0.3">
      <c r="A12" s="2" t="s">
        <v>238</v>
      </c>
      <c r="B12" s="2" t="s">
        <v>239</v>
      </c>
      <c r="C12" s="2" t="s">
        <v>199</v>
      </c>
    </row>
    <row r="13" spans="1:3" x14ac:dyDescent="0.3">
      <c r="A13" s="2" t="s">
        <v>240</v>
      </c>
      <c r="B13" s="2" t="s">
        <v>241</v>
      </c>
      <c r="C13" s="2" t="s">
        <v>202</v>
      </c>
    </row>
    <row r="14" spans="1:3" ht="28.8" x14ac:dyDescent="0.3">
      <c r="A14" s="2" t="s">
        <v>242</v>
      </c>
      <c r="B14" s="2" t="s">
        <v>243</v>
      </c>
      <c r="C14" s="2" t="s">
        <v>205</v>
      </c>
    </row>
    <row r="15" spans="1:3" x14ac:dyDescent="0.3">
      <c r="A15" s="2" t="s">
        <v>244</v>
      </c>
      <c r="B15" s="2" t="s">
        <v>245</v>
      </c>
      <c r="C15" s="2" t="s">
        <v>208</v>
      </c>
    </row>
    <row r="16" spans="1:3" x14ac:dyDescent="0.3">
      <c r="A16" s="2" t="s">
        <v>246</v>
      </c>
      <c r="B16" s="2" t="s">
        <v>247</v>
      </c>
      <c r="C16" s="2" t="s">
        <v>211</v>
      </c>
    </row>
    <row r="17" spans="1:3" ht="28.8" x14ac:dyDescent="0.3">
      <c r="A17" s="2" t="s">
        <v>248</v>
      </c>
      <c r="B17" s="2" t="s">
        <v>249</v>
      </c>
      <c r="C17" s="2" t="s">
        <v>214</v>
      </c>
    </row>
    <row r="18" spans="1:3" ht="28.8" x14ac:dyDescent="0.3">
      <c r="A18" s="2" t="s">
        <v>250</v>
      </c>
      <c r="B18" s="2" t="s">
        <v>251</v>
      </c>
      <c r="C18" s="2" t="s">
        <v>217</v>
      </c>
    </row>
    <row r="19" spans="1:3" ht="28.8" x14ac:dyDescent="0.3">
      <c r="A19" s="2" t="s">
        <v>252</v>
      </c>
      <c r="B19" s="2" t="s">
        <v>253</v>
      </c>
      <c r="C19" s="2" t="s">
        <v>220</v>
      </c>
    </row>
    <row r="20" spans="1:3" x14ac:dyDescent="0.3">
      <c r="A20" s="2" t="s">
        <v>254</v>
      </c>
      <c r="B20" s="2" t="s">
        <v>255</v>
      </c>
      <c r="C20" s="2" t="s">
        <v>223</v>
      </c>
    </row>
    <row r="21" spans="1:3" x14ac:dyDescent="0.3">
      <c r="A21" s="2" t="s">
        <v>256</v>
      </c>
      <c r="B21" s="2" t="s">
        <v>257</v>
      </c>
      <c r="C21" s="2" t="s">
        <v>226</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B30C82C-6B9E-4519-BE90-17DA3ED68A0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Readme</vt:lpstr>
      <vt:lpstr>Orders</vt:lpstr>
      <vt:lpstr>Products</vt:lpstr>
      <vt:lpstr>SalesPerson</vt:lpstr>
      <vt:lpstr>Dashboard</vt:lpstr>
      <vt:lpstr>Pivot</vt:lpstr>
      <vt:lpstr>Customers</vt:lpstr>
      <vt:lpstr>tblCustomers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akhmal novanda</dc:creator>
  <cp:lastModifiedBy>akhmal novanda</cp:lastModifiedBy>
  <dcterms:created xsi:type="dcterms:W3CDTF">2015-06-05T18:17:20Z</dcterms:created>
  <dcterms:modified xsi:type="dcterms:W3CDTF">2026-07-28T10:28:29Z</dcterms:modified>
</cp:coreProperties>
</file>