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D:\Career-Rebuild\aditiyapratama-dev\Projects\Project-01-Sales-Dashboard\Excel\"/>
    </mc:Choice>
  </mc:AlternateContent>
  <xr:revisionPtr revIDLastSave="0" documentId="8_{276ADB5D-3E13-473D-8CED-ED8A35D94F2D}" xr6:coauthVersionLast="47" xr6:coauthVersionMax="47" xr10:uidLastSave="{00000000-0000-0000-0000-000000000000}"/>
  <bookViews>
    <workbookView xWindow="-108" yWindow="-108" windowWidth="23256" windowHeight="13176" activeTab="5" xr2:uid="{00000000-000D-0000-FFFF-FFFF00000000}"/>
  </bookViews>
  <sheets>
    <sheet name="Readme" sheetId="1" r:id="rId1"/>
    <sheet name="Orders" sheetId="2" r:id="rId2"/>
    <sheet name="Products" sheetId="3" r:id="rId3"/>
    <sheet name="Dashboard" sheetId="6" r:id="rId4"/>
    <sheet name="SalesPerson" sheetId="4" r:id="rId5"/>
    <sheet name="Pivot" sheetId="8" r:id="rId6"/>
    <sheet name="Customers" sheetId="5" r:id="rId7"/>
  </sheets>
  <definedNames>
    <definedName name="tblCustomers">Table4[#All]</definedName>
  </definedNames>
  <calcPr calcId="191029"/>
  <pivotCaches>
    <pivotCache cacheId="25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E2" i="2" a="1"/>
  <c r="E2" i="2" s="1"/>
  <c r="I2" i="2" s="1"/>
  <c r="E3" i="2" a="1"/>
  <c r="E3" i="2" s="1"/>
  <c r="I3" i="2" s="1"/>
  <c r="E4" i="2" a="1"/>
  <c r="E4" i="2" s="1"/>
  <c r="I4" i="2" s="1"/>
  <c r="E5" i="2" a="1"/>
  <c r="E5" i="2" s="1"/>
  <c r="I5" i="2" s="1"/>
  <c r="E6" i="2" a="1"/>
  <c r="E6" i="2" s="1"/>
  <c r="I6" i="2" s="1"/>
  <c r="E7" i="2" a="1"/>
  <c r="E7" i="2" s="1"/>
  <c r="I7" i="2" s="1"/>
  <c r="E8" i="2" a="1"/>
  <c r="E8" i="2" s="1"/>
  <c r="I8" i="2" s="1"/>
  <c r="E9" i="2" a="1"/>
  <c r="E9" i="2" s="1"/>
  <c r="I9" i="2" s="1"/>
  <c r="E10" i="2" a="1"/>
  <c r="E10" i="2" s="1"/>
  <c r="I10" i="2" s="1"/>
  <c r="E11" i="2" a="1"/>
  <c r="E11" i="2" s="1"/>
  <c r="I11" i="2" s="1"/>
  <c r="E12" i="2" a="1"/>
  <c r="E12" i="2" s="1"/>
  <c r="I12" i="2" s="1"/>
  <c r="E13" i="2" a="1"/>
  <c r="E13" i="2" s="1"/>
  <c r="I13" i="2" s="1"/>
  <c r="E14" i="2" a="1"/>
  <c r="E14" i="2" s="1"/>
  <c r="I14" i="2" s="1"/>
  <c r="E15" i="2" a="1"/>
  <c r="E15" i="2" s="1"/>
  <c r="I15" i="2" s="1"/>
  <c r="E16" i="2" a="1"/>
  <c r="E16" i="2" s="1"/>
  <c r="I16" i="2" s="1"/>
  <c r="E17" i="2" a="1"/>
  <c r="E17" i="2" s="1"/>
  <c r="I17" i="2" s="1"/>
  <c r="E18" i="2" a="1"/>
  <c r="E18" i="2" s="1"/>
  <c r="I18" i="2" s="1"/>
  <c r="E19" i="2" a="1"/>
  <c r="E19" i="2" s="1"/>
  <c r="I19" i="2" s="1"/>
  <c r="E20" i="2" a="1"/>
  <c r="E20" i="2" s="1"/>
  <c r="I20" i="2" s="1"/>
  <c r="E21" i="2" a="1"/>
  <c r="E21" i="2" s="1"/>
  <c r="I21" i="2" s="1"/>
  <c r="E22" i="2" a="1"/>
  <c r="E22" i="2" s="1"/>
  <c r="I22" i="2" s="1"/>
  <c r="E23" i="2" a="1"/>
  <c r="E23" i="2" s="1"/>
  <c r="I23" i="2" s="1"/>
  <c r="E24" i="2" a="1"/>
  <c r="E24" i="2" s="1"/>
  <c r="I24" i="2" s="1"/>
  <c r="E25" i="2" a="1"/>
  <c r="E25" i="2" s="1"/>
  <c r="I25" i="2" s="1"/>
  <c r="E26" i="2" a="1"/>
  <c r="E26" i="2" s="1"/>
  <c r="I26" i="2" s="1"/>
  <c r="E27" i="2" a="1"/>
  <c r="E27" i="2" s="1"/>
  <c r="I27" i="2" s="1"/>
  <c r="E28" i="2" a="1"/>
  <c r="E28" i="2" s="1"/>
  <c r="I28" i="2" s="1"/>
  <c r="E29" i="2" a="1"/>
  <c r="E29" i="2" s="1"/>
  <c r="I29" i="2" s="1"/>
  <c r="E30" i="2" a="1"/>
  <c r="E30" i="2" s="1"/>
  <c r="I30" i="2" s="1"/>
  <c r="E31" i="2" a="1"/>
  <c r="E31" i="2" s="1"/>
  <c r="I31" i="2" s="1"/>
  <c r="E32" i="2" a="1"/>
  <c r="E32" i="2" s="1"/>
  <c r="I32" i="2" s="1"/>
  <c r="E33" i="2" a="1"/>
  <c r="E33" i="2" s="1"/>
  <c r="I33" i="2" s="1"/>
  <c r="E34" i="2" a="1"/>
  <c r="E34" i="2" s="1"/>
  <c r="I34" i="2" s="1"/>
  <c r="E35" i="2" a="1"/>
  <c r="E35" i="2" s="1"/>
  <c r="I35" i="2" s="1"/>
  <c r="E36" i="2" a="1"/>
  <c r="E36" i="2" s="1"/>
  <c r="I36" i="2" s="1"/>
  <c r="E37" i="2" a="1"/>
  <c r="E37" i="2" s="1"/>
  <c r="I37" i="2" s="1"/>
  <c r="E38" i="2" a="1"/>
  <c r="E38" i="2" s="1"/>
  <c r="I38" i="2" s="1"/>
  <c r="E39" i="2" a="1"/>
  <c r="E39" i="2" s="1"/>
  <c r="I39" i="2" s="1"/>
  <c r="E40" i="2" a="1"/>
  <c r="E40" i="2" s="1"/>
  <c r="I40" i="2" s="1"/>
  <c r="E41" i="2" a="1"/>
  <c r="E41" i="2" s="1"/>
  <c r="I41" i="2" s="1"/>
  <c r="E42" i="2" a="1"/>
  <c r="E42" i="2" s="1"/>
  <c r="I42" i="2" s="1"/>
  <c r="E43" i="2" a="1"/>
  <c r="E43" i="2" s="1"/>
  <c r="I43" i="2" s="1"/>
  <c r="E44" i="2" a="1"/>
  <c r="E44" i="2" s="1"/>
  <c r="I44" i="2" s="1"/>
  <c r="E45" i="2" a="1"/>
  <c r="E45" i="2" s="1"/>
  <c r="I45" i="2" s="1"/>
  <c r="E46" i="2" a="1"/>
  <c r="E46" i="2" s="1"/>
  <c r="I46" i="2" s="1"/>
  <c r="E47" i="2" a="1"/>
  <c r="E47" i="2" s="1"/>
  <c r="I47" i="2" s="1"/>
  <c r="E48" i="2" a="1"/>
  <c r="E48" i="2" s="1"/>
  <c r="I48" i="2" s="1"/>
  <c r="E49" i="2" a="1"/>
  <c r="E49" i="2" s="1"/>
  <c r="I49" i="2" s="1"/>
  <c r="E50" i="2" a="1"/>
  <c r="E50" i="2" s="1"/>
  <c r="I50" i="2" s="1"/>
  <c r="E51" i="2" a="1"/>
  <c r="E51" i="2" s="1"/>
  <c r="I51" i="2" s="1"/>
  <c r="E52" i="2" a="1"/>
  <c r="E52" i="2" s="1"/>
  <c r="I52" i="2" s="1"/>
  <c r="E53" i="2" a="1"/>
  <c r="E53" i="2" s="1"/>
  <c r="I53" i="2" s="1"/>
  <c r="E54" i="2" a="1"/>
  <c r="E54" i="2" s="1"/>
  <c r="I54" i="2" s="1"/>
  <c r="E55" i="2" a="1"/>
  <c r="E55" i="2" s="1"/>
  <c r="I55" i="2" s="1"/>
  <c r="E56" i="2" a="1"/>
  <c r="E56" i="2" s="1"/>
  <c r="I56" i="2" s="1"/>
  <c r="E57" i="2" a="1"/>
  <c r="E57" i="2" s="1"/>
  <c r="I57" i="2" s="1"/>
  <c r="E58" i="2" a="1"/>
  <c r="E58" i="2" s="1"/>
  <c r="I58" i="2" s="1"/>
  <c r="E59" i="2" a="1"/>
  <c r="E59" i="2" s="1"/>
  <c r="I59" i="2" s="1"/>
  <c r="E60" i="2" a="1"/>
  <c r="E60" i="2" s="1"/>
  <c r="I60" i="2" s="1"/>
  <c r="E61" i="2" a="1"/>
  <c r="E61" i="2" s="1"/>
  <c r="I61" i="2" s="1"/>
  <c r="E62" i="2" a="1"/>
  <c r="E62" i="2" s="1"/>
  <c r="I62" i="2" s="1"/>
  <c r="E63" i="2" a="1"/>
  <c r="E63" i="2" s="1"/>
  <c r="I63" i="2" s="1"/>
  <c r="E64" i="2" a="1"/>
  <c r="E64" i="2" s="1"/>
  <c r="I64" i="2" s="1"/>
  <c r="E65" i="2" a="1"/>
  <c r="E65" i="2" s="1"/>
  <c r="I65" i="2" s="1"/>
  <c r="E66" i="2" a="1"/>
  <c r="E66" i="2" s="1"/>
  <c r="I66" i="2" s="1"/>
  <c r="E67" i="2" a="1"/>
  <c r="E67" i="2" s="1"/>
  <c r="I67" i="2" s="1"/>
  <c r="E68" i="2" a="1"/>
  <c r="E68" i="2" s="1"/>
  <c r="I68" i="2" s="1"/>
  <c r="E69" i="2" a="1"/>
  <c r="E69" i="2" s="1"/>
  <c r="I69" i="2" s="1"/>
  <c r="E70" i="2" a="1"/>
  <c r="E70" i="2" s="1"/>
  <c r="I70" i="2" s="1"/>
  <c r="E71" i="2" a="1"/>
  <c r="E71" i="2" s="1"/>
  <c r="I71" i="2" s="1"/>
  <c r="E72" i="2" a="1"/>
  <c r="E72" i="2" s="1"/>
  <c r="I72" i="2" s="1"/>
  <c r="E73" i="2" a="1"/>
  <c r="E73" i="2" s="1"/>
  <c r="I73" i="2" s="1"/>
  <c r="E74" i="2" a="1"/>
  <c r="E74" i="2" s="1"/>
  <c r="I74" i="2" s="1"/>
  <c r="E75" i="2" a="1"/>
  <c r="E75" i="2" s="1"/>
  <c r="I75" i="2" s="1"/>
  <c r="E76" i="2" a="1"/>
  <c r="E76" i="2" s="1"/>
  <c r="I76" i="2" s="1"/>
  <c r="E77" i="2" a="1"/>
  <c r="E77" i="2" s="1"/>
  <c r="I77" i="2" s="1"/>
  <c r="E78" i="2" a="1"/>
  <c r="E78" i="2" s="1"/>
  <c r="I78" i="2" s="1"/>
  <c r="E79" i="2" a="1"/>
  <c r="E79" i="2" s="1"/>
  <c r="I79" i="2" s="1"/>
  <c r="E80" i="2" a="1"/>
  <c r="E80" i="2" s="1"/>
  <c r="I80" i="2" s="1"/>
  <c r="E81" i="2" a="1"/>
  <c r="E81" i="2" s="1"/>
  <c r="I81" i="2" s="1"/>
  <c r="E82" i="2" a="1"/>
  <c r="E82" i="2" s="1"/>
  <c r="I82" i="2" s="1"/>
  <c r="E83" i="2" a="1"/>
  <c r="E83" i="2" s="1"/>
  <c r="I83" i="2" s="1"/>
  <c r="E84" i="2" a="1"/>
  <c r="E84" i="2" s="1"/>
  <c r="I84" i="2" s="1"/>
  <c r="E85" i="2" a="1"/>
  <c r="E85" i="2" s="1"/>
  <c r="I85" i="2" s="1"/>
  <c r="E86" i="2" a="1"/>
  <c r="E86" i="2" s="1"/>
  <c r="I86" i="2" s="1"/>
  <c r="E87" i="2" a="1"/>
  <c r="E87" i="2" s="1"/>
  <c r="I87" i="2" s="1"/>
  <c r="E88" i="2" a="1"/>
  <c r="E88" i="2" s="1"/>
  <c r="I88" i="2" s="1"/>
  <c r="E89" i="2" a="1"/>
  <c r="E89" i="2" s="1"/>
  <c r="I89" i="2" s="1"/>
  <c r="E90" i="2" a="1"/>
  <c r="E90" i="2" s="1"/>
  <c r="I90" i="2" s="1"/>
  <c r="E91" i="2" a="1"/>
  <c r="E91" i="2" s="1"/>
  <c r="I91" i="2" s="1"/>
  <c r="E92" i="2" a="1"/>
  <c r="E92" i="2" s="1"/>
  <c r="I92" i="2" s="1"/>
  <c r="E93" i="2" a="1"/>
  <c r="E93" i="2" s="1"/>
  <c r="I93" i="2" s="1"/>
  <c r="E94" i="2" a="1"/>
  <c r="E94" i="2" s="1"/>
  <c r="I94" i="2" s="1"/>
  <c r="E95" i="2" a="1"/>
  <c r="E95" i="2" s="1"/>
  <c r="I95" i="2" s="1"/>
  <c r="E96" i="2" a="1"/>
  <c r="E96" i="2" s="1"/>
  <c r="I96" i="2" s="1"/>
  <c r="E97" i="2" a="1"/>
  <c r="E97" i="2" s="1"/>
  <c r="I97" i="2" s="1"/>
  <c r="E98" i="2" a="1"/>
  <c r="E98" i="2" s="1"/>
  <c r="I98" i="2" s="1"/>
  <c r="E99" i="2" a="1"/>
  <c r="E99" i="2" s="1"/>
  <c r="I99" i="2" s="1"/>
  <c r="E100" i="2" a="1"/>
  <c r="E100" i="2" s="1"/>
  <c r="I100" i="2" s="1"/>
  <c r="D2" i="2" a="1"/>
  <c r="D2" i="2" s="1"/>
  <c r="D3" i="2" a="1"/>
  <c r="D3" i="2" s="1"/>
  <c r="D4" i="2" a="1"/>
  <c r="D4" i="2" s="1"/>
  <c r="G4" i="2" s="1"/>
  <c r="D5" i="2" a="1"/>
  <c r="D5" i="2" s="1"/>
  <c r="D6" i="2" a="1"/>
  <c r="D6" i="2" s="1"/>
  <c r="G6" i="2" s="1"/>
  <c r="D7" i="2" a="1"/>
  <c r="D7" i="2" s="1"/>
  <c r="P7" i="2" s="1"/>
  <c r="D8" i="2" a="1"/>
  <c r="D8" i="2" s="1"/>
  <c r="D9" i="2" a="1"/>
  <c r="D9" i="2" s="1"/>
  <c r="G9" i="2" s="1"/>
  <c r="D10" i="2" a="1"/>
  <c r="D10" i="2" s="1"/>
  <c r="G10" i="2" s="1"/>
  <c r="D11" i="2" a="1"/>
  <c r="D11" i="2" s="1"/>
  <c r="G11" i="2" s="1"/>
  <c r="D12" i="2" a="1"/>
  <c r="D12" i="2" s="1"/>
  <c r="G12" i="2" s="1"/>
  <c r="D13" i="2" a="1"/>
  <c r="D13" i="2" s="1"/>
  <c r="G13" i="2" s="1"/>
  <c r="D14" i="2" a="1"/>
  <c r="D14" i="2" s="1"/>
  <c r="L14" i="2" s="1"/>
  <c r="D15" i="2" a="1"/>
  <c r="D15" i="2" s="1"/>
  <c r="G15" i="2" s="1"/>
  <c r="D16" i="2" a="1"/>
  <c r="D16" i="2" s="1"/>
  <c r="G16" i="2" s="1"/>
  <c r="D17" i="2" a="1"/>
  <c r="D17" i="2" s="1"/>
  <c r="D18" i="2" a="1"/>
  <c r="D18" i="2" s="1"/>
  <c r="D19" i="2" a="1"/>
  <c r="D19" i="2" s="1"/>
  <c r="P19" i="2" s="1"/>
  <c r="D20" i="2" a="1"/>
  <c r="D20" i="2" s="1"/>
  <c r="L20" i="2" s="1"/>
  <c r="D21" i="2" a="1"/>
  <c r="D21" i="2" s="1"/>
  <c r="G21" i="2" s="1"/>
  <c r="D22" i="2" a="1"/>
  <c r="D22" i="2" s="1"/>
  <c r="G22" i="2" s="1"/>
  <c r="D23" i="2" a="1"/>
  <c r="D23" i="2" s="1"/>
  <c r="G23" i="2" s="1"/>
  <c r="D24" i="2" a="1"/>
  <c r="D24" i="2" s="1"/>
  <c r="L24" i="2" s="1"/>
  <c r="D25" i="2" a="1"/>
  <c r="D25" i="2" s="1"/>
  <c r="G25" i="2" s="1"/>
  <c r="D26" i="2" a="1"/>
  <c r="D26" i="2" s="1"/>
  <c r="L26" i="2" s="1"/>
  <c r="D27" i="2" a="1"/>
  <c r="D27" i="2" s="1"/>
  <c r="D28" i="2" a="1"/>
  <c r="D28" i="2" s="1"/>
  <c r="D29" i="2" a="1"/>
  <c r="D29" i="2" s="1"/>
  <c r="D30" i="2" a="1"/>
  <c r="D30" i="2" s="1"/>
  <c r="G30" i="2" s="1"/>
  <c r="D31" i="2" a="1"/>
  <c r="D31" i="2" s="1"/>
  <c r="P31" i="2" s="1"/>
  <c r="D32" i="2" a="1"/>
  <c r="D32" i="2" s="1"/>
  <c r="P32" i="2" s="1"/>
  <c r="D33" i="2" a="1"/>
  <c r="D33" i="2" s="1"/>
  <c r="L33" i="2" s="1"/>
  <c r="D34" i="2" a="1"/>
  <c r="D34" i="2" s="1"/>
  <c r="D35" i="2" a="1"/>
  <c r="D35" i="2" s="1"/>
  <c r="D36" i="2" a="1"/>
  <c r="D36" i="2" s="1"/>
  <c r="G36" i="2" s="1"/>
  <c r="D37" i="2" a="1"/>
  <c r="D37" i="2" s="1"/>
  <c r="G37" i="2" s="1"/>
  <c r="D38" i="2" a="1"/>
  <c r="D38" i="2" s="1"/>
  <c r="G38" i="2" s="1"/>
  <c r="D39" i="2" a="1"/>
  <c r="D39" i="2" s="1"/>
  <c r="D40" i="2" a="1"/>
  <c r="D40" i="2" s="1"/>
  <c r="G40" i="2" s="1"/>
  <c r="D41" i="2" a="1"/>
  <c r="D41" i="2" s="1"/>
  <c r="L41" i="2" s="1"/>
  <c r="D42" i="2" a="1"/>
  <c r="D42" i="2" s="1"/>
  <c r="L42" i="2" s="1"/>
  <c r="D43" i="2" a="1"/>
  <c r="D43" i="2" s="1"/>
  <c r="G43" i="2" s="1"/>
  <c r="D44" i="2" a="1"/>
  <c r="D44" i="2" s="1"/>
  <c r="L44" i="2" s="1"/>
  <c r="D45" i="2" a="1"/>
  <c r="D45" i="2" s="1"/>
  <c r="K45" i="2" s="1"/>
  <c r="D46" i="2" a="1"/>
  <c r="D46" i="2" s="1"/>
  <c r="P46" i="2" s="1"/>
  <c r="D47" i="2" a="1"/>
  <c r="D47" i="2" s="1"/>
  <c r="G47" i="2" s="1"/>
  <c r="D48" i="2" a="1"/>
  <c r="D48" i="2" s="1"/>
  <c r="G48" i="2" s="1"/>
  <c r="D49" i="2" a="1"/>
  <c r="D49" i="2" s="1"/>
  <c r="L49" i="2" s="1"/>
  <c r="D50" i="2" a="1"/>
  <c r="D50" i="2" s="1"/>
  <c r="G50" i="2" s="1"/>
  <c r="D51" i="2" a="1"/>
  <c r="D51" i="2" s="1"/>
  <c r="P51" i="2" s="1"/>
  <c r="D52" i="2" a="1"/>
  <c r="D52" i="2" s="1"/>
  <c r="D53" i="2" a="1"/>
  <c r="D53" i="2" s="1"/>
  <c r="G53" i="2" s="1"/>
  <c r="D54" i="2" a="1"/>
  <c r="D54" i="2" s="1"/>
  <c r="G54" i="2" s="1"/>
  <c r="D55" i="2" a="1"/>
  <c r="D55" i="2" s="1"/>
  <c r="G55" i="2" s="1"/>
  <c r="D56" i="2" a="1"/>
  <c r="D56" i="2" s="1"/>
  <c r="L56" i="2" s="1"/>
  <c r="D57" i="2" a="1"/>
  <c r="D57" i="2" s="1"/>
  <c r="P57" i="2" s="1"/>
  <c r="D58" i="2" a="1"/>
  <c r="D58" i="2" s="1"/>
  <c r="G58" i="2" s="1"/>
  <c r="D59" i="2" a="1"/>
  <c r="D59" i="2" s="1"/>
  <c r="K59" i="2" s="1"/>
  <c r="D60" i="2" a="1"/>
  <c r="D60" i="2" s="1"/>
  <c r="G60" i="2" s="1"/>
  <c r="D61" i="2" a="1"/>
  <c r="D61" i="2" s="1"/>
  <c r="L61" i="2" s="1"/>
  <c r="D62" i="2" a="1"/>
  <c r="D62" i="2" s="1"/>
  <c r="D63" i="2" a="1"/>
  <c r="D63" i="2" s="1"/>
  <c r="P63" i="2" s="1"/>
  <c r="D64" i="2" a="1"/>
  <c r="D64" i="2" s="1"/>
  <c r="D65" i="2" a="1"/>
  <c r="D65" i="2" s="1"/>
  <c r="G65" i="2" s="1"/>
  <c r="D66" i="2" a="1"/>
  <c r="D66" i="2" s="1"/>
  <c r="P66" i="2" s="1"/>
  <c r="D67" i="2" a="1"/>
  <c r="D67" i="2" s="1"/>
  <c r="G67" i="2" s="1"/>
  <c r="D68" i="2" a="1"/>
  <c r="D68" i="2" s="1"/>
  <c r="K68" i="2" s="1"/>
  <c r="D69" i="2" a="1"/>
  <c r="D69" i="2" s="1"/>
  <c r="G69" i="2" s="1"/>
  <c r="D70" i="2" a="1"/>
  <c r="D70" i="2" s="1"/>
  <c r="G70" i="2" s="1"/>
  <c r="D71" i="2" a="1"/>
  <c r="D71" i="2" s="1"/>
  <c r="G71" i="2" s="1"/>
  <c r="D72" i="2" a="1"/>
  <c r="D72" i="2" s="1"/>
  <c r="L72" i="2" s="1"/>
  <c r="D73" i="2" a="1"/>
  <c r="D73" i="2" s="1"/>
  <c r="G73" i="2" s="1"/>
  <c r="D74" i="2" a="1"/>
  <c r="D74" i="2" s="1"/>
  <c r="D75" i="2" a="1"/>
  <c r="D75" i="2" s="1"/>
  <c r="G75" i="2" s="1"/>
  <c r="D76" i="2" a="1"/>
  <c r="D76" i="2" s="1"/>
  <c r="D77" i="2" a="1"/>
  <c r="D77" i="2" s="1"/>
  <c r="L77" i="2" s="1"/>
  <c r="D78" i="2" a="1"/>
  <c r="D78" i="2" s="1"/>
  <c r="G78" i="2" s="1"/>
  <c r="D79" i="2" a="1"/>
  <c r="D79" i="2" s="1"/>
  <c r="D80" i="2" a="1"/>
  <c r="D80" i="2" s="1"/>
  <c r="G80" i="2" s="1"/>
  <c r="D81" i="2" a="1"/>
  <c r="D81" i="2" s="1"/>
  <c r="G81" i="2" s="1"/>
  <c r="D82" i="2" a="1"/>
  <c r="D82" i="2" s="1"/>
  <c r="G82" i="2" s="1"/>
  <c r="D83" i="2" a="1"/>
  <c r="D83" i="2" s="1"/>
  <c r="L83" i="2" s="1"/>
  <c r="D84" i="2" a="1"/>
  <c r="D84" i="2" s="1"/>
  <c r="D85" i="2" a="1"/>
  <c r="D85" i="2" s="1"/>
  <c r="D86" i="2" a="1"/>
  <c r="D86" i="2" s="1"/>
  <c r="D87" i="2" a="1"/>
  <c r="D87" i="2" s="1"/>
  <c r="D88" i="2" a="1"/>
  <c r="D88" i="2" s="1"/>
  <c r="G88" i="2" s="1"/>
  <c r="D89" i="2" a="1"/>
  <c r="D89" i="2" s="1"/>
  <c r="G89" i="2" s="1"/>
  <c r="D90" i="2" a="1"/>
  <c r="D90" i="2" s="1"/>
  <c r="K90" i="2" s="1"/>
  <c r="D91" i="2" a="1"/>
  <c r="D91" i="2" s="1"/>
  <c r="D92" i="2" a="1"/>
  <c r="D92" i="2" s="1"/>
  <c r="K92" i="2" s="1"/>
  <c r="D93" i="2" a="1"/>
  <c r="D93" i="2" s="1"/>
  <c r="P93" i="2" s="1"/>
  <c r="D94" i="2" a="1"/>
  <c r="D94" i="2" s="1"/>
  <c r="P94" i="2" s="1"/>
  <c r="D95" i="2" a="1"/>
  <c r="D95" i="2" s="1"/>
  <c r="G95" i="2" s="1"/>
  <c r="D96" i="2" a="1"/>
  <c r="D96" i="2" s="1"/>
  <c r="G96" i="2" s="1"/>
  <c r="D97" i="2" a="1"/>
  <c r="D97" i="2" s="1"/>
  <c r="G97" i="2" s="1"/>
  <c r="D98" i="2" a="1"/>
  <c r="D98" i="2" s="1"/>
  <c r="D99" i="2" a="1"/>
  <c r="D99" i="2" s="1"/>
  <c r="G99" i="2" s="1"/>
  <c r="D100" i="2" a="1"/>
  <c r="D100" i="2" s="1"/>
  <c r="G100" i="2" s="1"/>
  <c r="C2" i="2" a="1"/>
  <c r="C2" i="2" s="1"/>
  <c r="F2" i="2" s="1"/>
  <c r="C3" i="2" a="1"/>
  <c r="C3" i="2" s="1"/>
  <c r="F3" i="2" s="1"/>
  <c r="C4" i="2" a="1"/>
  <c r="C4" i="2" s="1"/>
  <c r="F4" i="2" s="1"/>
  <c r="C5" i="2" a="1"/>
  <c r="C5" i="2" s="1"/>
  <c r="F5" i="2" s="1"/>
  <c r="C6" i="2" a="1"/>
  <c r="C6" i="2" s="1"/>
  <c r="F6" i="2" s="1"/>
  <c r="C7" i="2" a="1"/>
  <c r="C7" i="2" s="1"/>
  <c r="F7" i="2" s="1"/>
  <c r="C8" i="2" a="1"/>
  <c r="C8" i="2" s="1"/>
  <c r="F8" i="2" s="1"/>
  <c r="C9" i="2" a="1"/>
  <c r="C9" i="2" s="1"/>
  <c r="F9" i="2" s="1"/>
  <c r="C10" i="2" a="1"/>
  <c r="C10" i="2" s="1"/>
  <c r="F10" i="2" s="1"/>
  <c r="C11" i="2" a="1"/>
  <c r="C11" i="2" s="1"/>
  <c r="F11" i="2" s="1"/>
  <c r="C12" i="2" a="1"/>
  <c r="C12" i="2" s="1"/>
  <c r="F12" i="2" s="1"/>
  <c r="C13" i="2" a="1"/>
  <c r="C13" i="2" s="1"/>
  <c r="F13" i="2" s="1"/>
  <c r="C14" i="2" a="1"/>
  <c r="C14" i="2" s="1"/>
  <c r="F14" i="2" s="1"/>
  <c r="C15" i="2" a="1"/>
  <c r="C15" i="2" s="1"/>
  <c r="F15" i="2" s="1"/>
  <c r="C16" i="2" a="1"/>
  <c r="C16" i="2" s="1"/>
  <c r="F16" i="2" s="1"/>
  <c r="C17" i="2" a="1"/>
  <c r="C17" i="2" s="1"/>
  <c r="F17" i="2" s="1"/>
  <c r="C18" i="2" a="1"/>
  <c r="C18" i="2" s="1"/>
  <c r="F18" i="2" s="1"/>
  <c r="C19" i="2" a="1"/>
  <c r="C19" i="2" s="1"/>
  <c r="F19" i="2" s="1"/>
  <c r="C20" i="2" a="1"/>
  <c r="C20" i="2" s="1"/>
  <c r="F20" i="2" s="1"/>
  <c r="C21" i="2" a="1"/>
  <c r="C21" i="2" s="1"/>
  <c r="F21" i="2" s="1"/>
  <c r="C22" i="2" a="1"/>
  <c r="C22" i="2" s="1"/>
  <c r="F22" i="2" s="1"/>
  <c r="C23" i="2" a="1"/>
  <c r="C23" i="2" s="1"/>
  <c r="F23" i="2" s="1"/>
  <c r="C24" i="2" a="1"/>
  <c r="C24" i="2" s="1"/>
  <c r="F24" i="2" s="1"/>
  <c r="C25" i="2" a="1"/>
  <c r="C25" i="2" s="1"/>
  <c r="F25" i="2" s="1"/>
  <c r="C26" i="2" a="1"/>
  <c r="C26" i="2" s="1"/>
  <c r="F26" i="2" s="1"/>
  <c r="C27" i="2" a="1"/>
  <c r="C27" i="2" s="1"/>
  <c r="F27" i="2" s="1"/>
  <c r="C28" i="2" a="1"/>
  <c r="C28" i="2" s="1"/>
  <c r="F28" i="2" s="1"/>
  <c r="C29" i="2" a="1"/>
  <c r="C29" i="2" s="1"/>
  <c r="F29" i="2" s="1"/>
  <c r="C30" i="2" a="1"/>
  <c r="C30" i="2" s="1"/>
  <c r="F30" i="2" s="1"/>
  <c r="C31" i="2" a="1"/>
  <c r="C31" i="2" s="1"/>
  <c r="F31" i="2" s="1"/>
  <c r="C32" i="2" a="1"/>
  <c r="C32" i="2" s="1"/>
  <c r="F32" i="2" s="1"/>
  <c r="C33" i="2" a="1"/>
  <c r="C33" i="2" s="1"/>
  <c r="F33" i="2" s="1"/>
  <c r="C34" i="2" a="1"/>
  <c r="C34" i="2" s="1"/>
  <c r="F34" i="2" s="1"/>
  <c r="C35" i="2" a="1"/>
  <c r="C35" i="2" s="1"/>
  <c r="F35" i="2" s="1"/>
  <c r="C36" i="2" a="1"/>
  <c r="C36" i="2" s="1"/>
  <c r="F36" i="2" s="1"/>
  <c r="C37" i="2" a="1"/>
  <c r="C37" i="2" s="1"/>
  <c r="F37" i="2" s="1"/>
  <c r="C38" i="2" a="1"/>
  <c r="C38" i="2" s="1"/>
  <c r="F38" i="2" s="1"/>
  <c r="C39" i="2" a="1"/>
  <c r="C39" i="2" s="1"/>
  <c r="F39" i="2" s="1"/>
  <c r="C40" i="2" a="1"/>
  <c r="C40" i="2" s="1"/>
  <c r="F40" i="2" s="1"/>
  <c r="C41" i="2" a="1"/>
  <c r="C41" i="2" s="1"/>
  <c r="F41" i="2" s="1"/>
  <c r="C42" i="2" a="1"/>
  <c r="C42" i="2" s="1"/>
  <c r="F42" i="2" s="1"/>
  <c r="C43" i="2" a="1"/>
  <c r="C43" i="2" s="1"/>
  <c r="F43" i="2" s="1"/>
  <c r="C44" i="2" a="1"/>
  <c r="C44" i="2" s="1"/>
  <c r="F44" i="2" s="1"/>
  <c r="C45" i="2" a="1"/>
  <c r="C45" i="2" s="1"/>
  <c r="F45" i="2" s="1"/>
  <c r="C46" i="2" a="1"/>
  <c r="C46" i="2" s="1"/>
  <c r="F46" i="2" s="1"/>
  <c r="C47" i="2" a="1"/>
  <c r="C47" i="2" s="1"/>
  <c r="F47" i="2" s="1"/>
  <c r="C48" i="2" a="1"/>
  <c r="C48" i="2" s="1"/>
  <c r="F48" i="2" s="1"/>
  <c r="C49" i="2" a="1"/>
  <c r="C49" i="2" s="1"/>
  <c r="F49" i="2" s="1"/>
  <c r="C50" i="2" a="1"/>
  <c r="C50" i="2" s="1"/>
  <c r="F50" i="2" s="1"/>
  <c r="C51" i="2" a="1"/>
  <c r="C51" i="2" s="1"/>
  <c r="F51" i="2" s="1"/>
  <c r="C52" i="2" a="1"/>
  <c r="C52" i="2" s="1"/>
  <c r="F52" i="2" s="1"/>
  <c r="C53" i="2" a="1"/>
  <c r="C53" i="2" s="1"/>
  <c r="F53" i="2" s="1"/>
  <c r="C54" i="2" a="1"/>
  <c r="C54" i="2" s="1"/>
  <c r="F54" i="2" s="1"/>
  <c r="C55" i="2" a="1"/>
  <c r="C55" i="2" s="1"/>
  <c r="F55" i="2" s="1"/>
  <c r="C56" i="2" a="1"/>
  <c r="C56" i="2" s="1"/>
  <c r="F56" i="2" s="1"/>
  <c r="C57" i="2" a="1"/>
  <c r="C57" i="2" s="1"/>
  <c r="F57" i="2" s="1"/>
  <c r="C58" i="2" a="1"/>
  <c r="C58" i="2" s="1"/>
  <c r="F58" i="2" s="1"/>
  <c r="C59" i="2" a="1"/>
  <c r="C59" i="2" s="1"/>
  <c r="F59" i="2" s="1"/>
  <c r="C60" i="2" a="1"/>
  <c r="C60" i="2" s="1"/>
  <c r="F60" i="2" s="1"/>
  <c r="C61" i="2" a="1"/>
  <c r="C61" i="2" s="1"/>
  <c r="F61" i="2" s="1"/>
  <c r="C62" i="2" a="1"/>
  <c r="C62" i="2" s="1"/>
  <c r="F62" i="2" s="1"/>
  <c r="C63" i="2" a="1"/>
  <c r="C63" i="2" s="1"/>
  <c r="F63" i="2" s="1"/>
  <c r="C64" i="2" a="1"/>
  <c r="C64" i="2" s="1"/>
  <c r="F64" i="2" s="1"/>
  <c r="C65" i="2" a="1"/>
  <c r="C65" i="2" s="1"/>
  <c r="F65" i="2" s="1"/>
  <c r="C66" i="2" a="1"/>
  <c r="C66" i="2" s="1"/>
  <c r="F66" i="2" s="1"/>
  <c r="C67" i="2" a="1"/>
  <c r="C67" i="2" s="1"/>
  <c r="F67" i="2" s="1"/>
  <c r="C68" i="2" a="1"/>
  <c r="C68" i="2" s="1"/>
  <c r="F68" i="2" s="1"/>
  <c r="C69" i="2" a="1"/>
  <c r="C69" i="2" s="1"/>
  <c r="F69" i="2" s="1"/>
  <c r="C70" i="2" a="1"/>
  <c r="C70" i="2" s="1"/>
  <c r="F70" i="2" s="1"/>
  <c r="C71" i="2" a="1"/>
  <c r="C71" i="2" s="1"/>
  <c r="F71" i="2" s="1"/>
  <c r="C72" i="2" a="1"/>
  <c r="C72" i="2" s="1"/>
  <c r="F72" i="2" s="1"/>
  <c r="C73" i="2" a="1"/>
  <c r="C73" i="2" s="1"/>
  <c r="F73" i="2" s="1"/>
  <c r="C74" i="2" a="1"/>
  <c r="C74" i="2" s="1"/>
  <c r="F74" i="2" s="1"/>
  <c r="C75" i="2" a="1"/>
  <c r="C75" i="2" s="1"/>
  <c r="F75" i="2" s="1"/>
  <c r="C76" i="2" a="1"/>
  <c r="C76" i="2" s="1"/>
  <c r="F76" i="2" s="1"/>
  <c r="C77" i="2" a="1"/>
  <c r="C77" i="2" s="1"/>
  <c r="F77" i="2" s="1"/>
  <c r="C78" i="2" a="1"/>
  <c r="C78" i="2" s="1"/>
  <c r="F78" i="2" s="1"/>
  <c r="C79" i="2" a="1"/>
  <c r="C79" i="2" s="1"/>
  <c r="F79" i="2" s="1"/>
  <c r="C80" i="2" a="1"/>
  <c r="C80" i="2" s="1"/>
  <c r="F80" i="2" s="1"/>
  <c r="C81" i="2" a="1"/>
  <c r="C81" i="2" s="1"/>
  <c r="F81" i="2" s="1"/>
  <c r="C82" i="2" a="1"/>
  <c r="C82" i="2" s="1"/>
  <c r="F82" i="2" s="1"/>
  <c r="C83" i="2" a="1"/>
  <c r="C83" i="2" s="1"/>
  <c r="F83" i="2" s="1"/>
  <c r="C84" i="2" a="1"/>
  <c r="C84" i="2" s="1"/>
  <c r="F84" i="2" s="1"/>
  <c r="C85" i="2" a="1"/>
  <c r="C85" i="2" s="1"/>
  <c r="F85" i="2" s="1"/>
  <c r="C86" i="2" a="1"/>
  <c r="C86" i="2" s="1"/>
  <c r="F86" i="2" s="1"/>
  <c r="C87" i="2" a="1"/>
  <c r="C87" i="2" s="1"/>
  <c r="F87" i="2" s="1"/>
  <c r="C88" i="2" a="1"/>
  <c r="C88" i="2" s="1"/>
  <c r="F88" i="2" s="1"/>
  <c r="C89" i="2" a="1"/>
  <c r="C89" i="2" s="1"/>
  <c r="F89" i="2" s="1"/>
  <c r="C90" i="2" a="1"/>
  <c r="C90" i="2" s="1"/>
  <c r="F90" i="2" s="1"/>
  <c r="C91" i="2" a="1"/>
  <c r="C91" i="2" s="1"/>
  <c r="F91" i="2" s="1"/>
  <c r="C92" i="2" a="1"/>
  <c r="C92" i="2" s="1"/>
  <c r="F92" i="2" s="1"/>
  <c r="C93" i="2" a="1"/>
  <c r="C93" i="2" s="1"/>
  <c r="F93" i="2" s="1"/>
  <c r="C94" i="2" a="1"/>
  <c r="C94" i="2" s="1"/>
  <c r="F94" i="2" s="1"/>
  <c r="C95" i="2" a="1"/>
  <c r="C95" i="2" s="1"/>
  <c r="F95" i="2" s="1"/>
  <c r="C96" i="2" a="1"/>
  <c r="C96" i="2" s="1"/>
  <c r="F96" i="2" s="1"/>
  <c r="C97" i="2" a="1"/>
  <c r="C97" i="2" s="1"/>
  <c r="F97" i="2" s="1"/>
  <c r="C98" i="2" a="1"/>
  <c r="C98" i="2" s="1"/>
  <c r="F98" i="2" s="1"/>
  <c r="C99" i="2" a="1"/>
  <c r="C99" i="2" s="1"/>
  <c r="F99" i="2" s="1"/>
  <c r="C100" i="2" a="1"/>
  <c r="C100" i="2" s="1"/>
  <c r="F100" i="2" s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2" i="2"/>
  <c r="H91" i="2" l="1"/>
  <c r="H92" i="2"/>
  <c r="H44" i="2"/>
  <c r="H43" i="2"/>
  <c r="H19" i="2"/>
  <c r="H11" i="2"/>
  <c r="H81" i="2"/>
  <c r="H33" i="2"/>
  <c r="H80" i="2"/>
  <c r="H32" i="2"/>
  <c r="H79" i="2"/>
  <c r="H31" i="2"/>
  <c r="H69" i="2"/>
  <c r="H21" i="2"/>
  <c r="H68" i="2"/>
  <c r="H20" i="2"/>
  <c r="H67" i="2"/>
  <c r="H57" i="2"/>
  <c r="H56" i="2"/>
  <c r="H9" i="2"/>
  <c r="H55" i="2"/>
  <c r="H8" i="2"/>
  <c r="H93" i="2"/>
  <c r="H45" i="2"/>
  <c r="H7" i="2"/>
  <c r="H97" i="2"/>
  <c r="H85" i="2"/>
  <c r="H73" i="2"/>
  <c r="H61" i="2"/>
  <c r="H49" i="2"/>
  <c r="H37" i="2"/>
  <c r="H25" i="2"/>
  <c r="H13" i="2"/>
  <c r="H96" i="2"/>
  <c r="H84" i="2"/>
  <c r="H72" i="2"/>
  <c r="H60" i="2"/>
  <c r="H48" i="2"/>
  <c r="H36" i="2"/>
  <c r="H24" i="2"/>
  <c r="H12" i="2"/>
  <c r="H95" i="2"/>
  <c r="H83" i="2"/>
  <c r="H71" i="2"/>
  <c r="H59" i="2"/>
  <c r="H47" i="2"/>
  <c r="H35" i="2"/>
  <c r="H23" i="2"/>
  <c r="H94" i="2"/>
  <c r="H82" i="2"/>
  <c r="H70" i="2"/>
  <c r="H58" i="2"/>
  <c r="H46" i="2"/>
  <c r="H34" i="2"/>
  <c r="H22" i="2"/>
  <c r="H10" i="2"/>
  <c r="H90" i="2"/>
  <c r="H78" i="2"/>
  <c r="H66" i="2"/>
  <c r="H54" i="2"/>
  <c r="H42" i="2"/>
  <c r="H30" i="2"/>
  <c r="H18" i="2"/>
  <c r="H6" i="2"/>
  <c r="H89" i="2"/>
  <c r="H77" i="2"/>
  <c r="H65" i="2"/>
  <c r="H53" i="2"/>
  <c r="H41" i="2"/>
  <c r="H29" i="2"/>
  <c r="H17" i="2"/>
  <c r="H5" i="2"/>
  <c r="H100" i="2"/>
  <c r="H88" i="2"/>
  <c r="H76" i="2"/>
  <c r="H64" i="2"/>
  <c r="H52" i="2"/>
  <c r="H40" i="2"/>
  <c r="H28" i="2"/>
  <c r="H16" i="2"/>
  <c r="H4" i="2"/>
  <c r="H99" i="2"/>
  <c r="H87" i="2"/>
  <c r="H75" i="2"/>
  <c r="H63" i="2"/>
  <c r="H51" i="2"/>
  <c r="H39" i="2"/>
  <c r="H27" i="2"/>
  <c r="H15" i="2"/>
  <c r="H3" i="2"/>
  <c r="H98" i="2"/>
  <c r="H86" i="2"/>
  <c r="H74" i="2"/>
  <c r="H62" i="2"/>
  <c r="H50" i="2"/>
  <c r="H38" i="2"/>
  <c r="H26" i="2"/>
  <c r="H14" i="2"/>
  <c r="H2" i="2"/>
  <c r="G49" i="2"/>
  <c r="G17" i="2"/>
  <c r="G41" i="2"/>
  <c r="G29" i="2"/>
  <c r="G85" i="2"/>
  <c r="G84" i="2"/>
  <c r="G24" i="2"/>
  <c r="G72" i="2"/>
  <c r="G61" i="2"/>
  <c r="G5" i="2"/>
  <c r="G83" i="2"/>
  <c r="G59" i="2"/>
  <c r="G35" i="2"/>
  <c r="G94" i="2"/>
  <c r="G46" i="2"/>
  <c r="G34" i="2"/>
  <c r="G93" i="2"/>
  <c r="G57" i="2"/>
  <c r="G45" i="2"/>
  <c r="G33" i="2"/>
  <c r="G92" i="2"/>
  <c r="G68" i="2"/>
  <c r="G56" i="2"/>
  <c r="G44" i="2"/>
  <c r="G32" i="2"/>
  <c r="G20" i="2"/>
  <c r="G8" i="2"/>
  <c r="G91" i="2"/>
  <c r="G79" i="2"/>
  <c r="G31" i="2"/>
  <c r="G19" i="2"/>
  <c r="G7" i="2"/>
  <c r="G90" i="2"/>
  <c r="G66" i="2"/>
  <c r="G42" i="2"/>
  <c r="G18" i="2"/>
  <c r="G77" i="2"/>
  <c r="G76" i="2"/>
  <c r="G64" i="2"/>
  <c r="G52" i="2"/>
  <c r="G28" i="2"/>
  <c r="G87" i="2"/>
  <c r="G63" i="2"/>
  <c r="G51" i="2"/>
  <c r="G39" i="2"/>
  <c r="G27" i="2"/>
  <c r="G3" i="2"/>
  <c r="G98" i="2"/>
  <c r="G86" i="2"/>
  <c r="G74" i="2"/>
  <c r="G62" i="2"/>
  <c r="G26" i="2"/>
  <c r="G14" i="2"/>
  <c r="G2" i="2"/>
  <c r="N77" i="2"/>
  <c r="N26" i="2"/>
  <c r="N42" i="2"/>
  <c r="M90" i="2"/>
  <c r="M68" i="2"/>
  <c r="K44" i="2"/>
  <c r="M44" i="2" s="1"/>
  <c r="N20" i="2"/>
  <c r="N14" i="2"/>
  <c r="M45" i="2"/>
  <c r="L92" i="2"/>
  <c r="N92" i="2" s="1"/>
  <c r="P59" i="2"/>
  <c r="P3" i="2"/>
  <c r="N49" i="2"/>
  <c r="K10" i="2"/>
  <c r="M10" i="2" s="1"/>
  <c r="P10" i="2"/>
  <c r="L10" i="2"/>
  <c r="N10" i="2" s="1"/>
  <c r="N56" i="2"/>
  <c r="N44" i="2"/>
  <c r="N24" i="2"/>
  <c r="M92" i="2"/>
  <c r="N33" i="2"/>
  <c r="N72" i="2"/>
  <c r="L68" i="2"/>
  <c r="N68" i="2" s="1"/>
  <c r="K20" i="2"/>
  <c r="M20" i="2" s="1"/>
  <c r="N61" i="2"/>
  <c r="N41" i="2"/>
  <c r="N83" i="2"/>
  <c r="P68" i="2"/>
  <c r="M59" i="2"/>
  <c r="L36" i="2"/>
  <c r="N36" i="2" s="1"/>
  <c r="K36" i="2"/>
  <c r="M36" i="2" s="1"/>
  <c r="L100" i="2"/>
  <c r="N100" i="2" s="1"/>
  <c r="P90" i="2"/>
  <c r="P61" i="2"/>
  <c r="L90" i="2"/>
  <c r="N90" i="2" s="1"/>
  <c r="P44" i="2"/>
  <c r="P34" i="2"/>
  <c r="L31" i="2"/>
  <c r="N31" i="2" s="1"/>
  <c r="L59" i="2"/>
  <c r="N59" i="2" s="1"/>
  <c r="L52" i="2"/>
  <c r="N52" i="2" s="1"/>
  <c r="L2" i="2"/>
  <c r="N2" i="2" s="1"/>
  <c r="P52" i="2"/>
  <c r="P69" i="2"/>
  <c r="K69" i="2"/>
  <c r="M69" i="2" s="1"/>
  <c r="L69" i="2"/>
  <c r="N69" i="2" s="1"/>
  <c r="L37" i="2"/>
  <c r="N37" i="2" s="1"/>
  <c r="K37" i="2"/>
  <c r="M37" i="2" s="1"/>
  <c r="L74" i="2"/>
  <c r="N74" i="2" s="1"/>
  <c r="P36" i="2"/>
  <c r="L64" i="2"/>
  <c r="N64" i="2" s="1"/>
  <c r="P76" i="2"/>
  <c r="P56" i="2"/>
  <c r="K2" i="2"/>
  <c r="M2" i="2" s="1"/>
  <c r="K49" i="2"/>
  <c r="M49" i="2" s="1"/>
  <c r="L94" i="2"/>
  <c r="N94" i="2" s="1"/>
  <c r="P2" i="2"/>
  <c r="K76" i="2"/>
  <c r="M76" i="2" s="1"/>
  <c r="L62" i="2"/>
  <c r="N62" i="2" s="1"/>
  <c r="P33" i="2"/>
  <c r="K46" i="2"/>
  <c r="M46" i="2" s="1"/>
  <c r="L89" i="2"/>
  <c r="N89" i="2" s="1"/>
  <c r="L70" i="2"/>
  <c r="N70" i="2" s="1"/>
  <c r="P70" i="2"/>
  <c r="K70" i="2"/>
  <c r="M70" i="2" s="1"/>
  <c r="K9" i="2"/>
  <c r="M9" i="2" s="1"/>
  <c r="L9" i="2"/>
  <c r="N9" i="2" s="1"/>
  <c r="K88" i="2"/>
  <c r="M88" i="2" s="1"/>
  <c r="L88" i="2"/>
  <c r="N88" i="2" s="1"/>
  <c r="P88" i="2"/>
  <c r="P43" i="2"/>
  <c r="K43" i="2"/>
  <c r="M43" i="2" s="1"/>
  <c r="L43" i="2"/>
  <c r="N43" i="2" s="1"/>
  <c r="L95" i="2"/>
  <c r="N95" i="2" s="1"/>
  <c r="K95" i="2"/>
  <c r="M95" i="2" s="1"/>
  <c r="P58" i="2"/>
  <c r="K58" i="2"/>
  <c r="M58" i="2" s="1"/>
  <c r="L58" i="2"/>
  <c r="N58" i="2" s="1"/>
  <c r="P16" i="2"/>
  <c r="K16" i="2"/>
  <c r="M16" i="2" s="1"/>
  <c r="L16" i="2"/>
  <c r="N16" i="2" s="1"/>
  <c r="K40" i="2"/>
  <c r="M40" i="2" s="1"/>
  <c r="L40" i="2"/>
  <c r="N40" i="2" s="1"/>
  <c r="P40" i="2"/>
  <c r="P15" i="2"/>
  <c r="P75" i="2"/>
  <c r="K4" i="2"/>
  <c r="M4" i="2" s="1"/>
  <c r="L4" i="2"/>
  <c r="N4" i="2" s="1"/>
  <c r="P4" i="2"/>
  <c r="L22" i="2"/>
  <c r="N22" i="2" s="1"/>
  <c r="K22" i="2"/>
  <c r="M22" i="2" s="1"/>
  <c r="P22" i="2"/>
  <c r="K30" i="2"/>
  <c r="M30" i="2" s="1"/>
  <c r="L30" i="2"/>
  <c r="N30" i="2" s="1"/>
  <c r="P30" i="2"/>
  <c r="K11" i="2"/>
  <c r="M11" i="2" s="1"/>
  <c r="L11" i="2"/>
  <c r="N11" i="2" s="1"/>
  <c r="L96" i="2"/>
  <c r="N96" i="2" s="1"/>
  <c r="K96" i="2"/>
  <c r="M96" i="2" s="1"/>
  <c r="L82" i="2"/>
  <c r="N82" i="2" s="1"/>
  <c r="P82" i="2"/>
  <c r="K82" i="2"/>
  <c r="M82" i="2" s="1"/>
  <c r="K81" i="2"/>
  <c r="M81" i="2" s="1"/>
  <c r="L81" i="2"/>
  <c r="N81" i="2" s="1"/>
  <c r="L48" i="2"/>
  <c r="N48" i="2" s="1"/>
  <c r="P48" i="2"/>
  <c r="K48" i="2"/>
  <c r="M48" i="2" s="1"/>
  <c r="P23" i="2"/>
  <c r="L23" i="2"/>
  <c r="N23" i="2" s="1"/>
  <c r="K23" i="2"/>
  <c r="M23" i="2" s="1"/>
  <c r="P71" i="2"/>
  <c r="P87" i="2"/>
  <c r="P35" i="2"/>
  <c r="L34" i="2"/>
  <c r="N34" i="2" s="1"/>
  <c r="P49" i="2"/>
  <c r="P100" i="2"/>
  <c r="P28" i="2"/>
  <c r="L28" i="2"/>
  <c r="N28" i="2" s="1"/>
  <c r="K35" i="2"/>
  <c r="M35" i="2" s="1"/>
  <c r="P45" i="2"/>
  <c r="L76" i="2"/>
  <c r="N76" i="2" s="1"/>
  <c r="L46" i="2"/>
  <c r="N46" i="2" s="1"/>
  <c r="K94" i="2"/>
  <c r="M94" i="2" s="1"/>
  <c r="K57" i="2"/>
  <c r="M57" i="2" s="1"/>
  <c r="K34" i="2"/>
  <c r="M34" i="2" s="1"/>
  <c r="P72" i="2"/>
  <c r="L57" i="2"/>
  <c r="N57" i="2" s="1"/>
  <c r="P92" i="2"/>
  <c r="P64" i="2"/>
  <c r="P20" i="2"/>
  <c r="L45" i="2"/>
  <c r="N45" i="2" s="1"/>
  <c r="K56" i="2"/>
  <c r="M56" i="2" s="1"/>
  <c r="K28" i="2"/>
  <c r="M28" i="2" s="1"/>
  <c r="L35" i="2"/>
  <c r="N35" i="2" s="1"/>
  <c r="K100" i="2"/>
  <c r="M100" i="2" s="1"/>
  <c r="K64" i="2"/>
  <c r="M64" i="2" s="1"/>
  <c r="P91" i="2"/>
  <c r="K91" i="2"/>
  <c r="M91" i="2" s="1"/>
  <c r="K52" i="2"/>
  <c r="M52" i="2" s="1"/>
  <c r="K24" i="2"/>
  <c r="M24" i="2" s="1"/>
  <c r="L47" i="2"/>
  <c r="N47" i="2" s="1"/>
  <c r="K47" i="2"/>
  <c r="M47" i="2" s="1"/>
  <c r="P47" i="2"/>
  <c r="L60" i="2"/>
  <c r="N60" i="2" s="1"/>
  <c r="P60" i="2"/>
  <c r="K60" i="2"/>
  <c r="M60" i="2" s="1"/>
  <c r="K29" i="2"/>
  <c r="M29" i="2" s="1"/>
  <c r="P29" i="2"/>
  <c r="K86" i="2"/>
  <c r="M86" i="2" s="1"/>
  <c r="P86" i="2"/>
  <c r="L86" i="2"/>
  <c r="N86" i="2" s="1"/>
  <c r="K42" i="2"/>
  <c r="M42" i="2" s="1"/>
  <c r="P42" i="2"/>
  <c r="L21" i="2"/>
  <c r="N21" i="2" s="1"/>
  <c r="K21" i="2"/>
  <c r="M21" i="2" s="1"/>
  <c r="K14" i="2"/>
  <c r="M14" i="2" s="1"/>
  <c r="P14" i="2"/>
  <c r="K99" i="2"/>
  <c r="M99" i="2" s="1"/>
  <c r="L99" i="2"/>
  <c r="N99" i="2" s="1"/>
  <c r="P99" i="2"/>
  <c r="L85" i="2"/>
  <c r="N85" i="2" s="1"/>
  <c r="K85" i="2"/>
  <c r="M85" i="2" s="1"/>
  <c r="P85" i="2"/>
  <c r="K41" i="2"/>
  <c r="M41" i="2" s="1"/>
  <c r="P41" i="2"/>
  <c r="K27" i="2"/>
  <c r="M27" i="2" s="1"/>
  <c r="L27" i="2"/>
  <c r="N27" i="2" s="1"/>
  <c r="P27" i="2"/>
  <c r="L13" i="2"/>
  <c r="N13" i="2" s="1"/>
  <c r="K13" i="2"/>
  <c r="M13" i="2" s="1"/>
  <c r="P13" i="2"/>
  <c r="K6" i="2"/>
  <c r="M6" i="2" s="1"/>
  <c r="L6" i="2"/>
  <c r="N6" i="2" s="1"/>
  <c r="L80" i="2"/>
  <c r="N80" i="2" s="1"/>
  <c r="P8" i="2"/>
  <c r="K78" i="2"/>
  <c r="M78" i="2" s="1"/>
  <c r="P6" i="2"/>
  <c r="L79" i="2"/>
  <c r="N79" i="2" s="1"/>
  <c r="K79" i="2"/>
  <c r="M79" i="2" s="1"/>
  <c r="L84" i="2"/>
  <c r="N84" i="2" s="1"/>
  <c r="K84" i="2"/>
  <c r="M84" i="2" s="1"/>
  <c r="P84" i="2"/>
  <c r="K77" i="2"/>
  <c r="M77" i="2" s="1"/>
  <c r="P77" i="2"/>
  <c r="L55" i="2"/>
  <c r="N55" i="2" s="1"/>
  <c r="P55" i="2"/>
  <c r="L12" i="2"/>
  <c r="N12" i="2" s="1"/>
  <c r="P12" i="2"/>
  <c r="K12" i="2"/>
  <c r="M12" i="2" s="1"/>
  <c r="K5" i="2"/>
  <c r="M5" i="2" s="1"/>
  <c r="P5" i="2"/>
  <c r="L5" i="2"/>
  <c r="N5" i="2" s="1"/>
  <c r="L78" i="2"/>
  <c r="N78" i="2" s="1"/>
  <c r="L8" i="2"/>
  <c r="N8" i="2" s="1"/>
  <c r="K55" i="2"/>
  <c r="M55" i="2" s="1"/>
  <c r="K54" i="2"/>
  <c r="M54" i="2" s="1"/>
  <c r="P54" i="2"/>
  <c r="L54" i="2"/>
  <c r="N54" i="2" s="1"/>
  <c r="L19" i="2"/>
  <c r="N19" i="2" s="1"/>
  <c r="L7" i="2"/>
  <c r="N7" i="2" s="1"/>
  <c r="K93" i="2"/>
  <c r="M93" i="2" s="1"/>
  <c r="K72" i="2"/>
  <c r="M72" i="2" s="1"/>
  <c r="L25" i="2"/>
  <c r="N25" i="2" s="1"/>
  <c r="K25" i="2"/>
  <c r="M25" i="2" s="1"/>
  <c r="P25" i="2"/>
  <c r="P80" i="2"/>
  <c r="K71" i="2"/>
  <c r="M71" i="2" s="1"/>
  <c r="L32" i="2"/>
  <c r="N32" i="2" s="1"/>
  <c r="K32" i="2"/>
  <c r="M32" i="2" s="1"/>
  <c r="L93" i="2"/>
  <c r="N93" i="2" s="1"/>
  <c r="K38" i="2"/>
  <c r="M38" i="2" s="1"/>
  <c r="P38" i="2"/>
  <c r="L38" i="2"/>
  <c r="N38" i="2" s="1"/>
  <c r="K31" i="2"/>
  <c r="M31" i="2" s="1"/>
  <c r="K65" i="2"/>
  <c r="M65" i="2" s="1"/>
  <c r="P65" i="2"/>
  <c r="L65" i="2"/>
  <c r="N65" i="2" s="1"/>
  <c r="L97" i="2"/>
  <c r="N97" i="2" s="1"/>
  <c r="K97" i="2"/>
  <c r="M97" i="2" s="1"/>
  <c r="P97" i="2"/>
  <c r="L29" i="2"/>
  <c r="N29" i="2" s="1"/>
  <c r="L73" i="2"/>
  <c r="N73" i="2" s="1"/>
  <c r="K73" i="2"/>
  <c r="M73" i="2" s="1"/>
  <c r="P73" i="2"/>
  <c r="K8" i="2"/>
  <c r="M8" i="2" s="1"/>
  <c r="K7" i="2"/>
  <c r="M7" i="2" s="1"/>
  <c r="K80" i="2"/>
  <c r="M80" i="2" s="1"/>
  <c r="K53" i="2"/>
  <c r="M53" i="2" s="1"/>
  <c r="P53" i="2"/>
  <c r="L53" i="2"/>
  <c r="N53" i="2" s="1"/>
  <c r="K18" i="2"/>
  <c r="M18" i="2" s="1"/>
  <c r="L18" i="2"/>
  <c r="N18" i="2" s="1"/>
  <c r="P21" i="2"/>
  <c r="P79" i="2"/>
  <c r="P78" i="2"/>
  <c r="L71" i="2"/>
  <c r="N71" i="2" s="1"/>
  <c r="P67" i="2"/>
  <c r="K67" i="2"/>
  <c r="M67" i="2" s="1"/>
  <c r="L67" i="2"/>
  <c r="N67" i="2" s="1"/>
  <c r="P18" i="2"/>
  <c r="L91" i="2"/>
  <c r="N91" i="2" s="1"/>
  <c r="K19" i="2"/>
  <c r="M19" i="2" s="1"/>
  <c r="K66" i="2"/>
  <c r="M66" i="2" s="1"/>
  <c r="L66" i="2"/>
  <c r="N66" i="2" s="1"/>
  <c r="K51" i="2"/>
  <c r="M51" i="2" s="1"/>
  <c r="L51" i="2"/>
  <c r="N51" i="2" s="1"/>
  <c r="K98" i="2"/>
  <c r="M98" i="2" s="1"/>
  <c r="P98" i="2"/>
  <c r="K39" i="2"/>
  <c r="M39" i="2" s="1"/>
  <c r="L39" i="2"/>
  <c r="N39" i="2" s="1"/>
  <c r="K26" i="2"/>
  <c r="M26" i="2" s="1"/>
  <c r="P26" i="2"/>
  <c r="K33" i="2"/>
  <c r="M33" i="2" s="1"/>
  <c r="K89" i="2"/>
  <c r="M89" i="2" s="1"/>
  <c r="P89" i="2"/>
  <c r="P83" i="2"/>
  <c r="P11" i="2"/>
  <c r="K83" i="2"/>
  <c r="M83" i="2" s="1"/>
  <c r="K75" i="2"/>
  <c r="M75" i="2" s="1"/>
  <c r="L75" i="2"/>
  <c r="N75" i="2" s="1"/>
  <c r="K62" i="2"/>
  <c r="M62" i="2" s="1"/>
  <c r="P62" i="2"/>
  <c r="K3" i="2"/>
  <c r="M3" i="2" s="1"/>
  <c r="L3" i="2"/>
  <c r="N3" i="2" s="1"/>
  <c r="K17" i="2"/>
  <c r="M17" i="2" s="1"/>
  <c r="P17" i="2"/>
  <c r="K63" i="2"/>
  <c r="M63" i="2" s="1"/>
  <c r="L63" i="2"/>
  <c r="N63" i="2" s="1"/>
  <c r="K50" i="2"/>
  <c r="M50" i="2" s="1"/>
  <c r="P50" i="2"/>
  <c r="P96" i="2"/>
  <c r="P39" i="2"/>
  <c r="P24" i="2"/>
  <c r="L98" i="2"/>
  <c r="N98" i="2" s="1"/>
  <c r="L50" i="2"/>
  <c r="N50" i="2" s="1"/>
  <c r="P95" i="2"/>
  <c r="P81" i="2"/>
  <c r="P37" i="2"/>
  <c r="P9" i="2"/>
  <c r="L17" i="2"/>
  <c r="N17" i="2" s="1"/>
  <c r="K61" i="2"/>
  <c r="M61" i="2" s="1"/>
  <c r="K87" i="2"/>
  <c r="M87" i="2" s="1"/>
  <c r="L87" i="2"/>
  <c r="N87" i="2" s="1"/>
  <c r="K74" i="2"/>
  <c r="M74" i="2" s="1"/>
  <c r="P74" i="2"/>
  <c r="K15" i="2"/>
  <c r="M15" i="2" s="1"/>
  <c r="L15" i="2"/>
  <c r="N15" i="2" s="1"/>
  <c r="O56" i="2" l="1"/>
  <c r="O42" i="2"/>
  <c r="O77" i="2"/>
  <c r="O26" i="2"/>
  <c r="O90" i="2"/>
  <c r="O68" i="2"/>
  <c r="O45" i="2"/>
  <c r="O14" i="2"/>
  <c r="O2" i="2"/>
  <c r="O84" i="2"/>
  <c r="O20" i="2"/>
  <c r="O33" i="2"/>
  <c r="O72" i="2"/>
  <c r="O34" i="2"/>
  <c r="O49" i="2"/>
  <c r="O92" i="2"/>
  <c r="O61" i="2"/>
  <c r="O22" i="2"/>
  <c r="O83" i="2"/>
  <c r="O94" i="2"/>
  <c r="O41" i="2"/>
  <c r="O87" i="2"/>
  <c r="O36" i="2"/>
  <c r="O44" i="2"/>
  <c r="O24" i="2"/>
  <c r="O95" i="2"/>
  <c r="O96" i="2"/>
  <c r="O9" i="2"/>
  <c r="O12" i="2"/>
  <c r="O79" i="2"/>
  <c r="O69" i="2"/>
  <c r="O46" i="2"/>
  <c r="O58" i="2"/>
  <c r="O59" i="2"/>
  <c r="O74" i="2"/>
  <c r="O81" i="2"/>
  <c r="O63" i="2"/>
  <c r="O52" i="2"/>
  <c r="O39" i="2"/>
  <c r="O31" i="2"/>
  <c r="O100" i="2"/>
  <c r="O57" i="2"/>
  <c r="O10" i="2"/>
  <c r="O3" i="2"/>
  <c r="O67" i="2"/>
  <c r="O25" i="2"/>
  <c r="O21" i="2"/>
  <c r="O35" i="2"/>
  <c r="O13" i="2"/>
  <c r="O99" i="2"/>
  <c r="O43" i="2"/>
  <c r="O70" i="2"/>
  <c r="O93" i="2"/>
  <c r="O76" i="2"/>
  <c r="O30" i="2"/>
  <c r="O37" i="2"/>
  <c r="O55" i="2"/>
  <c r="O48" i="2"/>
  <c r="O88" i="2"/>
  <c r="O71" i="2"/>
  <c r="O91" i="2"/>
  <c r="O62" i="2"/>
  <c r="O89" i="2"/>
  <c r="O23" i="2"/>
  <c r="O40" i="2"/>
  <c r="O7" i="2"/>
  <c r="O75" i="2"/>
  <c r="O51" i="2"/>
  <c r="O60" i="2"/>
  <c r="O64" i="2"/>
  <c r="O65" i="2"/>
  <c r="O5" i="2"/>
  <c r="O47" i="2"/>
  <c r="O86" i="2"/>
  <c r="O6" i="2"/>
  <c r="O82" i="2"/>
  <c r="O50" i="2"/>
  <c r="O28" i="2"/>
  <c r="O11" i="2"/>
  <c r="O16" i="2"/>
  <c r="O19" i="2"/>
  <c r="O80" i="2"/>
  <c r="O8" i="2"/>
  <c r="O32" i="2"/>
  <c r="O4" i="2"/>
  <c r="O54" i="2"/>
  <c r="O29" i="2"/>
  <c r="O15" i="2"/>
  <c r="O66" i="2"/>
  <c r="O53" i="2"/>
  <c r="O38" i="2"/>
  <c r="O78" i="2"/>
  <c r="O27" i="2"/>
  <c r="O97" i="2"/>
  <c r="O18" i="2"/>
  <c r="O17" i="2"/>
  <c r="O98" i="2"/>
  <c r="O73" i="2"/>
  <c r="O8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<sst xmlns="http://schemas.openxmlformats.org/spreadsheetml/2006/main" count="590" uniqueCount="270">
  <si>
    <t>Product ID</t>
  </si>
  <si>
    <t>Product Name</t>
  </si>
  <si>
    <t>Category</t>
  </si>
  <si>
    <t>Price</t>
  </si>
  <si>
    <t>Cost</t>
  </si>
  <si>
    <t>P001</t>
  </si>
  <si>
    <t>Laptop</t>
  </si>
  <si>
    <t>P002</t>
  </si>
  <si>
    <t>Accessories</t>
  </si>
  <si>
    <t>P003</t>
  </si>
  <si>
    <t>Mechanical Keyboard</t>
  </si>
  <si>
    <t>P004</t>
  </si>
  <si>
    <t>Monitor</t>
  </si>
  <si>
    <t>P005</t>
  </si>
  <si>
    <t>Storage</t>
  </si>
  <si>
    <t>Sales ID</t>
  </si>
  <si>
    <t>Region</t>
  </si>
  <si>
    <t>S001</t>
  </si>
  <si>
    <t>Jakarta</t>
  </si>
  <si>
    <t>S002</t>
  </si>
  <si>
    <t>Bandung</t>
  </si>
  <si>
    <t>S003</t>
  </si>
  <si>
    <t>Surabaya</t>
  </si>
  <si>
    <t>S004</t>
  </si>
  <si>
    <t>Medan</t>
  </si>
  <si>
    <t>S005</t>
  </si>
  <si>
    <t>Makassar</t>
  </si>
  <si>
    <t>Customer ID</t>
  </si>
  <si>
    <t>Customer Name</t>
  </si>
  <si>
    <t>City</t>
  </si>
  <si>
    <t>C001</t>
  </si>
  <si>
    <t>PT Maju Jaya</t>
  </si>
  <si>
    <t>C002</t>
  </si>
  <si>
    <t>C003</t>
  </si>
  <si>
    <t>C004</t>
  </si>
  <si>
    <t>C005</t>
  </si>
  <si>
    <t>Order ID</t>
  </si>
  <si>
    <t>Date</t>
  </si>
  <si>
    <t>Qty</t>
  </si>
  <si>
    <t>Revenue</t>
  </si>
  <si>
    <t>Total Cost</t>
  </si>
  <si>
    <t>Profit</t>
  </si>
  <si>
    <t>Sum of Revenue</t>
  </si>
  <si>
    <t>Row Labels</t>
  </si>
  <si>
    <t>Grand Total</t>
  </si>
  <si>
    <t>Sum of Profit</t>
  </si>
  <si>
    <t>Laptop ASUS Vivobook</t>
  </si>
  <si>
    <t>Laptop Lenovo IdeaPad</t>
  </si>
  <si>
    <t>Laptop HP 14</t>
  </si>
  <si>
    <t>Monitor LG 24"</t>
  </si>
  <si>
    <t>Monitor Samsung 27"</t>
  </si>
  <si>
    <t>P006</t>
  </si>
  <si>
    <t>P007</t>
  </si>
  <si>
    <t>Wireless Mouse Logitech</t>
  </si>
  <si>
    <t>P008</t>
  </si>
  <si>
    <t>SSD 1TB Kingston</t>
  </si>
  <si>
    <t>P009</t>
  </si>
  <si>
    <t>SSD 512GB Samsung</t>
  </si>
  <si>
    <t>P010</t>
  </si>
  <si>
    <t>Flashdisk 64GB</t>
  </si>
  <si>
    <t>P011</t>
  </si>
  <si>
    <t>Printer Epson L3250</t>
  </si>
  <si>
    <t>Printer</t>
  </si>
  <si>
    <t>P012</t>
  </si>
  <si>
    <t>Webcam Logitech</t>
  </si>
  <si>
    <t>P013</t>
  </si>
  <si>
    <t>Headset HyperX</t>
  </si>
  <si>
    <t>P014</t>
  </si>
  <si>
    <t>Speaker Logitech</t>
  </si>
  <si>
    <t>Audio</t>
  </si>
  <si>
    <t>P015</t>
  </si>
  <si>
    <t>UPS APC 650VA</t>
  </si>
  <si>
    <t>Power</t>
  </si>
  <si>
    <t>P016</t>
  </si>
  <si>
    <t>Router TP-Link</t>
  </si>
  <si>
    <t>Network</t>
  </si>
  <si>
    <t>P017</t>
  </si>
  <si>
    <t>External HDD 2TB</t>
  </si>
  <si>
    <t>P018</t>
  </si>
  <si>
    <t>RAM DDR4 16GB</t>
  </si>
  <si>
    <t>Components</t>
  </si>
  <si>
    <t>P019</t>
  </si>
  <si>
    <t>HDMI Cable</t>
  </si>
  <si>
    <t>P020</t>
  </si>
  <si>
    <t>USB Hub 4 Port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</si>
  <si>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</si>
  <si>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</si>
  <si>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</si>
  <si>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</si>
  <si>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</si>
  <si>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</si>
  <si>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</si>
  <si>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</si>
  <si>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</si>
  <si>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</si>
  <si>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P031</t>
  </si>
  <si>
    <t>P032</t>
  </si>
  <si>
    <t>P033</t>
  </si>
  <si>
    <t>P034</t>
  </si>
  <si>
    <t>P035</t>
  </si>
  <si>
    <t>P036</t>
  </si>
  <si>
    <t>P037</t>
  </si>
  <si>
    <t>P038</t>
  </si>
  <si>
    <t>P039</t>
  </si>
  <si>
    <t>P040</t>
  </si>
  <si>
    <t>P041</t>
  </si>
  <si>
    <t>P042</t>
  </si>
  <si>
    <t>P043</t>
  </si>
  <si>
    <t>P044</t>
  </si>
  <si>
    <t>P045</t>
  </si>
  <si>
    <t>P046</t>
  </si>
  <si>
    <t>P047</t>
  </si>
  <si>
    <t>P048</t>
  </si>
  <si>
    <t>P049</t>
  </si>
  <si>
    <t>P050</t>
  </si>
  <si>
    <t>P051</t>
  </si>
  <si>
    <t>P052</t>
  </si>
  <si>
    <t>P053</t>
  </si>
  <si>
    <t>P054</t>
  </si>
  <si>
    <t>P055</t>
  </si>
  <si>
    <t>P056</t>
  </si>
  <si>
    <t>P057</t>
  </si>
  <si>
    <t>P058</t>
  </si>
  <si>
    <t>P059</t>
  </si>
  <si>
    <t>P060</t>
  </si>
  <si>
    <t>P061</t>
  </si>
  <si>
    <t>P062</t>
  </si>
  <si>
    <t>P063</t>
  </si>
  <si>
    <t>P064</t>
  </si>
  <si>
    <t>P065</t>
  </si>
  <si>
    <t>P066</t>
  </si>
  <si>
    <t>P067</t>
  </si>
  <si>
    <t>P068</t>
  </si>
  <si>
    <t>P069</t>
  </si>
  <si>
    <t>P070</t>
  </si>
  <si>
    <t>P071</t>
  </si>
  <si>
    <t>P072</t>
  </si>
  <si>
    <t>P073</t>
  </si>
  <si>
    <t>P074</t>
  </si>
  <si>
    <t>P075</t>
  </si>
  <si>
    <t>P076</t>
  </si>
  <si>
    <t>P077</t>
  </si>
  <si>
    <t>P078</t>
  </si>
  <si>
    <t>P079</t>
  </si>
  <si>
    <t>P080</t>
  </si>
  <si>
    <t>P081</t>
  </si>
  <si>
    <t>P082</t>
  </si>
  <si>
    <t>P083</t>
  </si>
  <si>
    <t>P084</t>
  </si>
  <si>
    <t>P085</t>
  </si>
  <si>
    <t>P086</t>
  </si>
  <si>
    <t>P087</t>
  </si>
  <si>
    <t>P088</t>
  </si>
  <si>
    <t>P089</t>
  </si>
  <si>
    <t>P090</t>
  </si>
  <si>
    <t>P091</t>
  </si>
  <si>
    <t>P092</t>
  </si>
  <si>
    <t>P093</t>
  </si>
  <si>
    <t>P094</t>
  </si>
  <si>
    <t>P095</t>
  </si>
  <si>
    <t>P096</t>
  </si>
  <si>
    <t>P097</t>
  </si>
  <si>
    <t>P098</t>
  </si>
  <si>
    <t>P099</t>
  </si>
  <si>
    <t>P100</t>
  </si>
  <si>
    <t>Laptop HP 15</t>
  </si>
  <si>
    <t>Printer Epson L3251</t>
  </si>
  <si>
    <t>Laptop HP 16</t>
  </si>
  <si>
    <t>Printer Epson L3252</t>
  </si>
  <si>
    <t>Laptop HP 17</t>
  </si>
  <si>
    <t>Printer Epson L3253</t>
  </si>
  <si>
    <t>Laptop HP 18</t>
  </si>
  <si>
    <t>Printer Epson L3254</t>
  </si>
  <si>
    <t>C006</t>
  </si>
  <si>
    <t>C007</t>
  </si>
  <si>
    <t>C008</t>
  </si>
  <si>
    <t>Sales Name</t>
  </si>
  <si>
    <t>Andi Pratama</t>
  </si>
  <si>
    <t>Budi Santoso</t>
  </si>
  <si>
    <t>Citra Lestari</t>
  </si>
  <si>
    <t>Dimas Saputra</t>
  </si>
  <si>
    <t>Eka Putri</t>
  </si>
  <si>
    <t>S006</t>
  </si>
  <si>
    <t>Fajar Nugroho</t>
  </si>
  <si>
    <t>Semarang</t>
  </si>
  <si>
    <t>S007</t>
  </si>
  <si>
    <t>Gita Maharani</t>
  </si>
  <si>
    <t>Yogyakarta</t>
  </si>
  <si>
    <t>S008</t>
  </si>
  <si>
    <t>Hendra Wijaya</t>
  </si>
  <si>
    <t>Bali</t>
  </si>
  <si>
    <t>S009</t>
  </si>
  <si>
    <t>Intan Permata</t>
  </si>
  <si>
    <t>Palembang</t>
  </si>
  <si>
    <t>S010</t>
  </si>
  <si>
    <t>Joko Susilo</t>
  </si>
  <si>
    <t>Bekasi</t>
  </si>
  <si>
    <t>S011</t>
  </si>
  <si>
    <t>Kevin Saputra</t>
  </si>
  <si>
    <t>Tangerang</t>
  </si>
  <si>
    <t>S012</t>
  </si>
  <si>
    <t>Lestari Wulandari</t>
  </si>
  <si>
    <t>Depok</t>
  </si>
  <si>
    <t>S013</t>
  </si>
  <si>
    <t>Muhammad Rizki</t>
  </si>
  <si>
    <t>Bogor</t>
  </si>
  <si>
    <t>S014</t>
  </si>
  <si>
    <t>Nanda Prasetyo</t>
  </si>
  <si>
    <t>Malang</t>
  </si>
  <si>
    <t>S015</t>
  </si>
  <si>
    <t>Olivia Putri</t>
  </si>
  <si>
    <t>Batam</t>
  </si>
  <si>
    <t>S016</t>
  </si>
  <si>
    <t>Putra Ramadhan</t>
  </si>
  <si>
    <t>Pekanbaru</t>
  </si>
  <si>
    <t>S017</t>
  </si>
  <si>
    <t>Qori Amanda</t>
  </si>
  <si>
    <t>Pontianak</t>
  </si>
  <si>
    <t>S018</t>
  </si>
  <si>
    <t>Rian Kurniawan</t>
  </si>
  <si>
    <t>Banjarmasin</t>
  </si>
  <si>
    <t>S019</t>
  </si>
  <si>
    <t>Sinta Maharani</t>
  </si>
  <si>
    <t>Solo</t>
  </si>
  <si>
    <t>S020</t>
  </si>
  <si>
    <t>Teguh Hidayat</t>
  </si>
  <si>
    <t>Cirebon</t>
  </si>
  <si>
    <t>PT Nusantara Abadi</t>
  </si>
  <si>
    <t>CV Sinar Teknologi</t>
  </si>
  <si>
    <t>PT Global Digital</t>
  </si>
  <si>
    <t>PT Berkah Sejahtera</t>
  </si>
  <si>
    <t>CV Maju Bersama</t>
  </si>
  <si>
    <t>PT Mitra Solusi</t>
  </si>
  <si>
    <t>PT Cahaya Abadi</t>
  </si>
  <si>
    <t>C009</t>
  </si>
  <si>
    <t>PT Andalan Prima</t>
  </si>
  <si>
    <t>C010</t>
  </si>
  <si>
    <t>PT Bintang Timur</t>
  </si>
  <si>
    <t>C011</t>
  </si>
  <si>
    <t>CV Karya Mandiri</t>
  </si>
  <si>
    <t>C012</t>
  </si>
  <si>
    <t>PT Sukses Makmur</t>
  </si>
  <si>
    <t>C013</t>
  </si>
  <si>
    <t>PT Prima Teknologi</t>
  </si>
  <si>
    <t>C014</t>
  </si>
  <si>
    <t>CV Nusantara Jaya</t>
  </si>
  <si>
    <t>C015</t>
  </si>
  <si>
    <t>PT Sentosa Abadi</t>
  </si>
  <si>
    <t>C016</t>
  </si>
  <si>
    <t>PT Global Nusantara</t>
  </si>
  <si>
    <t>C017</t>
  </si>
  <si>
    <t>CV Berkah Mandiri</t>
  </si>
  <si>
    <t>C018</t>
  </si>
  <si>
    <t>PT Indo Retail</t>
  </si>
  <si>
    <t>C019</t>
  </si>
  <si>
    <t>PT Harapan Baru</t>
  </si>
  <si>
    <t>C020</t>
  </si>
  <si>
    <t>PT Surya Teknologi</t>
  </si>
  <si>
    <t>Total Revenue per Product</t>
  </si>
  <si>
    <t>Top Sales</t>
  </si>
  <si>
    <t>Penjualan per Kota</t>
  </si>
  <si>
    <t>Profit per Product</t>
  </si>
  <si>
    <t>Qty Terjual</t>
  </si>
  <si>
    <t>Kota</t>
  </si>
  <si>
    <t>Jan</t>
  </si>
  <si>
    <t>Feb</t>
  </si>
  <si>
    <t>Mar</t>
  </si>
  <si>
    <t>Sum of Qty</t>
  </si>
  <si>
    <t>Penjualan Bulanan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</si>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</sst>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0" xfId="0" applyFill="1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0" xfId="0" applyNumberFormat="1"/>
    <xf numFmtId="0" fontId="1" fillId="0" borderId="0" xfId="0" applyFont="1" applyAlignment="1">
      <alignment horizontal="right" vertical="center" wrapText="1"/>
    </xf>
    <xf numFmtId="1" fontId="0" fillId="0" borderId="0" xfId="0" applyNumberFormat="1" applyAlignment="1">
      <alignment horizontal="right" vertical="center" wrapText="1"/>
    </xf>
    <xf numFmtId="0" fontId="0" fillId="2" borderId="0" xfId="0" applyFill="1" applyAlignment="1">
      <alignment vertical="center" wrapText="1"/>
    </xf>
    <xf numFmtId="0" fontId="0" fillId="0" borderId="0" xfId="0" applyNumberFormat="1"/>
  </cellXfs>
  <cellStyles count="1">
    <cellStyle name="Normal" xfId="0" builtinId="0"/>
  </cellStyles>
  <dxfs count="34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" formatCode="0"/>
      <alignment horizontal="right" vertical="center" textRotation="0" wrapText="1" indent="0" justifyLastLine="0" shrinkToFit="0" readingOrder="0"/>
    </dxf>
    <dxf>
      <numFmt numFmtId="1" formatCode="0"/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khmal Novanda" refreshedDate="46230.022034259258" createdVersion="8" refreshedVersion="8" minRefreshableVersion="3" recordCount="99" xr:uid="{8F61FEA4-404F-401A-9F28-57BB8F977CBE}">
  <cacheSource type="worksheet">
    <worksheetSource name="Table6"/>
  </cacheSource>
  <cacheFields count="19">
    <cacheField name="Order ID" numFmtId="0">
      <sharedItems/>
    </cacheField>
    <cacheField name="Date" numFmtId="14">
      <sharedItems containsSemiMixedTypes="0" containsNonDate="0" containsDate="1" containsString="0" minDate="2024-12-31T00:00:00" maxDate="2025-03-06T00:00:00" count="52">
        <d v="2025-02-15T00:00:00"/>
        <d v="2025-01-24T00:00:00"/>
        <d v="2025-02-08T00:00:00"/>
        <d v="2025-03-05T00:00:00"/>
        <d v="2025-01-13T00:00:00"/>
        <d v="2025-01-31T00:00:00"/>
        <d v="2025-02-23T00:00:00"/>
        <d v="2025-02-28T00:00:00"/>
        <d v="2025-02-01T00:00:00"/>
        <d v="2025-01-11T00:00:00"/>
        <d v="2025-01-29T00:00:00"/>
        <d v="2025-01-07T00:00:00"/>
        <d v="2025-02-14T00:00:00"/>
        <d v="2025-01-16T00:00:00"/>
        <d v="2025-01-22T00:00:00"/>
        <d v="2025-01-18T00:00:00"/>
        <d v="2025-02-24T00:00:00"/>
        <d v="2025-02-07T00:00:00"/>
        <d v="2025-01-21T00:00:00"/>
        <d v="2024-12-31T00:00:00"/>
        <d v="2025-01-17T00:00:00"/>
        <d v="2025-01-19T00:00:00"/>
        <d v="2025-02-10T00:00:00"/>
        <d v="2025-01-20T00:00:00"/>
        <d v="2025-02-19T00:00:00"/>
        <d v="2025-02-21T00:00:00"/>
        <d v="2025-02-09T00:00:00"/>
        <d v="2025-03-04T00:00:00"/>
        <d v="2025-03-02T00:00:00"/>
        <d v="2025-01-10T00:00:00"/>
        <d v="2025-01-05T00:00:00"/>
        <d v="2025-02-18T00:00:00"/>
        <d v="2025-01-08T00:00:00"/>
        <d v="2025-01-04T00:00:00"/>
        <d v="2025-01-26T00:00:00"/>
        <d v="2025-02-04T00:00:00"/>
        <d v="2025-02-12T00:00:00"/>
        <d v="2025-02-16T00:00:00"/>
        <d v="2025-02-05T00:00:00"/>
        <d v="2025-01-15T00:00:00"/>
        <d v="2025-02-20T00:00:00"/>
        <d v="2025-02-26T00:00:00"/>
        <d v="2025-03-03T00:00:00"/>
        <d v="2025-02-27T00:00:00"/>
        <d v="2025-01-23T00:00:00"/>
        <d v="2025-02-02T00:00:00"/>
        <d v="2025-03-01T00:00:00"/>
        <d v="2025-01-01T00:00:00"/>
        <d v="2025-02-03T00:00:00"/>
        <d v="2025-01-14T00:00:00"/>
        <d v="2025-01-28T00:00:00"/>
        <d v="2025-01-02T00:00:00"/>
      </sharedItems>
      <fieldGroup par="18"/>
    </cacheField>
    <cacheField name="Customer ID" numFmtId="0">
      <sharedItems/>
    </cacheField>
    <cacheField name="Product ID" numFmtId="0">
      <sharedItems/>
    </cacheField>
    <cacheField name="Sales ID" numFmtId="0">
      <sharedItems count="20">
        <s v="S003"/>
        <s v="S014"/>
        <s v="S011"/>
        <s v="S010"/>
        <s v="S020"/>
        <s v="S015"/>
        <s v="S013"/>
        <s v="S009"/>
        <s v="S018"/>
        <s v="S004"/>
        <s v="S001"/>
        <s v="S012"/>
        <s v="S017"/>
        <s v="S002"/>
        <s v="S016"/>
        <s v="S007"/>
        <s v="S006"/>
        <s v="S005"/>
        <s v="S008"/>
        <s v="S019"/>
      </sharedItems>
    </cacheField>
    <cacheField name="Customer Name" numFmtId="0">
      <sharedItems/>
    </cacheField>
    <cacheField name="Product Name" numFmtId="0">
      <sharedItems count="26">
        <s v="Laptop Lenovo IdeaPad"/>
        <s v="Webcam Logitech"/>
        <s v="Printer Epson L3254"/>
        <s v="Mechanical Keyboard"/>
        <s v="Speaker Logitech"/>
        <s v="Router TP-Link"/>
        <s v="Laptop ASUS Vivobook"/>
        <s v="UPS APC 650VA"/>
        <s v="Printer Epson L3252"/>
        <s v="SSD 1TB Kingston"/>
        <s v="Monitor Samsung 27&quot;"/>
        <s v="Flashdisk 64GB"/>
        <s v="Wireless Mouse Logitech"/>
        <s v="Monitor LG 24&quot;"/>
        <s v="External HDD 2TB"/>
        <s v="HDMI Cable"/>
        <s v="Headset HyperX"/>
        <s v="USB Hub 4 Port"/>
        <s v="Printer Epson L3253"/>
        <s v="Laptop HP 16"/>
        <s v="Laptop HP 15"/>
        <s v="Laptop HP 17"/>
        <s v="Laptop HP 14"/>
        <s v="Laptop HP 18"/>
        <s v="SSD 512GB Samsung"/>
        <s v="RAM DDR4 16GB" u="1"/>
      </sharedItems>
    </cacheField>
    <cacheField name="Sales Name" numFmtId="0">
      <sharedItems count="20">
        <s v="Citra Lestari"/>
        <s v="Nanda Prasetyo"/>
        <s v="Kevin Saputra"/>
        <s v="Joko Susilo"/>
        <s v="Teguh Hidayat"/>
        <s v="Olivia Putri"/>
        <s v="Muhammad Rizki"/>
        <s v="Intan Permata"/>
        <s v="Rian Kurniawan"/>
        <s v="Dimas Saputra"/>
        <s v="Andi Pratama"/>
        <s v="Lestari Wulandari"/>
        <s v="Qori Amanda"/>
        <s v="Budi Santoso"/>
        <s v="Putra Ramadhan"/>
        <s v="Gita Maharani"/>
        <s v="Fajar Nugroho"/>
        <s v="Eka Putri"/>
        <s v="Hendra Wijaya"/>
        <s v="Sinta Maharani"/>
      </sharedItems>
    </cacheField>
    <cacheField name="Kota" numFmtId="0">
      <sharedItems count="20">
        <s v="Surabaya"/>
        <s v="Malang"/>
        <s v="Tangerang"/>
        <s v="Bekasi"/>
        <s v="Cirebon"/>
        <s v="Batam"/>
        <s v="Bogor"/>
        <s v="Palembang"/>
        <s v="Banjarmasin"/>
        <s v="Medan"/>
        <s v="Jakarta"/>
        <s v="Depok"/>
        <s v="Pontianak"/>
        <s v="Bandung"/>
        <s v="Pekanbaru"/>
        <s v="Yogyakarta"/>
        <s v="Semarang"/>
        <s v="Makassar"/>
        <s v="Bali"/>
        <s v="Solo"/>
      </sharedItems>
    </cacheField>
    <cacheField name="Qty" numFmtId="0">
      <sharedItems containsSemiMixedTypes="0" containsString="0" containsNumber="1" containsInteger="1" minValue="1" maxValue="10"/>
    </cacheField>
    <cacheField name="Price" numFmtId="0">
      <sharedItems containsSemiMixedTypes="0" containsString="0" containsNumber="1" containsInteger="1" minValue="90000" maxValue="9200000"/>
    </cacheField>
    <cacheField name="Cost" numFmtId="0">
      <sharedItems containsSemiMixedTypes="0" containsString="0" containsNumber="1" containsInteger="1" minValue="50000" maxValue="7900000"/>
    </cacheField>
    <cacheField name="Revenue" numFmtId="0">
      <sharedItems containsSemiMixedTypes="0" containsString="0" containsNumber="1" containsInteger="1" minValue="90000" maxValue="85000000"/>
    </cacheField>
    <cacheField name="Total Cost" numFmtId="0">
      <sharedItems containsSemiMixedTypes="0" containsString="0" containsNumber="1" containsInteger="1" minValue="50000" maxValue="72000000"/>
    </cacheField>
    <cacheField name="Profit" numFmtId="2">
      <sharedItems containsSemiMixedTypes="0" containsString="0" containsNumber="1" containsInteger="1" minValue="40000" maxValue="13000000"/>
    </cacheField>
    <cacheField name="Category" numFmtId="0">
      <sharedItems/>
    </cacheField>
    <cacheField name="Months (Date)" numFmtId="0" databaseField="0">
      <fieldGroup base="1">
        <rangePr groupBy="months" startDate="2024-12-31T00:00:00" endDate="2025-03-06T00:00:00"/>
        <groupItems count="14">
          <s v="&lt;31/12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6/03/2025"/>
        </groupItems>
      </fieldGroup>
    </cacheField>
    <cacheField name="Quarters (Date)" numFmtId="0" databaseField="0">
      <fieldGroup base="1">
        <rangePr groupBy="quarters" startDate="2024-12-31T00:00:00" endDate="2025-03-06T00:00:00"/>
        <groupItems count="6">
          <s v="&lt;31/12/2024"/>
          <s v="Qtr1"/>
          <s v="Qtr2"/>
          <s v="Qtr3"/>
          <s v="Qtr4"/>
          <s v="&gt;06/03/2025"/>
        </groupItems>
      </fieldGroup>
    </cacheField>
    <cacheField name="Years (Date)" numFmtId="0" databaseField="0">
      <fieldGroup base="1">
        <rangePr groupBy="years" startDate="2024-12-31T00:00:00" endDate="2025-03-06T00:00:00"/>
        <groupItems count="4">
          <s v="&lt;31/12/2024"/>
          <s v="2024"/>
          <s v="2025"/>
          <s v="&gt;06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s v="0086"/>
    <x v="0"/>
    <s v="C009"/>
    <s v="P042"/>
    <x v="0"/>
    <s v="PT Andalan Prima"/>
    <x v="0"/>
    <x v="0"/>
    <x v="0"/>
    <n v="8"/>
    <n v="9200000"/>
    <n v="7900000"/>
    <n v="73600000"/>
    <n v="63200000"/>
    <n v="10400000"/>
    <s v="Laptop"/>
  </r>
  <r>
    <s v="0081"/>
    <x v="1"/>
    <s v="C002"/>
    <s v="P002"/>
    <x v="1"/>
    <s v="PT Nusantara Abadi"/>
    <x v="0"/>
    <x v="1"/>
    <x v="1"/>
    <n v="4"/>
    <n v="9200000"/>
    <n v="7900000"/>
    <n v="36800000"/>
    <n v="31600000"/>
    <n v="5200000"/>
    <s v="Laptop"/>
  </r>
  <r>
    <s v="0027"/>
    <x v="2"/>
    <s v="C013"/>
    <s v="P072"/>
    <x v="1"/>
    <s v="PT Prima Teknologi"/>
    <x v="1"/>
    <x v="1"/>
    <x v="1"/>
    <n v="8"/>
    <n v="680000"/>
    <n v="520000"/>
    <n v="5440000"/>
    <n v="4160000"/>
    <n v="1280000"/>
    <s v="Accessories"/>
  </r>
  <r>
    <s v="0077"/>
    <x v="3"/>
    <s v="C006"/>
    <s v="P091"/>
    <x v="2"/>
    <s v="CV Maju Bersama"/>
    <x v="2"/>
    <x v="2"/>
    <x v="2"/>
    <n v="1"/>
    <n v="2900000"/>
    <n v="2400000"/>
    <n v="2900000"/>
    <n v="2400000"/>
    <n v="500000"/>
    <s v="Printer"/>
  </r>
  <r>
    <s v="0078"/>
    <x v="4"/>
    <s v="C016"/>
    <s v="P006"/>
    <x v="3"/>
    <s v="PT Global Nusantara"/>
    <x v="3"/>
    <x v="3"/>
    <x v="3"/>
    <n v="7"/>
    <n v="750000"/>
    <n v="520000"/>
    <n v="5250000"/>
    <n v="3640000"/>
    <n v="1610000"/>
    <s v="Accessories"/>
  </r>
  <r>
    <s v="0087"/>
    <x v="5"/>
    <s v="C006"/>
    <s v="P012"/>
    <x v="4"/>
    <s v="CV Maju Bersama"/>
    <x v="1"/>
    <x v="4"/>
    <x v="4"/>
    <n v="8"/>
    <n v="680000"/>
    <n v="520000"/>
    <n v="5440000"/>
    <n v="4160000"/>
    <n v="1280000"/>
    <s v="Accessories"/>
  </r>
  <r>
    <s v="0064"/>
    <x v="6"/>
    <s v="C011"/>
    <s v="P074"/>
    <x v="5"/>
    <s v="CV Karya Mandiri"/>
    <x v="4"/>
    <x v="5"/>
    <x v="5"/>
    <n v="6"/>
    <n v="780000"/>
    <n v="590000"/>
    <n v="4680000"/>
    <n v="3540000"/>
    <n v="1140000"/>
    <s v="Audio"/>
  </r>
  <r>
    <s v="0041"/>
    <x v="7"/>
    <s v="C012"/>
    <s v="P056"/>
    <x v="6"/>
    <s v="PT Sukses Makmur"/>
    <x v="5"/>
    <x v="6"/>
    <x v="6"/>
    <n v="7"/>
    <n v="670000"/>
    <n v="510000"/>
    <n v="4690000"/>
    <n v="3570000"/>
    <n v="1120000"/>
    <s v="Network"/>
  </r>
  <r>
    <s v="0016"/>
    <x v="8"/>
    <s v="C012"/>
    <s v="P074"/>
    <x v="0"/>
    <s v="PT Sukses Makmur"/>
    <x v="4"/>
    <x v="0"/>
    <x v="0"/>
    <n v="7"/>
    <n v="780000"/>
    <n v="590000"/>
    <n v="5460000"/>
    <n v="4130000"/>
    <n v="1330000"/>
    <s v="Audio"/>
  </r>
  <r>
    <s v="0034"/>
    <x v="9"/>
    <s v="C011"/>
    <s v="P001"/>
    <x v="7"/>
    <s v="CV Karya Mandiri"/>
    <x v="6"/>
    <x v="7"/>
    <x v="7"/>
    <n v="9"/>
    <n v="8500000"/>
    <n v="7200000"/>
    <n v="76500000"/>
    <n v="64800000"/>
    <n v="11700000"/>
    <s v="Laptop"/>
  </r>
  <r>
    <s v="0008"/>
    <x v="10"/>
    <s v="C007"/>
    <s v="P095"/>
    <x v="8"/>
    <s v="PT Mitra Solusi"/>
    <x v="7"/>
    <x v="8"/>
    <x v="8"/>
    <n v="2"/>
    <n v="950000"/>
    <n v="760000"/>
    <n v="1900000"/>
    <n v="1520000"/>
    <n v="380000"/>
    <s v="Power"/>
  </r>
  <r>
    <s v="0066"/>
    <x v="11"/>
    <s v="C008"/>
    <s v="P051"/>
    <x v="9"/>
    <s v="PT Cahaya Abadi"/>
    <x v="8"/>
    <x v="9"/>
    <x v="9"/>
    <n v="1"/>
    <n v="2900000"/>
    <n v="2400000"/>
    <n v="2900000"/>
    <n v="2400000"/>
    <n v="500000"/>
    <s v="Printer"/>
  </r>
  <r>
    <s v="0036"/>
    <x v="12"/>
    <s v="C004"/>
    <s v="P028"/>
    <x v="10"/>
    <s v="PT Global Digital"/>
    <x v="9"/>
    <x v="10"/>
    <x v="10"/>
    <n v="8"/>
    <n v="1250000"/>
    <n v="980000"/>
    <n v="10000000"/>
    <n v="7840000"/>
    <n v="2160000"/>
    <s v="Storage"/>
  </r>
  <r>
    <s v="0009"/>
    <x v="6"/>
    <s v="C013"/>
    <s v="P072"/>
    <x v="5"/>
    <s v="PT Prima Teknologi"/>
    <x v="1"/>
    <x v="5"/>
    <x v="5"/>
    <n v="9"/>
    <n v="680000"/>
    <n v="520000"/>
    <n v="6120000"/>
    <n v="4680000"/>
    <n v="1440000"/>
    <s v="Accessories"/>
  </r>
  <r>
    <s v="0043"/>
    <x v="13"/>
    <s v="C009"/>
    <s v="P025"/>
    <x v="1"/>
    <s v="PT Andalan Prima"/>
    <x v="10"/>
    <x v="1"/>
    <x v="1"/>
    <n v="4"/>
    <n v="3200000"/>
    <n v="2600000"/>
    <n v="12800000"/>
    <n v="10400000"/>
    <n v="2400000"/>
    <s v="Monitor"/>
  </r>
  <r>
    <s v="0041"/>
    <x v="6"/>
    <s v="C017"/>
    <s v="P090"/>
    <x v="11"/>
    <s v="CV Berkah Mandiri"/>
    <x v="11"/>
    <x v="11"/>
    <x v="11"/>
    <n v="7"/>
    <n v="120000"/>
    <n v="80000"/>
    <n v="840000"/>
    <n v="560000"/>
    <n v="280000"/>
    <s v="Storage"/>
  </r>
  <r>
    <s v="0005"/>
    <x v="14"/>
    <s v="C008"/>
    <s v="P025"/>
    <x v="12"/>
    <s v="PT Cahaya Abadi"/>
    <x v="10"/>
    <x v="12"/>
    <x v="12"/>
    <n v="2"/>
    <n v="3200000"/>
    <n v="2600000"/>
    <n v="6400000"/>
    <n v="5200000"/>
    <n v="1200000"/>
    <s v="Monitor"/>
  </r>
  <r>
    <s v="0073"/>
    <x v="11"/>
    <s v="C004"/>
    <s v="P010"/>
    <x v="10"/>
    <s v="PT Global Digital"/>
    <x v="11"/>
    <x v="10"/>
    <x v="10"/>
    <n v="8"/>
    <n v="120000"/>
    <n v="80000"/>
    <n v="960000"/>
    <n v="640000"/>
    <n v="320000"/>
    <s v="Storage"/>
  </r>
  <r>
    <s v="0078"/>
    <x v="15"/>
    <s v="C008"/>
    <s v="P026"/>
    <x v="13"/>
    <s v="PT Cahaya Abadi"/>
    <x v="3"/>
    <x v="13"/>
    <x v="13"/>
    <n v="5"/>
    <n v="750000"/>
    <n v="520000"/>
    <n v="3750000"/>
    <n v="2600000"/>
    <n v="1150000"/>
    <s v="Accessories"/>
  </r>
  <r>
    <s v="0100"/>
    <x v="4"/>
    <s v="C011"/>
    <s v="P067"/>
    <x v="14"/>
    <s v="CV Karya Mandiri"/>
    <x v="12"/>
    <x v="14"/>
    <x v="14"/>
    <n v="7"/>
    <n v="250000"/>
    <n v="150000"/>
    <n v="1750000"/>
    <n v="1050000"/>
    <n v="700000"/>
    <s v="Accessories"/>
  </r>
  <r>
    <s v="0082"/>
    <x v="16"/>
    <s v="C017"/>
    <s v="P036"/>
    <x v="15"/>
    <s v="CV Berkah Mandiri"/>
    <x v="5"/>
    <x v="15"/>
    <x v="15"/>
    <n v="10"/>
    <n v="670000"/>
    <n v="510000"/>
    <n v="6700000"/>
    <n v="5100000"/>
    <n v="1600000"/>
    <s v="Network"/>
  </r>
  <r>
    <s v="0061"/>
    <x v="17"/>
    <s v="C006"/>
    <s v="P076"/>
    <x v="10"/>
    <s v="CV Maju Bersama"/>
    <x v="5"/>
    <x v="10"/>
    <x v="10"/>
    <n v="9"/>
    <n v="670000"/>
    <n v="510000"/>
    <n v="6030000"/>
    <n v="4590000"/>
    <n v="1440000"/>
    <s v="Network"/>
  </r>
  <r>
    <s v="0050"/>
    <x v="8"/>
    <s v="C017"/>
    <s v="P001"/>
    <x v="15"/>
    <s v="CV Berkah Mandiri"/>
    <x v="6"/>
    <x v="15"/>
    <x v="15"/>
    <n v="8"/>
    <n v="8500000"/>
    <n v="7200000"/>
    <n v="68000000"/>
    <n v="57600000"/>
    <n v="10400000"/>
    <s v="Laptop"/>
  </r>
  <r>
    <s v="0098"/>
    <x v="18"/>
    <s v="C008"/>
    <s v="P024"/>
    <x v="2"/>
    <s v="PT Cahaya Abadi"/>
    <x v="13"/>
    <x v="2"/>
    <x v="2"/>
    <n v="8"/>
    <n v="2100000"/>
    <n v="1700000"/>
    <n v="16800000"/>
    <n v="13600000"/>
    <n v="3200000"/>
    <s v="Monitor"/>
  </r>
  <r>
    <s v="0060"/>
    <x v="19"/>
    <s v="C017"/>
    <s v="P084"/>
    <x v="16"/>
    <s v="CV Berkah Mandiri"/>
    <x v="13"/>
    <x v="16"/>
    <x v="16"/>
    <n v="8"/>
    <n v="2100000"/>
    <n v="1700000"/>
    <n v="16800000"/>
    <n v="13600000"/>
    <n v="3200000"/>
    <s v="Monitor"/>
  </r>
  <r>
    <s v="0064"/>
    <x v="20"/>
    <s v="C015"/>
    <s v="P037"/>
    <x v="12"/>
    <s v="PT Sentosa Abadi"/>
    <x v="14"/>
    <x v="12"/>
    <x v="12"/>
    <n v="5"/>
    <n v="1650000"/>
    <n v="1350000"/>
    <n v="8250000"/>
    <n v="6750000"/>
    <n v="1500000"/>
    <s v="Storage"/>
  </r>
  <r>
    <s v="0064"/>
    <x v="21"/>
    <s v="C003"/>
    <s v="P032"/>
    <x v="17"/>
    <s v="CV Sinar Teknologi"/>
    <x v="1"/>
    <x v="17"/>
    <x v="17"/>
    <n v="6"/>
    <n v="680000"/>
    <n v="520000"/>
    <n v="4080000"/>
    <n v="3120000"/>
    <n v="960000"/>
    <s v="Accessories"/>
  </r>
  <r>
    <s v="0059"/>
    <x v="22"/>
    <s v="C016"/>
    <s v="P088"/>
    <x v="17"/>
    <s v="PT Global Nusantara"/>
    <x v="9"/>
    <x v="17"/>
    <x v="17"/>
    <n v="10"/>
    <n v="1250000"/>
    <n v="980000"/>
    <n v="12500000"/>
    <n v="9800000"/>
    <n v="2700000"/>
    <s v="Storage"/>
  </r>
  <r>
    <s v="0018"/>
    <x v="23"/>
    <s v="C010"/>
    <s v="P022"/>
    <x v="18"/>
    <s v="PT Bintang Timur"/>
    <x v="0"/>
    <x v="18"/>
    <x v="18"/>
    <n v="6"/>
    <n v="9200000"/>
    <n v="7900000"/>
    <n v="55200000"/>
    <n v="47400000"/>
    <n v="7800000"/>
    <s v="Laptop"/>
  </r>
  <r>
    <s v="0004"/>
    <x v="24"/>
    <s v="C012"/>
    <s v="P072"/>
    <x v="14"/>
    <s v="PT Sukses Makmur"/>
    <x v="1"/>
    <x v="14"/>
    <x v="14"/>
    <n v="6"/>
    <n v="680000"/>
    <n v="520000"/>
    <n v="4080000"/>
    <n v="3120000"/>
    <n v="960000"/>
    <s v="Accessories"/>
  </r>
  <r>
    <s v="0015"/>
    <x v="15"/>
    <s v="C014"/>
    <s v="P050"/>
    <x v="17"/>
    <s v="CV Nusantara Jaya"/>
    <x v="11"/>
    <x v="17"/>
    <x v="17"/>
    <n v="10"/>
    <n v="120000"/>
    <n v="80000"/>
    <n v="1200000"/>
    <n v="800000"/>
    <n v="400000"/>
    <s v="Storage"/>
  </r>
  <r>
    <s v="0004"/>
    <x v="18"/>
    <s v="C010"/>
    <s v="P074"/>
    <x v="1"/>
    <s v="PT Bintang Timur"/>
    <x v="4"/>
    <x v="1"/>
    <x v="1"/>
    <n v="7"/>
    <n v="780000"/>
    <n v="590000"/>
    <n v="5460000"/>
    <n v="4130000"/>
    <n v="1330000"/>
    <s v="Audio"/>
  </r>
  <r>
    <s v="0001"/>
    <x v="25"/>
    <s v="C003"/>
    <s v="P056"/>
    <x v="16"/>
    <s v="CV Sinar Teknologi"/>
    <x v="5"/>
    <x v="16"/>
    <x v="16"/>
    <n v="2"/>
    <n v="670000"/>
    <n v="510000"/>
    <n v="1340000"/>
    <n v="1020000"/>
    <n v="320000"/>
    <s v="Network"/>
  </r>
  <r>
    <s v="0051"/>
    <x v="26"/>
    <s v="C005"/>
    <s v="P062"/>
    <x v="17"/>
    <s v="PT Berkah Sejahtera"/>
    <x v="0"/>
    <x v="17"/>
    <x v="17"/>
    <n v="8"/>
    <n v="9200000"/>
    <n v="7900000"/>
    <n v="73600000"/>
    <n v="63200000"/>
    <n v="10400000"/>
    <s v="Laptop"/>
  </r>
  <r>
    <s v="0087"/>
    <x v="2"/>
    <s v="C018"/>
    <s v="P062"/>
    <x v="12"/>
    <s v="PT Indo Retail"/>
    <x v="0"/>
    <x v="12"/>
    <x v="12"/>
    <n v="3"/>
    <n v="9200000"/>
    <n v="7900000"/>
    <n v="27600000"/>
    <n v="23700000"/>
    <n v="3900000"/>
    <s v="Laptop"/>
  </r>
  <r>
    <s v="0100"/>
    <x v="27"/>
    <s v="C008"/>
    <s v="P039"/>
    <x v="9"/>
    <s v="PT Cahaya Abadi"/>
    <x v="15"/>
    <x v="9"/>
    <x v="9"/>
    <n v="1"/>
    <n v="90000"/>
    <n v="50000"/>
    <n v="90000"/>
    <n v="50000"/>
    <n v="40000"/>
    <s v="Accessories"/>
  </r>
  <r>
    <s v="0020"/>
    <x v="4"/>
    <s v="C005"/>
    <s v="P053"/>
    <x v="13"/>
    <s v="PT Berkah Sejahtera"/>
    <x v="16"/>
    <x v="13"/>
    <x v="13"/>
    <n v="2"/>
    <n v="890000"/>
    <n v="690000"/>
    <n v="1780000"/>
    <n v="1380000"/>
    <n v="400000"/>
    <s v="Accessories"/>
  </r>
  <r>
    <s v="0071"/>
    <x v="28"/>
    <s v="C012"/>
    <s v="P052"/>
    <x v="10"/>
    <s v="PT Sukses Makmur"/>
    <x v="1"/>
    <x v="10"/>
    <x v="10"/>
    <n v="10"/>
    <n v="680000"/>
    <n v="520000"/>
    <n v="6800000"/>
    <n v="5200000"/>
    <n v="1600000"/>
    <s v="Accessories"/>
  </r>
  <r>
    <s v="0038"/>
    <x v="4"/>
    <s v="C010"/>
    <s v="P082"/>
    <x v="17"/>
    <s v="PT Bintang Timur"/>
    <x v="0"/>
    <x v="17"/>
    <x v="17"/>
    <n v="5"/>
    <n v="9200000"/>
    <n v="7900000"/>
    <n v="46000000"/>
    <n v="39500000"/>
    <n v="6500000"/>
    <s v="Laptop"/>
  </r>
  <r>
    <s v="0094"/>
    <x v="0"/>
    <s v="C015"/>
    <s v="P040"/>
    <x v="18"/>
    <s v="PT Sentosa Abadi"/>
    <x v="17"/>
    <x v="18"/>
    <x v="18"/>
    <n v="4"/>
    <n v="150000"/>
    <n v="90000"/>
    <n v="600000"/>
    <n v="360000"/>
    <n v="240000"/>
    <s v="Accessories"/>
  </r>
  <r>
    <s v="0013"/>
    <x v="29"/>
    <s v="C012"/>
    <s v="P077"/>
    <x v="11"/>
    <s v="PT Sukses Makmur"/>
    <x v="14"/>
    <x v="11"/>
    <x v="11"/>
    <n v="7"/>
    <n v="1650000"/>
    <n v="1350000"/>
    <n v="11550000"/>
    <n v="9450000"/>
    <n v="2100000"/>
    <s v="Storage"/>
  </r>
  <r>
    <s v="0095"/>
    <x v="30"/>
    <s v="C005"/>
    <s v="P042"/>
    <x v="12"/>
    <s v="PT Berkah Sejahtera"/>
    <x v="0"/>
    <x v="12"/>
    <x v="12"/>
    <n v="8"/>
    <n v="9200000"/>
    <n v="7900000"/>
    <n v="73600000"/>
    <n v="63200000"/>
    <n v="10400000"/>
    <s v="Laptop"/>
  </r>
  <r>
    <s v="0055"/>
    <x v="31"/>
    <s v="C012"/>
    <s v="P071"/>
    <x v="3"/>
    <s v="PT Sukses Makmur"/>
    <x v="18"/>
    <x v="3"/>
    <x v="3"/>
    <n v="4"/>
    <n v="2900000"/>
    <n v="2400000"/>
    <n v="11600000"/>
    <n v="9600000"/>
    <n v="2000000"/>
    <s v="Printer"/>
  </r>
  <r>
    <s v="0016"/>
    <x v="28"/>
    <s v="C006"/>
    <s v="P039"/>
    <x v="0"/>
    <s v="CV Maju Bersama"/>
    <x v="15"/>
    <x v="0"/>
    <x v="0"/>
    <n v="8"/>
    <n v="90000"/>
    <n v="50000"/>
    <n v="720000"/>
    <n v="400000"/>
    <n v="320000"/>
    <s v="Accessories"/>
  </r>
  <r>
    <s v="0053"/>
    <x v="32"/>
    <s v="C019"/>
    <s v="P042"/>
    <x v="16"/>
    <s v="PT Harapan Baru"/>
    <x v="0"/>
    <x v="16"/>
    <x v="16"/>
    <n v="6"/>
    <n v="9200000"/>
    <n v="7900000"/>
    <n v="55200000"/>
    <n v="47400000"/>
    <n v="7800000"/>
    <s v="Laptop"/>
  </r>
  <r>
    <s v="0040"/>
    <x v="23"/>
    <s v="C001"/>
    <s v="P024"/>
    <x v="18"/>
    <s v="PT Maju Jaya"/>
    <x v="13"/>
    <x v="18"/>
    <x v="18"/>
    <n v="4"/>
    <n v="2100000"/>
    <n v="1700000"/>
    <n v="8400000"/>
    <n v="6800000"/>
    <n v="1600000"/>
    <s v="Monitor"/>
  </r>
  <r>
    <s v="0011"/>
    <x v="12"/>
    <s v="C003"/>
    <s v="P013"/>
    <x v="17"/>
    <s v="CV Sinar Teknologi"/>
    <x v="16"/>
    <x v="17"/>
    <x v="17"/>
    <n v="8"/>
    <n v="890000"/>
    <n v="690000"/>
    <n v="7120000"/>
    <n v="5520000"/>
    <n v="1600000"/>
    <s v="Accessories"/>
  </r>
  <r>
    <s v="0017"/>
    <x v="33"/>
    <s v="C013"/>
    <s v="P081"/>
    <x v="3"/>
    <s v="PT Prima Teknologi"/>
    <x v="6"/>
    <x v="3"/>
    <x v="3"/>
    <n v="1"/>
    <n v="8500000"/>
    <n v="7200000"/>
    <n v="8500000"/>
    <n v="7200000"/>
    <n v="1300000"/>
    <s v="Laptop"/>
  </r>
  <r>
    <s v="0035"/>
    <x v="34"/>
    <s v="C011"/>
    <s v="P043"/>
    <x v="12"/>
    <s v="CV Karya Mandiri"/>
    <x v="19"/>
    <x v="12"/>
    <x v="12"/>
    <n v="5"/>
    <n v="7800000"/>
    <n v="6500000"/>
    <n v="39000000"/>
    <n v="32500000"/>
    <n v="6500000"/>
    <s v="Laptop"/>
  </r>
  <r>
    <s v="0019"/>
    <x v="18"/>
    <s v="C016"/>
    <s v="P067"/>
    <x v="13"/>
    <s v="PT Global Nusantara"/>
    <x v="12"/>
    <x v="13"/>
    <x v="13"/>
    <n v="2"/>
    <n v="250000"/>
    <n v="150000"/>
    <n v="500000"/>
    <n v="300000"/>
    <n v="200000"/>
    <s v="Accessories"/>
  </r>
  <r>
    <s v="0053"/>
    <x v="13"/>
    <s v="C015"/>
    <s v="P001"/>
    <x v="15"/>
    <s v="PT Sentosa Abadi"/>
    <x v="6"/>
    <x v="15"/>
    <x v="15"/>
    <n v="10"/>
    <n v="8500000"/>
    <n v="7200000"/>
    <n v="85000000"/>
    <n v="72000000"/>
    <n v="13000000"/>
    <s v="Laptop"/>
  </r>
  <r>
    <s v="0038"/>
    <x v="19"/>
    <s v="C007"/>
    <s v="P094"/>
    <x v="18"/>
    <s v="PT Mitra Solusi"/>
    <x v="4"/>
    <x v="18"/>
    <x v="18"/>
    <n v="5"/>
    <n v="780000"/>
    <n v="590000"/>
    <n v="3900000"/>
    <n v="2950000"/>
    <n v="950000"/>
    <s v="Audio"/>
  </r>
  <r>
    <s v="0072"/>
    <x v="35"/>
    <s v="C017"/>
    <s v="P001"/>
    <x v="14"/>
    <s v="CV Berkah Mandiri"/>
    <x v="6"/>
    <x v="14"/>
    <x v="14"/>
    <n v="6"/>
    <n v="8500000"/>
    <n v="7200000"/>
    <n v="51000000"/>
    <n v="43200000"/>
    <n v="7800000"/>
    <s v="Laptop"/>
  </r>
  <r>
    <s v="0014"/>
    <x v="36"/>
    <s v="C017"/>
    <s v="P026"/>
    <x v="5"/>
    <s v="CV Berkah Mandiri"/>
    <x v="3"/>
    <x v="5"/>
    <x v="5"/>
    <n v="6"/>
    <n v="750000"/>
    <n v="520000"/>
    <n v="4500000"/>
    <n v="3120000"/>
    <n v="1380000"/>
    <s v="Accessories"/>
  </r>
  <r>
    <s v="0034"/>
    <x v="37"/>
    <s v="C015"/>
    <s v="P048"/>
    <x v="11"/>
    <s v="PT Sentosa Abadi"/>
    <x v="9"/>
    <x v="11"/>
    <x v="11"/>
    <n v="6"/>
    <n v="1250000"/>
    <n v="980000"/>
    <n v="7500000"/>
    <n v="5880000"/>
    <n v="1620000"/>
    <s v="Storage"/>
  </r>
  <r>
    <s v="0055"/>
    <x v="9"/>
    <s v="C016"/>
    <s v="P087"/>
    <x v="15"/>
    <s v="PT Global Nusantara"/>
    <x v="12"/>
    <x v="15"/>
    <x v="15"/>
    <n v="3"/>
    <n v="250000"/>
    <n v="150000"/>
    <n v="750000"/>
    <n v="450000"/>
    <n v="300000"/>
    <s v="Accessories"/>
  </r>
  <r>
    <s v="0051"/>
    <x v="24"/>
    <s v="C003"/>
    <s v="P007"/>
    <x v="15"/>
    <s v="CV Sinar Teknologi"/>
    <x v="12"/>
    <x v="15"/>
    <x v="15"/>
    <n v="7"/>
    <n v="250000"/>
    <n v="150000"/>
    <n v="1750000"/>
    <n v="1050000"/>
    <n v="700000"/>
    <s v="Accessories"/>
  </r>
  <r>
    <s v="0073"/>
    <x v="27"/>
    <s v="C009"/>
    <s v="P056"/>
    <x v="10"/>
    <s v="PT Andalan Prima"/>
    <x v="5"/>
    <x v="10"/>
    <x v="10"/>
    <n v="6"/>
    <n v="670000"/>
    <n v="510000"/>
    <n v="4020000"/>
    <n v="3060000"/>
    <n v="960000"/>
    <s v="Network"/>
  </r>
  <r>
    <s v="0031"/>
    <x v="17"/>
    <s v="C017"/>
    <s v="P004"/>
    <x v="14"/>
    <s v="CV Berkah Mandiri"/>
    <x v="13"/>
    <x v="14"/>
    <x v="14"/>
    <n v="1"/>
    <n v="2100000"/>
    <n v="1700000"/>
    <n v="2100000"/>
    <n v="1700000"/>
    <n v="400000"/>
    <s v="Monitor"/>
  </r>
  <r>
    <s v="0087"/>
    <x v="38"/>
    <s v="C012"/>
    <s v="P055"/>
    <x v="19"/>
    <s v="PT Sukses Makmur"/>
    <x v="7"/>
    <x v="19"/>
    <x v="19"/>
    <n v="5"/>
    <n v="950000"/>
    <n v="760000"/>
    <n v="4750000"/>
    <n v="3800000"/>
    <n v="950000"/>
    <s v="Power"/>
  </r>
  <r>
    <s v="0012"/>
    <x v="39"/>
    <s v="C015"/>
    <s v="P097"/>
    <x v="1"/>
    <s v="PT Sentosa Abadi"/>
    <x v="14"/>
    <x v="1"/>
    <x v="1"/>
    <n v="9"/>
    <n v="1650000"/>
    <n v="1350000"/>
    <n v="14850000"/>
    <n v="12150000"/>
    <n v="2700000"/>
    <s v="Storage"/>
  </r>
  <r>
    <s v="0076"/>
    <x v="9"/>
    <s v="C012"/>
    <s v="P016"/>
    <x v="11"/>
    <s v="PT Sukses Makmur"/>
    <x v="5"/>
    <x v="11"/>
    <x v="11"/>
    <n v="8"/>
    <n v="670000"/>
    <n v="510000"/>
    <n v="5360000"/>
    <n v="4080000"/>
    <n v="1280000"/>
    <s v="Network"/>
  </r>
  <r>
    <s v="0098"/>
    <x v="40"/>
    <s v="C001"/>
    <s v="P023"/>
    <x v="15"/>
    <s v="PT Maju Jaya"/>
    <x v="20"/>
    <x v="15"/>
    <x v="15"/>
    <n v="1"/>
    <n v="7800000"/>
    <n v="6500000"/>
    <n v="7800000"/>
    <n v="6500000"/>
    <n v="1300000"/>
    <s v="Laptop"/>
  </r>
  <r>
    <s v="0093"/>
    <x v="9"/>
    <s v="C005"/>
    <s v="P087"/>
    <x v="9"/>
    <s v="PT Berkah Sejahtera"/>
    <x v="12"/>
    <x v="9"/>
    <x v="9"/>
    <n v="3"/>
    <n v="250000"/>
    <n v="150000"/>
    <n v="750000"/>
    <n v="450000"/>
    <n v="300000"/>
    <s v="Accessories"/>
  </r>
  <r>
    <s v="0056"/>
    <x v="33"/>
    <s v="C017"/>
    <s v="P042"/>
    <x v="14"/>
    <s v="CV Berkah Mandiri"/>
    <x v="0"/>
    <x v="14"/>
    <x v="14"/>
    <n v="3"/>
    <n v="9200000"/>
    <n v="7900000"/>
    <n v="27600000"/>
    <n v="23700000"/>
    <n v="3900000"/>
    <s v="Laptop"/>
  </r>
  <r>
    <s v="0063"/>
    <x v="29"/>
    <s v="C019"/>
    <s v="P092"/>
    <x v="1"/>
    <s v="PT Harapan Baru"/>
    <x v="1"/>
    <x v="1"/>
    <x v="1"/>
    <n v="3"/>
    <n v="680000"/>
    <n v="520000"/>
    <n v="2040000"/>
    <n v="1560000"/>
    <n v="480000"/>
    <s v="Accessories"/>
  </r>
  <r>
    <s v="0018"/>
    <x v="26"/>
    <s v="C016"/>
    <s v="P061"/>
    <x v="8"/>
    <s v="PT Global Nusantara"/>
    <x v="6"/>
    <x v="8"/>
    <x v="8"/>
    <n v="8"/>
    <n v="8500000"/>
    <n v="7200000"/>
    <n v="68000000"/>
    <n v="57600000"/>
    <n v="10400000"/>
    <s v="Laptop"/>
  </r>
  <r>
    <s v="0016"/>
    <x v="41"/>
    <s v="C015"/>
    <s v="P016"/>
    <x v="3"/>
    <s v="PT Sentosa Abadi"/>
    <x v="5"/>
    <x v="3"/>
    <x v="3"/>
    <n v="10"/>
    <n v="670000"/>
    <n v="510000"/>
    <n v="6700000"/>
    <n v="5100000"/>
    <n v="1600000"/>
    <s v="Network"/>
  </r>
  <r>
    <s v="0075"/>
    <x v="0"/>
    <s v="C004"/>
    <s v="P060"/>
    <x v="17"/>
    <s v="PT Global Digital"/>
    <x v="17"/>
    <x v="17"/>
    <x v="17"/>
    <n v="8"/>
    <n v="150000"/>
    <n v="90000"/>
    <n v="1200000"/>
    <n v="720000"/>
    <n v="480000"/>
    <s v="Accessories"/>
  </r>
  <r>
    <s v="0040"/>
    <x v="31"/>
    <s v="C011"/>
    <s v="P087"/>
    <x v="9"/>
    <s v="CV Karya Mandiri"/>
    <x v="12"/>
    <x v="9"/>
    <x v="9"/>
    <n v="9"/>
    <n v="250000"/>
    <n v="150000"/>
    <n v="2250000"/>
    <n v="1350000"/>
    <n v="900000"/>
    <s v="Accessories"/>
  </r>
  <r>
    <s v="0009"/>
    <x v="42"/>
    <s v="C017"/>
    <s v="P002"/>
    <x v="5"/>
    <s v="CV Berkah Mandiri"/>
    <x v="0"/>
    <x v="5"/>
    <x v="5"/>
    <n v="2"/>
    <n v="9200000"/>
    <n v="7900000"/>
    <n v="18400000"/>
    <n v="15800000"/>
    <n v="2600000"/>
    <s v="Laptop"/>
  </r>
  <r>
    <s v="0087"/>
    <x v="43"/>
    <s v="C017"/>
    <s v="P095"/>
    <x v="10"/>
    <s v="CV Berkah Mandiri"/>
    <x v="7"/>
    <x v="10"/>
    <x v="10"/>
    <n v="3"/>
    <n v="950000"/>
    <n v="760000"/>
    <n v="2850000"/>
    <n v="2280000"/>
    <n v="570000"/>
    <s v="Power"/>
  </r>
  <r>
    <s v="0027"/>
    <x v="15"/>
    <s v="C011"/>
    <s v="P040"/>
    <x v="1"/>
    <s v="CV Karya Mandiri"/>
    <x v="17"/>
    <x v="1"/>
    <x v="1"/>
    <n v="3"/>
    <n v="150000"/>
    <n v="90000"/>
    <n v="450000"/>
    <n v="270000"/>
    <n v="180000"/>
    <s v="Accessories"/>
  </r>
  <r>
    <s v="0055"/>
    <x v="28"/>
    <s v="C006"/>
    <s v="P093"/>
    <x v="12"/>
    <s v="CV Maju Bersama"/>
    <x v="16"/>
    <x v="12"/>
    <x v="12"/>
    <n v="9"/>
    <n v="890000"/>
    <n v="690000"/>
    <n v="8010000"/>
    <n v="6210000"/>
    <n v="1800000"/>
    <s v="Accessories"/>
  </r>
  <r>
    <s v="0034"/>
    <x v="44"/>
    <s v="C014"/>
    <s v="P087"/>
    <x v="15"/>
    <s v="CV Nusantara Jaya"/>
    <x v="12"/>
    <x v="15"/>
    <x v="15"/>
    <n v="9"/>
    <n v="250000"/>
    <n v="150000"/>
    <n v="2250000"/>
    <n v="1350000"/>
    <n v="900000"/>
    <s v="Accessories"/>
  </r>
  <r>
    <s v="0035"/>
    <x v="26"/>
    <s v="C014"/>
    <s v="P063"/>
    <x v="12"/>
    <s v="CV Nusantara Jaya"/>
    <x v="21"/>
    <x v="12"/>
    <x v="12"/>
    <n v="2"/>
    <n v="7800000"/>
    <n v="6500000"/>
    <n v="15600000"/>
    <n v="13000000"/>
    <n v="2600000"/>
    <s v="Laptop"/>
  </r>
  <r>
    <s v="0001"/>
    <x v="45"/>
    <s v="C011"/>
    <s v="P100"/>
    <x v="14"/>
    <s v="CV Karya Mandiri"/>
    <x v="17"/>
    <x v="14"/>
    <x v="14"/>
    <n v="7"/>
    <n v="150000"/>
    <n v="90000"/>
    <n v="1050000"/>
    <n v="630000"/>
    <n v="420000"/>
    <s v="Accessories"/>
  </r>
  <r>
    <s v="0028"/>
    <x v="13"/>
    <s v="C002"/>
    <s v="P052"/>
    <x v="18"/>
    <s v="PT Nusantara Abadi"/>
    <x v="1"/>
    <x v="18"/>
    <x v="18"/>
    <n v="5"/>
    <n v="680000"/>
    <n v="520000"/>
    <n v="3400000"/>
    <n v="2600000"/>
    <n v="800000"/>
    <s v="Accessories"/>
  </r>
  <r>
    <s v="0024"/>
    <x v="46"/>
    <s v="C001"/>
    <s v="P023"/>
    <x v="17"/>
    <s v="PT Maju Jaya"/>
    <x v="20"/>
    <x v="17"/>
    <x v="17"/>
    <n v="4"/>
    <n v="7800000"/>
    <n v="6500000"/>
    <n v="31200000"/>
    <n v="26000000"/>
    <n v="5200000"/>
    <s v="Laptop"/>
  </r>
  <r>
    <s v="0078"/>
    <x v="2"/>
    <s v="C018"/>
    <s v="P085"/>
    <x v="0"/>
    <s v="PT Indo Retail"/>
    <x v="10"/>
    <x v="0"/>
    <x v="0"/>
    <n v="5"/>
    <n v="3200000"/>
    <n v="2600000"/>
    <n v="16000000"/>
    <n v="13000000"/>
    <n v="3000000"/>
    <s v="Monitor"/>
  </r>
  <r>
    <s v="0035"/>
    <x v="37"/>
    <s v="C013"/>
    <s v="P035"/>
    <x v="19"/>
    <s v="PT Prima Teknologi"/>
    <x v="7"/>
    <x v="19"/>
    <x v="19"/>
    <n v="7"/>
    <n v="950000"/>
    <n v="760000"/>
    <n v="6650000"/>
    <n v="5320000"/>
    <n v="1330000"/>
    <s v="Power"/>
  </r>
  <r>
    <s v="0085"/>
    <x v="31"/>
    <s v="C013"/>
    <s v="P003"/>
    <x v="11"/>
    <s v="PT Prima Teknologi"/>
    <x v="22"/>
    <x v="11"/>
    <x v="11"/>
    <n v="3"/>
    <n v="7800000"/>
    <n v="6500000"/>
    <n v="23400000"/>
    <n v="19500000"/>
    <n v="3900000"/>
    <s v="Laptop"/>
  </r>
  <r>
    <s v="0046"/>
    <x v="39"/>
    <s v="C003"/>
    <s v="P064"/>
    <x v="5"/>
    <s v="CV Sinar Teknologi"/>
    <x v="13"/>
    <x v="5"/>
    <x v="5"/>
    <n v="5"/>
    <n v="2100000"/>
    <n v="1700000"/>
    <n v="10500000"/>
    <n v="8500000"/>
    <n v="2000000"/>
    <s v="Monitor"/>
  </r>
  <r>
    <s v="0094"/>
    <x v="47"/>
    <s v="C018"/>
    <s v="P002"/>
    <x v="18"/>
    <s v="PT Indo Retail"/>
    <x v="0"/>
    <x v="18"/>
    <x v="18"/>
    <n v="7"/>
    <n v="9200000"/>
    <n v="7900000"/>
    <n v="64400000"/>
    <n v="55300000"/>
    <n v="9100000"/>
    <s v="Laptop"/>
  </r>
  <r>
    <s v="0039"/>
    <x v="24"/>
    <s v="C005"/>
    <s v="P030"/>
    <x v="7"/>
    <s v="PT Berkah Sejahtera"/>
    <x v="11"/>
    <x v="7"/>
    <x v="7"/>
    <n v="6"/>
    <n v="120000"/>
    <n v="80000"/>
    <n v="720000"/>
    <n v="480000"/>
    <n v="240000"/>
    <s v="Storage"/>
  </r>
  <r>
    <s v="0049"/>
    <x v="34"/>
    <s v="C009"/>
    <s v="P083"/>
    <x v="8"/>
    <s v="PT Andalan Prima"/>
    <x v="23"/>
    <x v="8"/>
    <x v="8"/>
    <n v="3"/>
    <n v="7800000"/>
    <n v="6500000"/>
    <n v="23400000"/>
    <n v="19500000"/>
    <n v="3900000"/>
    <s v="Laptop"/>
  </r>
  <r>
    <s v="0070"/>
    <x v="47"/>
    <s v="C003"/>
    <s v="P042"/>
    <x v="9"/>
    <s v="CV Sinar Teknologi"/>
    <x v="0"/>
    <x v="9"/>
    <x v="9"/>
    <n v="3"/>
    <n v="9200000"/>
    <n v="7900000"/>
    <n v="27600000"/>
    <n v="23700000"/>
    <n v="3900000"/>
    <s v="Laptop"/>
  </r>
  <r>
    <s v="0046"/>
    <x v="37"/>
    <s v="C004"/>
    <s v="P002"/>
    <x v="8"/>
    <s v="PT Global Digital"/>
    <x v="0"/>
    <x v="8"/>
    <x v="8"/>
    <n v="3"/>
    <n v="9200000"/>
    <n v="7900000"/>
    <n v="27600000"/>
    <n v="23700000"/>
    <n v="3900000"/>
    <s v="Laptop"/>
  </r>
  <r>
    <s v="0062"/>
    <x v="31"/>
    <s v="C014"/>
    <s v="P079"/>
    <x v="14"/>
    <s v="CV Nusantara Jaya"/>
    <x v="15"/>
    <x v="14"/>
    <x v="14"/>
    <n v="9"/>
    <n v="90000"/>
    <n v="50000"/>
    <n v="810000"/>
    <n v="450000"/>
    <n v="360000"/>
    <s v="Accessories"/>
  </r>
  <r>
    <s v="0088"/>
    <x v="47"/>
    <s v="C007"/>
    <s v="P022"/>
    <x v="5"/>
    <s v="PT Mitra Solusi"/>
    <x v="0"/>
    <x v="5"/>
    <x v="5"/>
    <n v="2"/>
    <n v="9200000"/>
    <n v="7900000"/>
    <n v="18400000"/>
    <n v="15800000"/>
    <n v="2600000"/>
    <s v="Laptop"/>
  </r>
  <r>
    <s v="0042"/>
    <x v="40"/>
    <s v="C007"/>
    <s v="P020"/>
    <x v="9"/>
    <s v="PT Mitra Solusi"/>
    <x v="17"/>
    <x v="9"/>
    <x v="9"/>
    <n v="2"/>
    <n v="150000"/>
    <n v="90000"/>
    <n v="300000"/>
    <n v="180000"/>
    <n v="120000"/>
    <s v="Accessories"/>
  </r>
  <r>
    <s v="0065"/>
    <x v="4"/>
    <s v="C001"/>
    <s v="P025"/>
    <x v="12"/>
    <s v="PT Maju Jaya"/>
    <x v="10"/>
    <x v="12"/>
    <x v="12"/>
    <n v="3"/>
    <n v="3200000"/>
    <n v="2600000"/>
    <n v="9600000"/>
    <n v="7800000"/>
    <n v="1800000"/>
    <s v="Monitor"/>
  </r>
  <r>
    <s v="0086"/>
    <x v="43"/>
    <s v="C001"/>
    <s v="P069"/>
    <x v="4"/>
    <s v="PT Maju Jaya"/>
    <x v="24"/>
    <x v="4"/>
    <x v="4"/>
    <n v="10"/>
    <n v="850000"/>
    <n v="670000"/>
    <n v="8500000"/>
    <n v="6700000"/>
    <n v="1800000"/>
    <s v="Storage"/>
  </r>
  <r>
    <s v="0027"/>
    <x v="18"/>
    <s v="C016"/>
    <s v="P084"/>
    <x v="5"/>
    <s v="PT Global Nusantara"/>
    <x v="13"/>
    <x v="5"/>
    <x v="5"/>
    <n v="1"/>
    <n v="2100000"/>
    <n v="1700000"/>
    <n v="2100000"/>
    <n v="1700000"/>
    <n v="400000"/>
    <s v="Monitor"/>
  </r>
  <r>
    <s v="0052"/>
    <x v="48"/>
    <s v="C018"/>
    <s v="P048"/>
    <x v="16"/>
    <s v="PT Indo Retail"/>
    <x v="9"/>
    <x v="16"/>
    <x v="16"/>
    <n v="1"/>
    <n v="1250000"/>
    <n v="980000"/>
    <n v="1250000"/>
    <n v="980000"/>
    <n v="270000"/>
    <s v="Storage"/>
  </r>
  <r>
    <s v="0025"/>
    <x v="23"/>
    <s v="C008"/>
    <s v="P024"/>
    <x v="11"/>
    <s v="PT Cahaya Abadi"/>
    <x v="13"/>
    <x v="11"/>
    <x v="11"/>
    <n v="9"/>
    <n v="2100000"/>
    <n v="1700000"/>
    <n v="18900000"/>
    <n v="15300000"/>
    <n v="3600000"/>
    <s v="Monitor"/>
  </r>
  <r>
    <s v="0038"/>
    <x v="49"/>
    <s v="C019"/>
    <s v="P022"/>
    <x v="19"/>
    <s v="PT Harapan Baru"/>
    <x v="0"/>
    <x v="19"/>
    <x v="19"/>
    <n v="7"/>
    <n v="9200000"/>
    <n v="7900000"/>
    <n v="64400000"/>
    <n v="55300000"/>
    <n v="9100000"/>
    <s v="Laptop"/>
  </r>
  <r>
    <s v="0088"/>
    <x v="50"/>
    <s v="C019"/>
    <s v="P008"/>
    <x v="8"/>
    <s v="PT Harapan Baru"/>
    <x v="9"/>
    <x v="8"/>
    <x v="8"/>
    <n v="7"/>
    <n v="1250000"/>
    <n v="980000"/>
    <n v="8750000"/>
    <n v="6860000"/>
    <n v="1890000"/>
    <s v="Storage"/>
  </r>
  <r>
    <s v="0061"/>
    <x v="51"/>
    <s v="C016"/>
    <s v="P057"/>
    <x v="1"/>
    <s v="PT Global Nusantara"/>
    <x v="14"/>
    <x v="1"/>
    <x v="1"/>
    <n v="9"/>
    <n v="1650000"/>
    <n v="1350000"/>
    <n v="14850000"/>
    <n v="12150000"/>
    <n v="2700000"/>
    <s v="Storag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4E5B-7367-432C-ACF6-700B3B1E46D2}" name="PivotTable6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2:Q7" firstHeaderRow="1" firstDataRow="1" firstDataCol="1"/>
  <pivotFields count="19">
    <pivotField showAll="0"/>
    <pivotField axis="axisRow"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2"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sd="0" x="1"/>
        <item sd="0" x="2"/>
        <item sd="0" x="3"/>
        <item t="default"/>
      </items>
    </pivotField>
  </pivotFields>
  <rowFields count="4">
    <field x="16"/>
    <field x="17"/>
    <field x="18"/>
    <field x="1"/>
  </rowFields>
  <rowItems count="5">
    <i>
      <x v="1"/>
    </i>
    <i>
      <x v="2"/>
    </i>
    <i>
      <x v="3"/>
    </i>
    <i>
      <x v="12"/>
    </i>
    <i t="grand">
      <x/>
    </i>
  </rowItems>
  <colItems count="1">
    <i/>
  </colItems>
  <dataFields count="1">
    <dataField name="Sum of Revenu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5F3947-1862-4C1A-A4A0-D84029AF5043}" name="PivotTable5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2:N28" firstHeaderRow="1" firstDataRow="1" firstDataCol="1"/>
  <pivotFields count="19">
    <pivotField showAll="0"/>
    <pivotField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/>
    <pivotField showAll="0"/>
    <pivotField axis="axisRow" showAll="0">
      <items count="27">
        <item x="14"/>
        <item x="11"/>
        <item x="15"/>
        <item x="16"/>
        <item x="6"/>
        <item x="22"/>
        <item x="20"/>
        <item x="19"/>
        <item x="21"/>
        <item x="23"/>
        <item x="0"/>
        <item x="3"/>
        <item x="13"/>
        <item x="10"/>
        <item x="8"/>
        <item x="18"/>
        <item x="2"/>
        <item m="1" x="25"/>
        <item x="5"/>
        <item x="4"/>
        <item x="9"/>
        <item x="24"/>
        <item x="7"/>
        <item x="17"/>
        <item x="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Profit" fld="1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761A30-1E51-4E55-B01F-BC24DF9CFC3D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2:K28" firstHeaderRow="1" firstDataRow="1" firstDataCol="1"/>
  <pivotFields count="19">
    <pivotField showAll="0"/>
    <pivotField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/>
    <pivotField showAll="0"/>
    <pivotField axis="axisRow" showAll="0">
      <items count="27">
        <item x="14"/>
        <item x="11"/>
        <item x="15"/>
        <item x="16"/>
        <item x="6"/>
        <item x="22"/>
        <item x="20"/>
        <item x="19"/>
        <item x="21"/>
        <item x="23"/>
        <item x="0"/>
        <item x="3"/>
        <item x="13"/>
        <item x="10"/>
        <item x="8"/>
        <item x="18"/>
        <item x="2"/>
        <item m="1" x="25"/>
        <item x="5"/>
        <item x="4"/>
        <item x="9"/>
        <item x="24"/>
        <item x="7"/>
        <item x="17"/>
        <item x="1"/>
        <item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2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Qty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18E004-2B42-4839-8045-623A63AF72FE}" name="PivotTable3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:H23" firstHeaderRow="1" firstDataRow="1" firstDataCol="1"/>
  <pivotFields count="19">
    <pivotField showAll="0"/>
    <pivotField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/>
    <pivotField showAll="0"/>
    <pivotField showAll="0">
      <items count="27">
        <item x="14"/>
        <item x="11"/>
        <item x="15"/>
        <item x="16"/>
        <item x="6"/>
        <item x="22"/>
        <item x="20"/>
        <item x="19"/>
        <item x="21"/>
        <item x="23"/>
        <item x="0"/>
        <item x="3"/>
        <item x="13"/>
        <item x="10"/>
        <item x="8"/>
        <item x="18"/>
        <item x="2"/>
        <item m="1" x="25"/>
        <item x="5"/>
        <item x="4"/>
        <item x="9"/>
        <item x="24"/>
        <item x="7"/>
        <item x="17"/>
        <item x="1"/>
        <item x="12"/>
        <item t="default"/>
      </items>
    </pivotField>
    <pivotField showAll="0"/>
    <pivotField axis="axisRow" showAll="0">
      <items count="21">
        <item x="18"/>
        <item x="13"/>
        <item x="8"/>
        <item x="5"/>
        <item x="3"/>
        <item x="6"/>
        <item x="4"/>
        <item x="11"/>
        <item x="10"/>
        <item x="17"/>
        <item x="1"/>
        <item x="9"/>
        <item x="7"/>
        <item x="14"/>
        <item x="12"/>
        <item x="16"/>
        <item x="19"/>
        <item x="0"/>
        <item x="2"/>
        <item x="15"/>
        <item t="default"/>
      </items>
    </pivotField>
    <pivotField showAll="0"/>
    <pivotField showAll="0"/>
    <pivotField showAll="0"/>
    <pivotField dataField="1" showAll="0"/>
    <pivotField showAll="0"/>
    <pivotField numFmtId="2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8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Revenu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A207-13FE-489C-95E0-7A524764CEB7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:E23" firstHeaderRow="1" firstDataRow="1" firstDataCol="1"/>
  <pivotFields count="19">
    <pivotField showAll="0"/>
    <pivotField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>
      <items count="21">
        <item x="10"/>
        <item x="13"/>
        <item x="0"/>
        <item x="9"/>
        <item x="17"/>
        <item x="16"/>
        <item x="15"/>
        <item x="18"/>
        <item x="7"/>
        <item x="3"/>
        <item x="2"/>
        <item x="11"/>
        <item x="6"/>
        <item x="1"/>
        <item x="5"/>
        <item x="14"/>
        <item x="12"/>
        <item x="8"/>
        <item x="19"/>
        <item x="4"/>
        <item t="default"/>
      </items>
    </pivotField>
    <pivotField showAll="0"/>
    <pivotField showAll="0"/>
    <pivotField axis="axisRow" showAll="0">
      <items count="21">
        <item x="10"/>
        <item x="13"/>
        <item x="0"/>
        <item x="9"/>
        <item x="17"/>
        <item x="16"/>
        <item x="15"/>
        <item x="18"/>
        <item x="7"/>
        <item x="3"/>
        <item x="2"/>
        <item x="11"/>
        <item x="6"/>
        <item x="1"/>
        <item x="5"/>
        <item x="14"/>
        <item x="12"/>
        <item x="8"/>
        <item x="19"/>
        <item x="4"/>
        <item t="default"/>
      </items>
    </pivotField>
    <pivotField showAll="0"/>
    <pivotField showAll="0"/>
    <pivotField showAll="0"/>
    <pivotField showAll="0"/>
    <pivotField dataField="1" showAll="0"/>
    <pivotField showAll="0"/>
    <pivotField numFmtId="2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Revenu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BED7D7-4EDA-4986-9253-5D6A3264E46D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28" firstHeaderRow="1" firstDataRow="1" firstDataCol="1"/>
  <pivotFields count="19">
    <pivotField showAll="0"/>
    <pivotField numFmtId="14" showAll="0">
      <items count="53">
        <item x="19"/>
        <item x="47"/>
        <item x="51"/>
        <item x="33"/>
        <item x="30"/>
        <item x="11"/>
        <item x="32"/>
        <item x="29"/>
        <item x="9"/>
        <item x="4"/>
        <item x="49"/>
        <item x="39"/>
        <item x="13"/>
        <item x="20"/>
        <item x="15"/>
        <item x="21"/>
        <item x="23"/>
        <item x="18"/>
        <item x="14"/>
        <item x="44"/>
        <item x="1"/>
        <item x="34"/>
        <item x="50"/>
        <item x="10"/>
        <item x="5"/>
        <item x="8"/>
        <item x="45"/>
        <item x="48"/>
        <item x="35"/>
        <item x="38"/>
        <item x="17"/>
        <item x="2"/>
        <item x="26"/>
        <item x="22"/>
        <item x="36"/>
        <item x="12"/>
        <item x="0"/>
        <item x="37"/>
        <item x="31"/>
        <item x="24"/>
        <item x="40"/>
        <item x="25"/>
        <item x="6"/>
        <item x="16"/>
        <item x="41"/>
        <item x="43"/>
        <item x="7"/>
        <item x="46"/>
        <item x="28"/>
        <item x="42"/>
        <item x="27"/>
        <item x="3"/>
        <item t="default"/>
      </items>
    </pivotField>
    <pivotField showAll="0"/>
    <pivotField showAll="0"/>
    <pivotField showAll="0"/>
    <pivotField showAll="0"/>
    <pivotField axis="axisRow" showAll="0">
      <items count="27">
        <item x="14"/>
        <item x="11"/>
        <item x="15"/>
        <item x="16"/>
        <item x="6"/>
        <item x="22"/>
        <item x="19"/>
        <item x="21"/>
        <item x="0"/>
        <item x="3"/>
        <item x="13"/>
        <item x="10"/>
        <item x="18"/>
        <item x="2"/>
        <item m="1" x="25"/>
        <item x="5"/>
        <item x="4"/>
        <item x="9"/>
        <item x="24"/>
        <item x="7"/>
        <item x="17"/>
        <item x="1"/>
        <item x="12"/>
        <item x="8"/>
        <item x="20"/>
        <item x="2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2"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Revenu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A832CA9-701F-44BA-B0F8-6DEB1E7395AF}" name="Table6" displayName="Table6" ref="A1:P100" totalsRowShown="0" headerRowDxfId="33" dataDxfId="32">
  <autoFilter ref="A1:P100" xr:uid="{7A832CA9-701F-44BA-B0F8-6DEB1E7395AF}"/>
  <tableColumns count="16">
    <tableColumn id="1" xr3:uid="{98361605-DE70-4708-B0AB-CC848394ED9B}" name="Order ID">
      <calculatedColumnFormula>"0"&amp;TEXT(RANDBETWEEN(1,100),"000")</calculatedColumnFormula>
    </tableColumn>
    <tableColumn id="2" xr3:uid="{9003C933-F0AE-4027-AC16-E4F299AEA6B9}" name="Date" dataDxfId="31">
      <calculatedColumnFormula>DATE(2025,1,)+RANDBETWEEN(0,64)</calculatedColumnFormula>
    </tableColumn>
    <tableColumn id="3" xr3:uid="{FDB87234-2A5C-4F9F-9135-77BB2435ECA0}" name="Customer ID" dataDxfId="7">
      <calculatedColumnFormula array="1">INDEX(Customers!A:A,RANDBETWEEN(2,20))</calculatedColumnFormula>
    </tableColumn>
    <tableColumn id="4" xr3:uid="{7C1E9647-A6B4-4D63-B775-96A166263D80}" name="Product ID" dataDxfId="6">
      <calculatedColumnFormula array="1">INDEX(Products!A:A,RANDBETWEEN(2,101))</calculatedColumnFormula>
    </tableColumn>
    <tableColumn id="5" xr3:uid="{41D22120-130B-4543-841B-166BAEA34D85}" name="Sales ID" dataDxfId="5">
      <calculatedColumnFormula array="1">INDEX(SalesPerson!A:A,RANDBETWEEN(2,21))</calculatedColumnFormula>
    </tableColumn>
    <tableColumn id="16" xr3:uid="{EB329A39-E5E0-4560-81B2-9E14D866DD37}" name="Customer Name" dataDxfId="1">
      <calculatedColumnFormula>_xlfn.XLOOKUP(C2,Customers!A:A,Customers!B:B)</calculatedColumnFormula>
    </tableColumn>
    <tableColumn id="13" xr3:uid="{DEE8F927-6EC5-4500-877B-710AE73E1C52}" name="Product Name" dataDxfId="3">
      <calculatedColumnFormula>_xlfn.XLOOKUP(D2,Products!A:A,Products!B:B)</calculatedColumnFormula>
    </tableColumn>
    <tableColumn id="18" xr3:uid="{B9192FDB-0EB8-41F0-852C-C25DDB3B52B3}" name="Sales Name" dataDxfId="0">
      <calculatedColumnFormula>_xlfn.XLOOKUP(E2,SalesPerson!A:A,SalesPerson!B:B)</calculatedColumnFormula>
    </tableColumn>
    <tableColumn id="17" xr3:uid="{190CF760-28CB-4208-8523-6B56E56BDC87}" name="Kota" dataDxfId="2">
      <calculatedColumnFormula>_xlfn.XLOOKUP(E2,SalesPerson!A:A,SalesPerson!C:C)</calculatedColumnFormula>
    </tableColumn>
    <tableColumn id="6" xr3:uid="{E54F871F-DAD0-42ED-9855-0C9018C913FC}" name="Qty" dataDxfId="4">
      <calculatedColumnFormula>RANDBETWEEN(1,10)</calculatedColumnFormula>
    </tableColumn>
    <tableColumn id="7" xr3:uid="{5DE57668-0492-41E6-931B-97E155DAB989}" name="Price" dataDxfId="30">
      <calculatedColumnFormula>_xlfn.XLOOKUP(D2,Products!A:A,Products!D:D)</calculatedColumnFormula>
    </tableColumn>
    <tableColumn id="8" xr3:uid="{61B07905-25EE-4399-B736-3883BDDB1D02}" name="Cost" dataDxfId="29">
      <calculatedColumnFormula>_xlfn.XLOOKUP(D2,Products!A:A,Products!E:E)</calculatedColumnFormula>
    </tableColumn>
    <tableColumn id="9" xr3:uid="{232FBD64-ED53-4CF0-8D1D-4B508EF30491}" name="Revenue" dataDxfId="28">
      <calculatedColumnFormula>J2*K2</calculatedColumnFormula>
    </tableColumn>
    <tableColumn id="10" xr3:uid="{646CAADC-49EC-407D-8A75-4A3513756923}" name="Total Cost" dataDxfId="27">
      <calculatedColumnFormula>J2*L2</calculatedColumnFormula>
    </tableColumn>
    <tableColumn id="11" xr3:uid="{62DA7905-3FC4-4855-89B9-0480A85E3E74}" name="Profit" dataDxfId="26">
      <calculatedColumnFormula>M2-N2</calculatedColumnFormula>
    </tableColumn>
    <tableColumn id="15" xr3:uid="{26A0D525-8AB8-4B80-935E-CEEA8D45C2B8}" name="Category" dataDxfId="25">
      <calculatedColumnFormula>_xlfn.XLOOKUP(D2,Products!A:A,Products!C:C)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A0F3DC-AF8A-4DA0-A508-8C884498C8C3}" name="Table2" displayName="Table2" ref="A1:E101" totalsRowShown="0" headerRowDxfId="24" dataDxfId="23">
  <autoFilter ref="A1:E101" xr:uid="{66A0F3DC-AF8A-4DA0-A508-8C884498C8C3}"/>
  <tableColumns count="5">
    <tableColumn id="1" xr3:uid="{21864ED5-8E7A-4DAD-9B1C-F2CBC9C3F2A3}" name="Product ID" dataDxfId="22"/>
    <tableColumn id="2" xr3:uid="{1748D31A-12C8-457C-91B5-2126AE696B12}" name="Product Name" dataDxfId="21"/>
    <tableColumn id="3" xr3:uid="{874BF66C-DA6F-48F3-AD9E-51E1159AC25D}" name="Category" dataDxfId="20"/>
    <tableColumn id="4" xr3:uid="{B2EA11CB-54CE-46AD-A959-6153D7376A80}" name="Price" dataDxfId="19"/>
    <tableColumn id="5" xr3:uid="{82719485-7188-4984-9EB5-F308055594B4}" name="Cost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86965A-AE74-4DF0-97D1-124D06046775}" name="Table3" displayName="Table3" ref="A1:C21" totalsRowShown="0" headerRowDxfId="17" dataDxfId="16">
  <autoFilter ref="A1:C21" xr:uid="{9E86965A-AE74-4DF0-97D1-124D06046775}"/>
  <tableColumns count="3">
    <tableColumn id="1" xr3:uid="{71AE6879-7676-40B6-A4B5-8B441C3F523A}" name="Sales ID" dataDxfId="15"/>
    <tableColumn id="2" xr3:uid="{3C0531F5-D01D-4E45-80C8-2349865D2221}" name="Sales Name" dataDxfId="14"/>
    <tableColumn id="3" xr3:uid="{9023CFB8-CA8F-41DD-87AA-920D71DF2EA7}" name="Region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6A557F-7CD0-48DD-BDFE-BF2AB0D4AF94}" name="Table4" displayName="Table4" ref="A1:C21" totalsRowShown="0" headerRowDxfId="12" dataDxfId="11">
  <autoFilter ref="A1:C21" xr:uid="{E66A557F-7CD0-48DD-BDFE-BF2AB0D4AF94}"/>
  <tableColumns count="3">
    <tableColumn id="1" xr3:uid="{A0D72865-F13C-4ACD-99D2-CC8E6D0E2CDA}" name="Customer ID" dataDxfId="10"/>
    <tableColumn id="2" xr3:uid="{FEC190C5-8C5C-47F0-B10D-D9137B302F89}" name="Customer Name" dataDxfId="9"/>
    <tableColumn id="3" xr3:uid="{E38B344D-AF76-482E-9116-4286A7DAA9EE}" name="City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87C4A-0DD0-4B57-8D4A-0CF7333454A0}">
  <dimension ref="A1:T100"/>
  <sheetViews>
    <sheetView topLeftCell="A8" zoomScaleNormal="100" workbookViewId="0">
      <selection activeCell="G10" sqref="A2:P100"/>
    </sheetView>
  </sheetViews>
  <sheetFormatPr defaultRowHeight="14.4" x14ac:dyDescent="0.3"/>
  <cols>
    <col min="1" max="1" width="9.88671875" customWidth="1"/>
    <col min="2" max="2" width="10.5546875" bestFit="1" customWidth="1"/>
    <col min="3" max="3" width="13.21875" customWidth="1"/>
    <col min="4" max="4" width="11.77734375" customWidth="1"/>
    <col min="5" max="5" width="9.33203125" customWidth="1"/>
    <col min="6" max="6" width="20.5546875" customWidth="1"/>
    <col min="7" max="7" width="20.6640625" customWidth="1"/>
    <col min="8" max="8" width="10.44140625" bestFit="1" customWidth="1"/>
    <col min="9" max="10" width="12.77734375" bestFit="1" customWidth="1"/>
    <col min="11" max="11" width="18.6640625" bestFit="1" customWidth="1"/>
    <col min="12" max="12" width="12.109375" bestFit="1" customWidth="1"/>
    <col min="13" max="13" width="17.6640625" bestFit="1" customWidth="1"/>
    <col min="14" max="14" width="14.88671875" bestFit="1" customWidth="1"/>
    <col min="15" max="15" width="12.5546875" bestFit="1" customWidth="1"/>
    <col min="16" max="16" width="10.44140625" bestFit="1" customWidth="1"/>
    <col min="17" max="17" width="12.5546875" bestFit="1" customWidth="1"/>
    <col min="18" max="18" width="14.88671875" bestFit="1" customWidth="1"/>
    <col min="19" max="19" width="18.6640625" bestFit="1" customWidth="1"/>
    <col min="20" max="20" width="12.109375" bestFit="1" customWidth="1"/>
  </cols>
  <sheetData>
    <row r="1" spans="1:20" ht="28.8" x14ac:dyDescent="0.3">
      <c r="A1" s="1" t="s">
        <v>36</v>
      </c>
      <c r="B1" s="1" t="s">
        <v>37</v>
      </c>
      <c r="C1" s="1" t="s">
        <v>27</v>
      </c>
      <c r="D1" s="1" t="s">
        <v>0</v>
      </c>
      <c r="E1" s="1" t="s">
        <v>15</v>
      </c>
      <c r="F1" s="1" t="s">
        <v>28</v>
      </c>
      <c r="G1" s="1" t="s">
        <v>1</v>
      </c>
      <c r="H1" s="1" t="s">
        <v>176</v>
      </c>
      <c r="I1" s="1" t="s">
        <v>263</v>
      </c>
      <c r="J1" s="1" t="s">
        <v>38</v>
      </c>
      <c r="K1" s="1" t="s">
        <v>3</v>
      </c>
      <c r="L1" s="1" t="s">
        <v>4</v>
      </c>
      <c r="M1" s="1" t="s">
        <v>39</v>
      </c>
      <c r="N1" s="1" t="s">
        <v>40</v>
      </c>
      <c r="O1" s="1" t="s">
        <v>41</v>
      </c>
      <c r="P1" s="1" t="s">
        <v>2</v>
      </c>
    </row>
    <row r="2" spans="1:20" x14ac:dyDescent="0.3">
      <c r="A2" t="str">
        <f ca="1">"0"&amp;TEXT(RANDBETWEEN(1,100),"000")</f>
        <v>0091</v>
      </c>
      <c r="B2" s="15">
        <f t="shared" ref="B2:B33" ca="1" si="0">DATE(2025,1,)+RANDBETWEEN(0,64)</f>
        <v>45666</v>
      </c>
      <c r="C2" s="2" t="str" cm="1">
        <f t="array" aca="1" ref="C2" ca="1">INDEX(Customers!A:A,RANDBETWEEN(2,20))</f>
        <v>C007</v>
      </c>
      <c r="D2" t="str" cm="1">
        <f t="array" aca="1" ref="D2" ca="1">INDEX(Products!A:A,RANDBETWEEN(2,101))</f>
        <v>P076</v>
      </c>
      <c r="E2" t="str" cm="1">
        <f t="array" aca="1" ref="E2" ca="1">INDEX(SalesPerson!A:A,RANDBETWEEN(2,21))</f>
        <v>S016</v>
      </c>
      <c r="F2" t="str">
        <f ca="1">_xlfn.XLOOKUP(C2,Customers!A:A,Customers!B:B)</f>
        <v>PT Mitra Solusi</v>
      </c>
      <c r="G2" t="str">
        <f ca="1">_xlfn.XLOOKUP(D2,Products!A:A,Products!B:B)</f>
        <v>Router TP-Link</v>
      </c>
      <c r="H2" t="str">
        <f ca="1">_xlfn.XLOOKUP(E2,SalesPerson!A:A,SalesPerson!B:B)</f>
        <v>Putra Ramadhan</v>
      </c>
      <c r="I2" t="str">
        <f ca="1">_xlfn.XLOOKUP(E2,SalesPerson!A:A,SalesPerson!C:C)</f>
        <v>Pekanbaru</v>
      </c>
      <c r="J2">
        <f t="shared" ref="J2:J33" ca="1" si="1">RANDBETWEEN(1,10)</f>
        <v>1</v>
      </c>
      <c r="K2" s="2">
        <f ca="1">_xlfn.XLOOKUP(D2,Products!A:A,Products!D:D)</f>
        <v>670000</v>
      </c>
      <c r="L2" s="2">
        <f ca="1">_xlfn.XLOOKUP(D2,Products!A:A,Products!E:E)</f>
        <v>510000</v>
      </c>
      <c r="M2" s="2">
        <f ca="1">J2*K2</f>
        <v>670000</v>
      </c>
      <c r="N2" s="2">
        <f ca="1">J2*L2</f>
        <v>510000</v>
      </c>
      <c r="O2" s="4">
        <f ca="1">M2-N2</f>
        <v>160000</v>
      </c>
      <c r="P2" s="2" t="str">
        <f ca="1">_xlfn.XLOOKUP(D2,Products!A:A,Products!C:C)</f>
        <v>Network</v>
      </c>
    </row>
    <row r="3" spans="1:20" x14ac:dyDescent="0.3">
      <c r="A3" t="str">
        <f t="shared" ref="A3:A66" ca="1" si="2">"0"&amp;TEXT(RANDBETWEEN(1,100),"000")</f>
        <v>0036</v>
      </c>
      <c r="B3" s="3">
        <f t="shared" ca="1" si="0"/>
        <v>45662</v>
      </c>
      <c r="C3" s="2" t="str" cm="1">
        <f t="array" aca="1" ref="C3" ca="1">INDEX(Customers!A:A,RANDBETWEEN(2,20))</f>
        <v>C017</v>
      </c>
      <c r="D3" s="2" t="str" cm="1">
        <f t="array" aca="1" ref="D3" ca="1">INDEX(Products!A:A,RANDBETWEEN(2,101))</f>
        <v>P053</v>
      </c>
      <c r="E3" s="2" t="str" cm="1">
        <f t="array" aca="1" ref="E3" ca="1">INDEX(SalesPerson!A:A,RANDBETWEEN(2,21))</f>
        <v>S017</v>
      </c>
      <c r="F3" s="2" t="str">
        <f ca="1">_xlfn.XLOOKUP(C3,Customers!A:A,Customers!B:B)</f>
        <v>CV Berkah Mandiri</v>
      </c>
      <c r="G3" s="2" t="str">
        <f ca="1">_xlfn.XLOOKUP(D3,Products!A:A,Products!B:B)</f>
        <v>Headset HyperX</v>
      </c>
      <c r="H3" s="2" t="str">
        <f ca="1">_xlfn.XLOOKUP(E3,SalesPerson!A:A,SalesPerson!B:B)</f>
        <v>Qori Amanda</v>
      </c>
      <c r="I3" s="2" t="str">
        <f ca="1">_xlfn.XLOOKUP(E3,SalesPerson!A:A,SalesPerson!C:C)</f>
        <v>Pontianak</v>
      </c>
      <c r="J3" s="2">
        <f t="shared" ca="1" si="1"/>
        <v>5</v>
      </c>
      <c r="K3" s="2">
        <f ca="1">_xlfn.XLOOKUP(D3,Products!A:A,Products!D:D)</f>
        <v>890000</v>
      </c>
      <c r="L3" s="2">
        <f ca="1">_xlfn.XLOOKUP(D3,Products!A:A,Products!E:E)</f>
        <v>690000</v>
      </c>
      <c r="M3" s="2">
        <f t="shared" ref="M3:M34" ca="1" si="3">J3*K3</f>
        <v>4450000</v>
      </c>
      <c r="N3" s="2">
        <f t="shared" ref="N3:N34" ca="1" si="4">J3*L3</f>
        <v>3450000</v>
      </c>
      <c r="O3" s="4">
        <f t="shared" ref="O3:O34" ca="1" si="5">M3-N3</f>
        <v>1000000</v>
      </c>
      <c r="P3" s="2" t="str">
        <f ca="1">_xlfn.XLOOKUP(D3,Products!A:A,Products!C:C)</f>
        <v>Accessories</v>
      </c>
    </row>
    <row r="4" spans="1:20" x14ac:dyDescent="0.3">
      <c r="A4" t="str">
        <f t="shared" ca="1" si="2"/>
        <v>0043</v>
      </c>
      <c r="B4" s="3">
        <f t="shared" ca="1" si="0"/>
        <v>45699</v>
      </c>
      <c r="C4" s="2" t="str" cm="1">
        <f t="array" aca="1" ref="C4" ca="1">INDEX(Customers!A:A,RANDBETWEEN(2,20))</f>
        <v>C007</v>
      </c>
      <c r="D4" s="2" t="str" cm="1">
        <f t="array" aca="1" ref="D4" ca="1">INDEX(Products!A:A,RANDBETWEEN(2,101))</f>
        <v>P088</v>
      </c>
      <c r="E4" s="2" t="str" cm="1">
        <f t="array" aca="1" ref="E4" ca="1">INDEX(SalesPerson!A:A,RANDBETWEEN(2,21))</f>
        <v>S013</v>
      </c>
      <c r="F4" s="2" t="str">
        <f ca="1">_xlfn.XLOOKUP(C4,Customers!A:A,Customers!B:B)</f>
        <v>PT Mitra Solusi</v>
      </c>
      <c r="G4" s="2" t="str">
        <f ca="1">_xlfn.XLOOKUP(D4,Products!A:A,Products!B:B)</f>
        <v>SSD 1TB Kingston</v>
      </c>
      <c r="H4" s="2" t="str">
        <f ca="1">_xlfn.XLOOKUP(E4,SalesPerson!A:A,SalesPerson!B:B)</f>
        <v>Muhammad Rizki</v>
      </c>
      <c r="I4" s="2" t="str">
        <f ca="1">_xlfn.XLOOKUP(E4,SalesPerson!A:A,SalesPerson!C:C)</f>
        <v>Bogor</v>
      </c>
      <c r="J4" s="2">
        <f t="shared" ca="1" si="1"/>
        <v>6</v>
      </c>
      <c r="K4" s="2">
        <f ca="1">_xlfn.XLOOKUP(D4,Products!A:A,Products!D:D)</f>
        <v>1250000</v>
      </c>
      <c r="L4" s="2">
        <f ca="1">_xlfn.XLOOKUP(D4,Products!A:A,Products!E:E)</f>
        <v>980000</v>
      </c>
      <c r="M4" s="2">
        <f t="shared" ca="1" si="3"/>
        <v>7500000</v>
      </c>
      <c r="N4" s="2">
        <f t="shared" ca="1" si="4"/>
        <v>5880000</v>
      </c>
      <c r="O4" s="4">
        <f t="shared" ca="1" si="5"/>
        <v>1620000</v>
      </c>
      <c r="P4" s="18" t="str">
        <f ca="1">_xlfn.XLOOKUP(D4,Products!A:A,Products!C:C)</f>
        <v>Storage</v>
      </c>
      <c r="R4" s="12"/>
      <c r="S4" s="13"/>
      <c r="T4" s="14"/>
    </row>
    <row r="5" spans="1:20" x14ac:dyDescent="0.3">
      <c r="A5" t="str">
        <f t="shared" ca="1" si="2"/>
        <v>0040</v>
      </c>
      <c r="B5" s="3">
        <f t="shared" ca="1" si="0"/>
        <v>45683</v>
      </c>
      <c r="C5" s="2" t="str" cm="1">
        <f t="array" aca="1" ref="C5" ca="1">INDEX(Customers!A:A,RANDBETWEEN(2,20))</f>
        <v>C005</v>
      </c>
      <c r="D5" s="2" t="str" cm="1">
        <f t="array" aca="1" ref="D5" ca="1">INDEX(Products!A:A,RANDBETWEEN(2,101))</f>
        <v>P050</v>
      </c>
      <c r="E5" s="2" t="str" cm="1">
        <f t="array" aca="1" ref="E5" ca="1">INDEX(SalesPerson!A:A,RANDBETWEEN(2,21))</f>
        <v>S009</v>
      </c>
      <c r="F5" s="2" t="str">
        <f ca="1">_xlfn.XLOOKUP(C5,Customers!A:A,Customers!B:B)</f>
        <v>PT Berkah Sejahtera</v>
      </c>
      <c r="G5" s="2" t="str">
        <f ca="1">_xlfn.XLOOKUP(D5,Products!A:A,Products!B:B)</f>
        <v>Flashdisk 64GB</v>
      </c>
      <c r="H5" s="2" t="str">
        <f ca="1">_xlfn.XLOOKUP(E5,SalesPerson!A:A,SalesPerson!B:B)</f>
        <v>Intan Permata</v>
      </c>
      <c r="I5" s="2" t="str">
        <f ca="1">_xlfn.XLOOKUP(E5,SalesPerson!A:A,SalesPerson!C:C)</f>
        <v>Palembang</v>
      </c>
      <c r="J5" s="2">
        <f t="shared" ca="1" si="1"/>
        <v>5</v>
      </c>
      <c r="K5" s="2">
        <f ca="1">_xlfn.XLOOKUP(D5,Products!A:A,Products!D:D)</f>
        <v>120000</v>
      </c>
      <c r="L5" s="2">
        <f ca="1">_xlfn.XLOOKUP(D5,Products!A:A,Products!E:E)</f>
        <v>80000</v>
      </c>
      <c r="M5" s="2">
        <f t="shared" ca="1" si="3"/>
        <v>600000</v>
      </c>
      <c r="N5" s="2">
        <f t="shared" ca="1" si="4"/>
        <v>400000</v>
      </c>
      <c r="O5" s="4">
        <f t="shared" ca="1" si="5"/>
        <v>200000</v>
      </c>
      <c r="P5" s="18" t="str">
        <f ca="1">_xlfn.XLOOKUP(D5,Products!A:A,Products!C:C)</f>
        <v>Storage</v>
      </c>
      <c r="T5" s="10"/>
    </row>
    <row r="6" spans="1:20" x14ac:dyDescent="0.3">
      <c r="A6" t="str">
        <f t="shared" ca="1" si="2"/>
        <v>0063</v>
      </c>
      <c r="B6" s="3">
        <f t="shared" ca="1" si="0"/>
        <v>45662</v>
      </c>
      <c r="C6" s="2" t="str" cm="1">
        <f t="array" aca="1" ref="C6" ca="1">INDEX(Customers!A:A,RANDBETWEEN(2,20))</f>
        <v>C015</v>
      </c>
      <c r="D6" s="2" t="str" cm="1">
        <f t="array" aca="1" ref="D6" ca="1">INDEX(Products!A:A,RANDBETWEEN(2,101))</f>
        <v>P011</v>
      </c>
      <c r="E6" s="2" t="str" cm="1">
        <f t="array" aca="1" ref="E6" ca="1">INDEX(SalesPerson!A:A,RANDBETWEEN(2,21))</f>
        <v>S011</v>
      </c>
      <c r="F6" s="2" t="str">
        <f ca="1">_xlfn.XLOOKUP(C6,Customers!A:A,Customers!B:B)</f>
        <v>PT Sentosa Abadi</v>
      </c>
      <c r="G6" s="2" t="str">
        <f ca="1">_xlfn.XLOOKUP(D6,Products!A:A,Products!B:B)</f>
        <v>Printer Epson L3250</v>
      </c>
      <c r="H6" s="2" t="str">
        <f ca="1">_xlfn.XLOOKUP(E6,SalesPerson!A:A,SalesPerson!B:B)</f>
        <v>Kevin Saputra</v>
      </c>
      <c r="I6" s="2" t="str">
        <f ca="1">_xlfn.XLOOKUP(E6,SalesPerson!A:A,SalesPerson!C:C)</f>
        <v>Tangerang</v>
      </c>
      <c r="J6" s="2">
        <f t="shared" ca="1" si="1"/>
        <v>9</v>
      </c>
      <c r="K6" s="2">
        <f ca="1">_xlfn.XLOOKUP(D6,Products!A:A,Products!D:D)</f>
        <v>2900000</v>
      </c>
      <c r="L6" s="2">
        <f ca="1">_xlfn.XLOOKUP(D6,Products!A:A,Products!E:E)</f>
        <v>2400000</v>
      </c>
      <c r="M6" s="2">
        <f t="shared" ca="1" si="3"/>
        <v>26100000</v>
      </c>
      <c r="N6" s="2">
        <f t="shared" ca="1" si="4"/>
        <v>21600000</v>
      </c>
      <c r="O6" s="4">
        <f t="shared" ca="1" si="5"/>
        <v>4500000</v>
      </c>
      <c r="P6" s="18" t="str">
        <f ca="1">_xlfn.XLOOKUP(D6,Products!A:A,Products!C:C)</f>
        <v>Printer</v>
      </c>
      <c r="Q6" s="8"/>
      <c r="S6" s="9"/>
      <c r="T6" s="11"/>
    </row>
    <row r="7" spans="1:20" x14ac:dyDescent="0.3">
      <c r="A7" t="str">
        <f t="shared" ca="1" si="2"/>
        <v>0068</v>
      </c>
      <c r="B7" s="3">
        <f t="shared" ca="1" si="0"/>
        <v>45706</v>
      </c>
      <c r="C7" s="2" t="str" cm="1">
        <f t="array" aca="1" ref="C7" ca="1">INDEX(Customers!A:A,RANDBETWEEN(2,20))</f>
        <v>C007</v>
      </c>
      <c r="D7" s="2" t="str" cm="1">
        <f t="array" aca="1" ref="D7" ca="1">INDEX(Products!A:A,RANDBETWEEN(2,101))</f>
        <v>P070</v>
      </c>
      <c r="E7" s="2" t="str" cm="1">
        <f t="array" aca="1" ref="E7" ca="1">INDEX(SalesPerson!A:A,RANDBETWEEN(2,21))</f>
        <v>S011</v>
      </c>
      <c r="F7" s="2" t="str">
        <f ca="1">_xlfn.XLOOKUP(C7,Customers!A:A,Customers!B:B)</f>
        <v>PT Mitra Solusi</v>
      </c>
      <c r="G7" s="2" t="str">
        <f ca="1">_xlfn.XLOOKUP(D7,Products!A:A,Products!B:B)</f>
        <v>Flashdisk 64GB</v>
      </c>
      <c r="H7" s="2" t="str">
        <f ca="1">_xlfn.XLOOKUP(E7,SalesPerson!A:A,SalesPerson!B:B)</f>
        <v>Kevin Saputra</v>
      </c>
      <c r="I7" s="2" t="str">
        <f ca="1">_xlfn.XLOOKUP(E7,SalesPerson!A:A,SalesPerson!C:C)</f>
        <v>Tangerang</v>
      </c>
      <c r="J7" s="2">
        <f t="shared" ca="1" si="1"/>
        <v>4</v>
      </c>
      <c r="K7" s="2">
        <f ca="1">_xlfn.XLOOKUP(D7,Products!A:A,Products!D:D)</f>
        <v>120000</v>
      </c>
      <c r="L7" s="2">
        <f ca="1">_xlfn.XLOOKUP(D7,Products!A:A,Products!E:E)</f>
        <v>80000</v>
      </c>
      <c r="M7" s="2">
        <f t="shared" ca="1" si="3"/>
        <v>480000</v>
      </c>
      <c r="N7" s="2">
        <f t="shared" ca="1" si="4"/>
        <v>320000</v>
      </c>
      <c r="O7" s="4">
        <f t="shared" ca="1" si="5"/>
        <v>160000</v>
      </c>
      <c r="P7" s="2" t="str">
        <f ca="1">_xlfn.XLOOKUP(D7,Products!A:A,Products!C:C)</f>
        <v>Storage</v>
      </c>
      <c r="Q7" s="8"/>
    </row>
    <row r="8" spans="1:20" x14ac:dyDescent="0.3">
      <c r="A8" t="str">
        <f t="shared" ca="1" si="2"/>
        <v>0002</v>
      </c>
      <c r="B8" s="3">
        <f t="shared" ca="1" si="0"/>
        <v>45708</v>
      </c>
      <c r="C8" s="2" t="str" cm="1">
        <f t="array" aca="1" ref="C8" ca="1">INDEX(Customers!A:A,RANDBETWEEN(2,20))</f>
        <v>C002</v>
      </c>
      <c r="D8" s="2" t="str" cm="1">
        <f t="array" aca="1" ref="D8" ca="1">INDEX(Products!A:A,RANDBETWEEN(2,101))</f>
        <v>P039</v>
      </c>
      <c r="E8" s="2" t="str" cm="1">
        <f t="array" aca="1" ref="E8" ca="1">INDEX(SalesPerson!A:A,RANDBETWEEN(2,21))</f>
        <v>S005</v>
      </c>
      <c r="F8" s="2" t="str">
        <f ca="1">_xlfn.XLOOKUP(C8,Customers!A:A,Customers!B:B)</f>
        <v>PT Nusantara Abadi</v>
      </c>
      <c r="G8" s="2" t="str">
        <f ca="1">_xlfn.XLOOKUP(D8,Products!A:A,Products!B:B)</f>
        <v>HDMI Cable</v>
      </c>
      <c r="H8" s="2" t="str">
        <f ca="1">_xlfn.XLOOKUP(E8,SalesPerson!A:A,SalesPerson!B:B)</f>
        <v>Eka Putri</v>
      </c>
      <c r="I8" s="2" t="str">
        <f ca="1">_xlfn.XLOOKUP(E8,SalesPerson!A:A,SalesPerson!C:C)</f>
        <v>Makassar</v>
      </c>
      <c r="J8" s="2">
        <f t="shared" ca="1" si="1"/>
        <v>3</v>
      </c>
      <c r="K8" s="2">
        <f ca="1">_xlfn.XLOOKUP(D8,Products!A:A,Products!D:D)</f>
        <v>90000</v>
      </c>
      <c r="L8" s="2">
        <f ca="1">_xlfn.XLOOKUP(D8,Products!A:A,Products!E:E)</f>
        <v>50000</v>
      </c>
      <c r="M8" s="2">
        <f t="shared" ca="1" si="3"/>
        <v>270000</v>
      </c>
      <c r="N8" s="2">
        <f t="shared" ca="1" si="4"/>
        <v>150000</v>
      </c>
      <c r="O8" s="4">
        <f t="shared" ca="1" si="5"/>
        <v>120000</v>
      </c>
      <c r="P8" s="2" t="str">
        <f ca="1">_xlfn.XLOOKUP(D8,Products!A:A,Products!C:C)</f>
        <v>Accessories</v>
      </c>
      <c r="Q8" s="8"/>
    </row>
    <row r="9" spans="1:20" x14ac:dyDescent="0.3">
      <c r="A9" t="str">
        <f t="shared" ca="1" si="2"/>
        <v>0047</v>
      </c>
      <c r="B9" s="3">
        <f t="shared" ca="1" si="0"/>
        <v>45662</v>
      </c>
      <c r="C9" s="2" t="str" cm="1">
        <f t="array" aca="1" ref="C9" ca="1">INDEX(Customers!A:A,RANDBETWEEN(2,20))</f>
        <v>C001</v>
      </c>
      <c r="D9" s="2" t="str" cm="1">
        <f t="array" aca="1" ref="D9" ca="1">INDEX(Products!A:A,RANDBETWEEN(2,101))</f>
        <v>P031</v>
      </c>
      <c r="E9" s="2" t="str" cm="1">
        <f t="array" aca="1" ref="E9" ca="1">INDEX(SalesPerson!A:A,RANDBETWEEN(2,21))</f>
        <v>S011</v>
      </c>
      <c r="F9" s="2" t="str">
        <f ca="1">_xlfn.XLOOKUP(C9,Customers!A:A,Customers!B:B)</f>
        <v>PT Maju Jaya</v>
      </c>
      <c r="G9" s="2" t="str">
        <f ca="1">_xlfn.XLOOKUP(D9,Products!A:A,Products!B:B)</f>
        <v>Printer Epson L3251</v>
      </c>
      <c r="H9" s="2" t="str">
        <f ca="1">_xlfn.XLOOKUP(E9,SalesPerson!A:A,SalesPerson!B:B)</f>
        <v>Kevin Saputra</v>
      </c>
      <c r="I9" s="2" t="str">
        <f ca="1">_xlfn.XLOOKUP(E9,SalesPerson!A:A,SalesPerson!C:C)</f>
        <v>Tangerang</v>
      </c>
      <c r="J9" s="2">
        <f t="shared" ca="1" si="1"/>
        <v>9</v>
      </c>
      <c r="K9" s="2">
        <f ca="1">_xlfn.XLOOKUP(D9,Products!A:A,Products!D:D)</f>
        <v>2900000</v>
      </c>
      <c r="L9" s="2">
        <f ca="1">_xlfn.XLOOKUP(D9,Products!A:A,Products!E:E)</f>
        <v>2400000</v>
      </c>
      <c r="M9" s="2">
        <f t="shared" ca="1" si="3"/>
        <v>26100000</v>
      </c>
      <c r="N9" s="2">
        <f t="shared" ca="1" si="4"/>
        <v>21600000</v>
      </c>
      <c r="O9" s="4">
        <f t="shared" ca="1" si="5"/>
        <v>4500000</v>
      </c>
      <c r="P9" s="2" t="str">
        <f ca="1">_xlfn.XLOOKUP(D9,Products!A:A,Products!C:C)</f>
        <v>Printer</v>
      </c>
    </row>
    <row r="10" spans="1:20" x14ac:dyDescent="0.3">
      <c r="A10" t="str">
        <f t="shared" ca="1" si="2"/>
        <v>0027</v>
      </c>
      <c r="B10" s="3">
        <f t="shared" ca="1" si="0"/>
        <v>45689</v>
      </c>
      <c r="C10" s="2" t="str" cm="1">
        <f t="array" aca="1" ref="C10" ca="1">INDEX(Customers!A:A,RANDBETWEEN(2,20))</f>
        <v>C013</v>
      </c>
      <c r="D10" s="2" t="str" cm="1">
        <f t="array" aca="1" ref="D10" ca="1">INDEX(Products!A:A,RANDBETWEEN(2,101))</f>
        <v>P057</v>
      </c>
      <c r="E10" s="2" t="str" cm="1">
        <f t="array" aca="1" ref="E10" ca="1">INDEX(SalesPerson!A:A,RANDBETWEEN(2,21))</f>
        <v>S009</v>
      </c>
      <c r="F10" s="2" t="str">
        <f ca="1">_xlfn.XLOOKUP(C10,Customers!A:A,Customers!B:B)</f>
        <v>PT Prima Teknologi</v>
      </c>
      <c r="G10" s="2" t="str">
        <f ca="1">_xlfn.XLOOKUP(D10,Products!A:A,Products!B:B)</f>
        <v>External HDD 2TB</v>
      </c>
      <c r="H10" s="2" t="str">
        <f ca="1">_xlfn.XLOOKUP(E10,SalesPerson!A:A,SalesPerson!B:B)</f>
        <v>Intan Permata</v>
      </c>
      <c r="I10" s="2" t="str">
        <f ca="1">_xlfn.XLOOKUP(E10,SalesPerson!A:A,SalesPerson!C:C)</f>
        <v>Palembang</v>
      </c>
      <c r="J10" s="2">
        <f t="shared" ca="1" si="1"/>
        <v>9</v>
      </c>
      <c r="K10" s="2">
        <f ca="1">_xlfn.XLOOKUP(D10,Products!A:A,Products!D:D)</f>
        <v>1650000</v>
      </c>
      <c r="L10" s="2">
        <f ca="1">_xlfn.XLOOKUP(D10,Products!A:A,Products!E:E)</f>
        <v>1350000</v>
      </c>
      <c r="M10" s="2">
        <f t="shared" ca="1" si="3"/>
        <v>14850000</v>
      </c>
      <c r="N10" s="2">
        <f t="shared" ca="1" si="4"/>
        <v>12150000</v>
      </c>
      <c r="O10" s="4">
        <f t="shared" ca="1" si="5"/>
        <v>2700000</v>
      </c>
      <c r="P10" s="2" t="str">
        <f ca="1">_xlfn.XLOOKUP(D10,Products!A:A,Products!C:C)</f>
        <v>Storage</v>
      </c>
    </row>
    <row r="11" spans="1:20" x14ac:dyDescent="0.3">
      <c r="A11" t="str">
        <f t="shared" ca="1" si="2"/>
        <v>0051</v>
      </c>
      <c r="B11" s="3">
        <f t="shared" ca="1" si="0"/>
        <v>45684</v>
      </c>
      <c r="C11" s="2" t="str" cm="1">
        <f t="array" aca="1" ref="C11" ca="1">INDEX(Customers!A:A,RANDBETWEEN(2,20))</f>
        <v>C018</v>
      </c>
      <c r="D11" s="2" t="str" cm="1">
        <f t="array" aca="1" ref="D11" ca="1">INDEX(Products!A:A,RANDBETWEEN(2,101))</f>
        <v>P054</v>
      </c>
      <c r="E11" s="2" t="str" cm="1">
        <f t="array" aca="1" ref="E11" ca="1">INDEX(SalesPerson!A:A,RANDBETWEEN(2,21))</f>
        <v>S011</v>
      </c>
      <c r="F11" s="2" t="str">
        <f ca="1">_xlfn.XLOOKUP(C11,Customers!A:A,Customers!B:B)</f>
        <v>PT Indo Retail</v>
      </c>
      <c r="G11" s="2" t="str">
        <f ca="1">_xlfn.XLOOKUP(D11,Products!A:A,Products!B:B)</f>
        <v>Speaker Logitech</v>
      </c>
      <c r="H11" s="2" t="str">
        <f ca="1">_xlfn.XLOOKUP(E11,SalesPerson!A:A,SalesPerson!B:B)</f>
        <v>Kevin Saputra</v>
      </c>
      <c r="I11" s="2" t="str">
        <f ca="1">_xlfn.XLOOKUP(E11,SalesPerson!A:A,SalesPerson!C:C)</f>
        <v>Tangerang</v>
      </c>
      <c r="J11" s="2">
        <f t="shared" ca="1" si="1"/>
        <v>3</v>
      </c>
      <c r="K11" s="2">
        <f ca="1">_xlfn.XLOOKUP(D11,Products!A:A,Products!D:D)</f>
        <v>780000</v>
      </c>
      <c r="L11" s="2">
        <f ca="1">_xlfn.XLOOKUP(D11,Products!A:A,Products!E:E)</f>
        <v>590000</v>
      </c>
      <c r="M11" s="2">
        <f t="shared" ca="1" si="3"/>
        <v>2340000</v>
      </c>
      <c r="N11" s="2">
        <f t="shared" ca="1" si="4"/>
        <v>1770000</v>
      </c>
      <c r="O11" s="4">
        <f t="shared" ca="1" si="5"/>
        <v>570000</v>
      </c>
      <c r="P11" s="2" t="str">
        <f ca="1">_xlfn.XLOOKUP(D11,Products!A:A,Products!C:C)</f>
        <v>Audio</v>
      </c>
    </row>
    <row r="12" spans="1:20" x14ac:dyDescent="0.3">
      <c r="A12" t="str">
        <f t="shared" ca="1" si="2"/>
        <v>0065</v>
      </c>
      <c r="B12" s="3">
        <f t="shared" ca="1" si="0"/>
        <v>45683</v>
      </c>
      <c r="C12" s="2" t="str" cm="1">
        <f t="array" aca="1" ref="C12" ca="1">INDEX(Customers!A:A,RANDBETWEEN(2,20))</f>
        <v>C011</v>
      </c>
      <c r="D12" s="2" t="str" cm="1">
        <f t="array" aca="1" ref="D12" ca="1">INDEX(Products!A:A,RANDBETWEEN(2,101))</f>
        <v>P070</v>
      </c>
      <c r="E12" s="2" t="str" cm="1">
        <f t="array" aca="1" ref="E12" ca="1">INDEX(SalesPerson!A:A,RANDBETWEEN(2,21))</f>
        <v>S017</v>
      </c>
      <c r="F12" s="2" t="str">
        <f ca="1">_xlfn.XLOOKUP(C12,Customers!A:A,Customers!B:B)</f>
        <v>CV Karya Mandiri</v>
      </c>
      <c r="G12" s="2" t="str">
        <f ca="1">_xlfn.XLOOKUP(D12,Products!A:A,Products!B:B)</f>
        <v>Flashdisk 64GB</v>
      </c>
      <c r="H12" s="2" t="str">
        <f ca="1">_xlfn.XLOOKUP(E12,SalesPerson!A:A,SalesPerson!B:B)</f>
        <v>Qori Amanda</v>
      </c>
      <c r="I12" s="2" t="str">
        <f ca="1">_xlfn.XLOOKUP(E12,SalesPerson!A:A,SalesPerson!C:C)</f>
        <v>Pontianak</v>
      </c>
      <c r="J12" s="2">
        <f t="shared" ca="1" si="1"/>
        <v>10</v>
      </c>
      <c r="K12" s="2">
        <f ca="1">_xlfn.XLOOKUP(D12,Products!A:A,Products!D:D)</f>
        <v>120000</v>
      </c>
      <c r="L12" s="2">
        <f ca="1">_xlfn.XLOOKUP(D12,Products!A:A,Products!E:E)</f>
        <v>80000</v>
      </c>
      <c r="M12" s="2">
        <f t="shared" ca="1" si="3"/>
        <v>1200000</v>
      </c>
      <c r="N12" s="2">
        <f t="shared" ca="1" si="4"/>
        <v>800000</v>
      </c>
      <c r="O12" s="4">
        <f t="shared" ca="1" si="5"/>
        <v>400000</v>
      </c>
      <c r="P12" s="2" t="str">
        <f ca="1">_xlfn.XLOOKUP(D12,Products!A:A,Products!C:C)</f>
        <v>Storage</v>
      </c>
    </row>
    <row r="13" spans="1:20" x14ac:dyDescent="0.3">
      <c r="A13" t="str">
        <f t="shared" ca="1" si="2"/>
        <v>0086</v>
      </c>
      <c r="B13" s="3">
        <f t="shared" ca="1" si="0"/>
        <v>45684</v>
      </c>
      <c r="C13" s="2" t="str" cm="1">
        <f t="array" aca="1" ref="C13" ca="1">INDEX(Customers!A:A,RANDBETWEEN(2,20))</f>
        <v>C015</v>
      </c>
      <c r="D13" s="2" t="str" cm="1">
        <f t="array" aca="1" ref="D13" ca="1">INDEX(Products!A:A,RANDBETWEEN(2,101))</f>
        <v>P017</v>
      </c>
      <c r="E13" s="2" t="str" cm="1">
        <f t="array" aca="1" ref="E13" ca="1">INDEX(SalesPerson!A:A,RANDBETWEEN(2,21))</f>
        <v>S019</v>
      </c>
      <c r="F13" s="2" t="str">
        <f ca="1">_xlfn.XLOOKUP(C13,Customers!A:A,Customers!B:B)</f>
        <v>PT Sentosa Abadi</v>
      </c>
      <c r="G13" s="2" t="str">
        <f ca="1">_xlfn.XLOOKUP(D13,Products!A:A,Products!B:B)</f>
        <v>External HDD 2TB</v>
      </c>
      <c r="H13" s="2" t="str">
        <f ca="1">_xlfn.XLOOKUP(E13,SalesPerson!A:A,SalesPerson!B:B)</f>
        <v>Sinta Maharani</v>
      </c>
      <c r="I13" s="2" t="str">
        <f ca="1">_xlfn.XLOOKUP(E13,SalesPerson!A:A,SalesPerson!C:C)</f>
        <v>Solo</v>
      </c>
      <c r="J13" s="2">
        <f t="shared" ca="1" si="1"/>
        <v>10</v>
      </c>
      <c r="K13" s="2">
        <f ca="1">_xlfn.XLOOKUP(D13,Products!A:A,Products!D:D)</f>
        <v>1650000</v>
      </c>
      <c r="L13" s="2">
        <f ca="1">_xlfn.XLOOKUP(D13,Products!A:A,Products!E:E)</f>
        <v>1350000</v>
      </c>
      <c r="M13" s="2">
        <f t="shared" ca="1" si="3"/>
        <v>16500000</v>
      </c>
      <c r="N13" s="2">
        <f t="shared" ca="1" si="4"/>
        <v>13500000</v>
      </c>
      <c r="O13" s="4">
        <f t="shared" ca="1" si="5"/>
        <v>3000000</v>
      </c>
      <c r="P13" s="2" t="str">
        <f ca="1">_xlfn.XLOOKUP(D13,Products!A:A,Products!C:C)</f>
        <v>Storage</v>
      </c>
    </row>
    <row r="14" spans="1:20" x14ac:dyDescent="0.3">
      <c r="A14" t="str">
        <f t="shared" ca="1" si="2"/>
        <v>0077</v>
      </c>
      <c r="B14" s="3">
        <f t="shared" ca="1" si="0"/>
        <v>45717</v>
      </c>
      <c r="C14" s="2" t="str" cm="1">
        <f t="array" aca="1" ref="C14" ca="1">INDEX(Customers!A:A,RANDBETWEEN(2,20))</f>
        <v>C011</v>
      </c>
      <c r="D14" s="2" t="str" cm="1">
        <f t="array" aca="1" ref="D14" ca="1">INDEX(Products!A:A,RANDBETWEEN(2,101))</f>
        <v>P074</v>
      </c>
      <c r="E14" s="2" t="str" cm="1">
        <f t="array" aca="1" ref="E14" ca="1">INDEX(SalesPerson!A:A,RANDBETWEEN(2,21))</f>
        <v>S009</v>
      </c>
      <c r="F14" s="2" t="str">
        <f ca="1">_xlfn.XLOOKUP(C14,Customers!A:A,Customers!B:B)</f>
        <v>CV Karya Mandiri</v>
      </c>
      <c r="G14" s="2" t="str">
        <f ca="1">_xlfn.XLOOKUP(D14,Products!A:A,Products!B:B)</f>
        <v>Speaker Logitech</v>
      </c>
      <c r="H14" s="2" t="str">
        <f ca="1">_xlfn.XLOOKUP(E14,SalesPerson!A:A,SalesPerson!B:B)</f>
        <v>Intan Permata</v>
      </c>
      <c r="I14" s="2" t="str">
        <f ca="1">_xlfn.XLOOKUP(E14,SalesPerson!A:A,SalesPerson!C:C)</f>
        <v>Palembang</v>
      </c>
      <c r="J14" s="2">
        <f t="shared" ca="1" si="1"/>
        <v>4</v>
      </c>
      <c r="K14" s="2">
        <f ca="1">_xlfn.XLOOKUP(D14,Products!A:A,Products!D:D)</f>
        <v>780000</v>
      </c>
      <c r="L14" s="2">
        <f ca="1">_xlfn.XLOOKUP(D14,Products!A:A,Products!E:E)</f>
        <v>590000</v>
      </c>
      <c r="M14" s="2">
        <f t="shared" ca="1" si="3"/>
        <v>3120000</v>
      </c>
      <c r="N14" s="2">
        <f t="shared" ca="1" si="4"/>
        <v>2360000</v>
      </c>
      <c r="O14" s="4">
        <f t="shared" ca="1" si="5"/>
        <v>760000</v>
      </c>
      <c r="P14" s="2" t="str">
        <f ca="1">_xlfn.XLOOKUP(D14,Products!A:A,Products!C:C)</f>
        <v>Audio</v>
      </c>
    </row>
    <row r="15" spans="1:20" x14ac:dyDescent="0.3">
      <c r="A15" t="str">
        <f t="shared" ca="1" si="2"/>
        <v>0061</v>
      </c>
      <c r="B15" s="3">
        <f t="shared" ca="1" si="0"/>
        <v>45703</v>
      </c>
      <c r="C15" s="2" t="str" cm="1">
        <f t="array" aca="1" ref="C15" ca="1">INDEX(Customers!A:A,RANDBETWEEN(2,20))</f>
        <v>C018</v>
      </c>
      <c r="D15" s="2" t="str" cm="1">
        <f t="array" aca="1" ref="D15" ca="1">INDEX(Products!A:A,RANDBETWEEN(2,101))</f>
        <v>P015</v>
      </c>
      <c r="E15" s="2" t="str" cm="1">
        <f t="array" aca="1" ref="E15" ca="1">INDEX(SalesPerson!A:A,RANDBETWEEN(2,21))</f>
        <v>S010</v>
      </c>
      <c r="F15" s="2" t="str">
        <f ca="1">_xlfn.XLOOKUP(C15,Customers!A:A,Customers!B:B)</f>
        <v>PT Indo Retail</v>
      </c>
      <c r="G15" s="2" t="str">
        <f ca="1">_xlfn.XLOOKUP(D15,Products!A:A,Products!B:B)</f>
        <v>UPS APC 650VA</v>
      </c>
      <c r="H15" s="2" t="str">
        <f ca="1">_xlfn.XLOOKUP(E15,SalesPerson!A:A,SalesPerson!B:B)</f>
        <v>Joko Susilo</v>
      </c>
      <c r="I15" s="2" t="str">
        <f ca="1">_xlfn.XLOOKUP(E15,SalesPerson!A:A,SalesPerson!C:C)</f>
        <v>Bekasi</v>
      </c>
      <c r="J15" s="2">
        <f t="shared" ca="1" si="1"/>
        <v>10</v>
      </c>
      <c r="K15" s="2">
        <f ca="1">_xlfn.XLOOKUP(D15,Products!A:A,Products!D:D)</f>
        <v>950000</v>
      </c>
      <c r="L15" s="2">
        <f ca="1">_xlfn.XLOOKUP(D15,Products!A:A,Products!E:E)</f>
        <v>760000</v>
      </c>
      <c r="M15" s="2">
        <f t="shared" ca="1" si="3"/>
        <v>9500000</v>
      </c>
      <c r="N15" s="2">
        <f t="shared" ca="1" si="4"/>
        <v>7600000</v>
      </c>
      <c r="O15" s="4">
        <f t="shared" ca="1" si="5"/>
        <v>1900000</v>
      </c>
      <c r="P15" s="2" t="str">
        <f ca="1">_xlfn.XLOOKUP(D15,Products!A:A,Products!C:C)</f>
        <v>Power</v>
      </c>
    </row>
    <row r="16" spans="1:20" x14ac:dyDescent="0.3">
      <c r="A16" t="str">
        <f t="shared" ca="1" si="2"/>
        <v>0027</v>
      </c>
      <c r="B16" s="3">
        <f t="shared" ca="1" si="0"/>
        <v>45703</v>
      </c>
      <c r="C16" s="2" t="str" cm="1">
        <f t="array" aca="1" ref="C16" ca="1">INDEX(Customers!A:A,RANDBETWEEN(2,20))</f>
        <v>C003</v>
      </c>
      <c r="D16" s="2" t="str" cm="1">
        <f t="array" aca="1" ref="D16" ca="1">INDEX(Products!A:A,RANDBETWEEN(2,101))</f>
        <v>P075</v>
      </c>
      <c r="E16" s="2" t="str" cm="1">
        <f t="array" aca="1" ref="E16" ca="1">INDEX(SalesPerson!A:A,RANDBETWEEN(2,21))</f>
        <v>S012</v>
      </c>
      <c r="F16" s="2" t="str">
        <f ca="1">_xlfn.XLOOKUP(C16,Customers!A:A,Customers!B:B)</f>
        <v>CV Sinar Teknologi</v>
      </c>
      <c r="G16" s="2" t="str">
        <f ca="1">_xlfn.XLOOKUP(D16,Products!A:A,Products!B:B)</f>
        <v>UPS APC 650VA</v>
      </c>
      <c r="H16" s="2" t="str">
        <f ca="1">_xlfn.XLOOKUP(E16,SalesPerson!A:A,SalesPerson!B:B)</f>
        <v>Lestari Wulandari</v>
      </c>
      <c r="I16" s="2" t="str">
        <f ca="1">_xlfn.XLOOKUP(E16,SalesPerson!A:A,SalesPerson!C:C)</f>
        <v>Depok</v>
      </c>
      <c r="J16" s="2">
        <f t="shared" ca="1" si="1"/>
        <v>8</v>
      </c>
      <c r="K16" s="2">
        <f ca="1">_xlfn.XLOOKUP(D16,Products!A:A,Products!D:D)</f>
        <v>950000</v>
      </c>
      <c r="L16" s="2">
        <f ca="1">_xlfn.XLOOKUP(D16,Products!A:A,Products!E:E)</f>
        <v>760000</v>
      </c>
      <c r="M16" s="2">
        <f t="shared" ca="1" si="3"/>
        <v>7600000</v>
      </c>
      <c r="N16" s="2">
        <f t="shared" ca="1" si="4"/>
        <v>6080000</v>
      </c>
      <c r="O16" s="4">
        <f t="shared" ca="1" si="5"/>
        <v>1520000</v>
      </c>
      <c r="P16" s="2" t="str">
        <f ca="1">_xlfn.XLOOKUP(D16,Products!A:A,Products!C:C)</f>
        <v>Power</v>
      </c>
    </row>
    <row r="17" spans="1:16" ht="28.8" x14ac:dyDescent="0.3">
      <c r="A17" t="str">
        <f t="shared" ca="1" si="2"/>
        <v>0062</v>
      </c>
      <c r="B17" s="3">
        <f t="shared" ca="1" si="0"/>
        <v>45669</v>
      </c>
      <c r="C17" s="2" t="str" cm="1">
        <f t="array" aca="1" ref="C17" ca="1">INDEX(Customers!A:A,RANDBETWEEN(2,20))</f>
        <v>C019</v>
      </c>
      <c r="D17" s="2" t="str" cm="1">
        <f t="array" aca="1" ref="D17" ca="1">INDEX(Products!A:A,RANDBETWEEN(2,101))</f>
        <v>P080</v>
      </c>
      <c r="E17" s="2" t="str" cm="1">
        <f t="array" aca="1" ref="E17" ca="1">INDEX(SalesPerson!A:A,RANDBETWEEN(2,21))</f>
        <v>S002</v>
      </c>
      <c r="F17" s="2" t="str">
        <f ca="1">_xlfn.XLOOKUP(C17,Customers!A:A,Customers!B:B)</f>
        <v>PT Harapan Baru</v>
      </c>
      <c r="G17" s="2" t="str">
        <f ca="1">_xlfn.XLOOKUP(D17,Products!A:A,Products!B:B)</f>
        <v>USB Hub 4 Port</v>
      </c>
      <c r="H17" s="2" t="str">
        <f ca="1">_xlfn.XLOOKUP(E17,SalesPerson!A:A,SalesPerson!B:B)</f>
        <v>Budi Santoso</v>
      </c>
      <c r="I17" s="2" t="str">
        <f ca="1">_xlfn.XLOOKUP(E17,SalesPerson!A:A,SalesPerson!C:C)</f>
        <v>Bandung</v>
      </c>
      <c r="J17" s="2">
        <f t="shared" ca="1" si="1"/>
        <v>8</v>
      </c>
      <c r="K17" s="2">
        <f ca="1">_xlfn.XLOOKUP(D17,Products!A:A,Products!D:D)</f>
        <v>150000</v>
      </c>
      <c r="L17" s="2">
        <f ca="1">_xlfn.XLOOKUP(D17,Products!A:A,Products!E:E)</f>
        <v>90000</v>
      </c>
      <c r="M17" s="2">
        <f t="shared" ca="1" si="3"/>
        <v>1200000</v>
      </c>
      <c r="N17" s="2">
        <f t="shared" ca="1" si="4"/>
        <v>720000</v>
      </c>
      <c r="O17" s="4">
        <f t="shared" ca="1" si="5"/>
        <v>480000</v>
      </c>
      <c r="P17" s="2" t="str">
        <f ca="1">_xlfn.XLOOKUP(D17,Products!A:A,Products!C:C)</f>
        <v>Accessories</v>
      </c>
    </row>
    <row r="18" spans="1:16" x14ac:dyDescent="0.3">
      <c r="A18" t="str">
        <f t="shared" ca="1" si="2"/>
        <v>0098</v>
      </c>
      <c r="B18" s="3">
        <f t="shared" ca="1" si="0"/>
        <v>45684</v>
      </c>
      <c r="C18" s="2" t="str" cm="1">
        <f t="array" aca="1" ref="C18" ca="1">INDEX(Customers!A:A,RANDBETWEEN(2,20))</f>
        <v>C008</v>
      </c>
      <c r="D18" s="2" t="str" cm="1">
        <f t="array" aca="1" ref="D18" ca="1">INDEX(Products!A:A,RANDBETWEEN(2,101))</f>
        <v>P004</v>
      </c>
      <c r="E18" s="2" t="str" cm="1">
        <f t="array" aca="1" ref="E18" ca="1">INDEX(SalesPerson!A:A,RANDBETWEEN(2,21))</f>
        <v>S016</v>
      </c>
      <c r="F18" s="2" t="str">
        <f ca="1">_xlfn.XLOOKUP(C18,Customers!A:A,Customers!B:B)</f>
        <v>PT Cahaya Abadi</v>
      </c>
      <c r="G18" s="2" t="str">
        <f ca="1">_xlfn.XLOOKUP(D18,Products!A:A,Products!B:B)</f>
        <v>Monitor LG 24"</v>
      </c>
      <c r="H18" s="2" t="str">
        <f ca="1">_xlfn.XLOOKUP(E18,SalesPerson!A:A,SalesPerson!B:B)</f>
        <v>Putra Ramadhan</v>
      </c>
      <c r="I18" s="2" t="str">
        <f ca="1">_xlfn.XLOOKUP(E18,SalesPerson!A:A,SalesPerson!C:C)</f>
        <v>Pekanbaru</v>
      </c>
      <c r="J18" s="2">
        <f t="shared" ca="1" si="1"/>
        <v>6</v>
      </c>
      <c r="K18" s="2">
        <f ca="1">_xlfn.XLOOKUP(D18,Products!A:A,Products!D:D)</f>
        <v>2100000</v>
      </c>
      <c r="L18" s="2">
        <f ca="1">_xlfn.XLOOKUP(D18,Products!A:A,Products!E:E)</f>
        <v>1700000</v>
      </c>
      <c r="M18" s="2">
        <f t="shared" ca="1" si="3"/>
        <v>12600000</v>
      </c>
      <c r="N18" s="2">
        <f t="shared" ca="1" si="4"/>
        <v>10200000</v>
      </c>
      <c r="O18" s="4">
        <f t="shared" ca="1" si="5"/>
        <v>2400000</v>
      </c>
      <c r="P18" s="2" t="str">
        <f ca="1">_xlfn.XLOOKUP(D18,Products!A:A,Products!C:C)</f>
        <v>Monitor</v>
      </c>
    </row>
    <row r="19" spans="1:16" x14ac:dyDescent="0.3">
      <c r="A19" t="str">
        <f t="shared" ca="1" si="2"/>
        <v>0032</v>
      </c>
      <c r="B19" s="3">
        <f t="shared" ca="1" si="0"/>
        <v>45659</v>
      </c>
      <c r="C19" s="2" t="str" cm="1">
        <f t="array" aca="1" ref="C19" ca="1">INDEX(Customers!A:A,RANDBETWEEN(2,20))</f>
        <v>C005</v>
      </c>
      <c r="D19" s="2" t="str" cm="1">
        <f t="array" aca="1" ref="D19" ca="1">INDEX(Products!A:A,RANDBETWEEN(2,101))</f>
        <v>P094</v>
      </c>
      <c r="E19" s="2" t="str" cm="1">
        <f t="array" aca="1" ref="E19" ca="1">INDEX(SalesPerson!A:A,RANDBETWEEN(2,21))</f>
        <v>S008</v>
      </c>
      <c r="F19" s="2" t="str">
        <f ca="1">_xlfn.XLOOKUP(C19,Customers!A:A,Customers!B:B)</f>
        <v>PT Berkah Sejahtera</v>
      </c>
      <c r="G19" s="2" t="str">
        <f ca="1">_xlfn.XLOOKUP(D19,Products!A:A,Products!B:B)</f>
        <v>Speaker Logitech</v>
      </c>
      <c r="H19" s="2" t="str">
        <f ca="1">_xlfn.XLOOKUP(E19,SalesPerson!A:A,SalesPerson!B:B)</f>
        <v>Hendra Wijaya</v>
      </c>
      <c r="I19" s="2" t="str">
        <f ca="1">_xlfn.XLOOKUP(E19,SalesPerson!A:A,SalesPerson!C:C)</f>
        <v>Bali</v>
      </c>
      <c r="J19" s="2">
        <f t="shared" ca="1" si="1"/>
        <v>4</v>
      </c>
      <c r="K19" s="2">
        <f ca="1">_xlfn.XLOOKUP(D19,Products!A:A,Products!D:D)</f>
        <v>780000</v>
      </c>
      <c r="L19" s="2">
        <f ca="1">_xlfn.XLOOKUP(D19,Products!A:A,Products!E:E)</f>
        <v>590000</v>
      </c>
      <c r="M19" s="2">
        <f t="shared" ca="1" si="3"/>
        <v>3120000</v>
      </c>
      <c r="N19" s="2">
        <f t="shared" ca="1" si="4"/>
        <v>2360000</v>
      </c>
      <c r="O19" s="4">
        <f t="shared" ca="1" si="5"/>
        <v>760000</v>
      </c>
      <c r="P19" s="2" t="str">
        <f ca="1">_xlfn.XLOOKUP(D19,Products!A:A,Products!C:C)</f>
        <v>Audio</v>
      </c>
    </row>
    <row r="20" spans="1:16" ht="28.8" x14ac:dyDescent="0.3">
      <c r="A20" t="str">
        <f t="shared" ca="1" si="2"/>
        <v>0022</v>
      </c>
      <c r="B20" s="3">
        <f t="shared" ca="1" si="0"/>
        <v>45696</v>
      </c>
      <c r="C20" s="2" t="str" cm="1">
        <f t="array" aca="1" ref="C20" ca="1">INDEX(Customers!A:A,RANDBETWEEN(2,20))</f>
        <v>C011</v>
      </c>
      <c r="D20" s="2" t="str" cm="1">
        <f t="array" aca="1" ref="D20" ca="1">INDEX(Products!A:A,RANDBETWEEN(2,101))</f>
        <v>P032</v>
      </c>
      <c r="E20" s="2" t="str" cm="1">
        <f t="array" aca="1" ref="E20" ca="1">INDEX(SalesPerson!A:A,RANDBETWEEN(2,21))</f>
        <v>S018</v>
      </c>
      <c r="F20" s="2" t="str">
        <f ca="1">_xlfn.XLOOKUP(C20,Customers!A:A,Customers!B:B)</f>
        <v>CV Karya Mandiri</v>
      </c>
      <c r="G20" s="2" t="str">
        <f ca="1">_xlfn.XLOOKUP(D20,Products!A:A,Products!B:B)</f>
        <v>Webcam Logitech</v>
      </c>
      <c r="H20" s="2" t="str">
        <f ca="1">_xlfn.XLOOKUP(E20,SalesPerson!A:A,SalesPerson!B:B)</f>
        <v>Rian Kurniawan</v>
      </c>
      <c r="I20" s="2" t="str">
        <f ca="1">_xlfn.XLOOKUP(E20,SalesPerson!A:A,SalesPerson!C:C)</f>
        <v>Banjarmasin</v>
      </c>
      <c r="J20" s="2">
        <f t="shared" ca="1" si="1"/>
        <v>6</v>
      </c>
      <c r="K20" s="2">
        <f ca="1">_xlfn.XLOOKUP(D20,Products!A:A,Products!D:D)</f>
        <v>680000</v>
      </c>
      <c r="L20" s="2">
        <f ca="1">_xlfn.XLOOKUP(D20,Products!A:A,Products!E:E)</f>
        <v>520000</v>
      </c>
      <c r="M20" s="2">
        <f t="shared" ca="1" si="3"/>
        <v>4080000</v>
      </c>
      <c r="N20" s="2">
        <f t="shared" ca="1" si="4"/>
        <v>3120000</v>
      </c>
      <c r="O20" s="4">
        <f t="shared" ca="1" si="5"/>
        <v>960000</v>
      </c>
      <c r="P20" s="2" t="str">
        <f ca="1">_xlfn.XLOOKUP(D20,Products!A:A,Products!C:C)</f>
        <v>Accessories</v>
      </c>
    </row>
    <row r="21" spans="1:16" x14ac:dyDescent="0.3">
      <c r="A21" t="str">
        <f t="shared" ca="1" si="2"/>
        <v>0057</v>
      </c>
      <c r="B21" s="3">
        <f t="shared" ca="1" si="0"/>
        <v>45679</v>
      </c>
      <c r="C21" s="2" t="str" cm="1">
        <f t="array" aca="1" ref="C21" ca="1">INDEX(Customers!A:A,RANDBETWEEN(2,20))</f>
        <v>C010</v>
      </c>
      <c r="D21" s="2" t="str" cm="1">
        <f t="array" aca="1" ref="D21" ca="1">INDEX(Products!A:A,RANDBETWEEN(2,101))</f>
        <v>P024</v>
      </c>
      <c r="E21" s="2" t="str" cm="1">
        <f t="array" aca="1" ref="E21" ca="1">INDEX(SalesPerson!A:A,RANDBETWEEN(2,21))</f>
        <v>S004</v>
      </c>
      <c r="F21" s="2" t="str">
        <f ca="1">_xlfn.XLOOKUP(C21,Customers!A:A,Customers!B:B)</f>
        <v>PT Bintang Timur</v>
      </c>
      <c r="G21" s="2" t="str">
        <f ca="1">_xlfn.XLOOKUP(D21,Products!A:A,Products!B:B)</f>
        <v>Monitor LG 24"</v>
      </c>
      <c r="H21" s="2" t="str">
        <f ca="1">_xlfn.XLOOKUP(E21,SalesPerson!A:A,SalesPerson!B:B)</f>
        <v>Dimas Saputra</v>
      </c>
      <c r="I21" s="2" t="str">
        <f ca="1">_xlfn.XLOOKUP(E21,SalesPerson!A:A,SalesPerson!C:C)</f>
        <v>Medan</v>
      </c>
      <c r="J21" s="2">
        <f t="shared" ca="1" si="1"/>
        <v>10</v>
      </c>
      <c r="K21" s="2">
        <f ca="1">_xlfn.XLOOKUP(D21,Products!A:A,Products!D:D)</f>
        <v>2100000</v>
      </c>
      <c r="L21" s="2">
        <f ca="1">_xlfn.XLOOKUP(D21,Products!A:A,Products!E:E)</f>
        <v>1700000</v>
      </c>
      <c r="M21" s="2">
        <f t="shared" ca="1" si="3"/>
        <v>21000000</v>
      </c>
      <c r="N21" s="2">
        <f t="shared" ca="1" si="4"/>
        <v>17000000</v>
      </c>
      <c r="O21" s="4">
        <f t="shared" ca="1" si="5"/>
        <v>4000000</v>
      </c>
      <c r="P21" s="2" t="str">
        <f ca="1">_xlfn.XLOOKUP(D21,Products!A:A,Products!C:C)</f>
        <v>Monitor</v>
      </c>
    </row>
    <row r="22" spans="1:16" ht="28.8" x14ac:dyDescent="0.3">
      <c r="A22" t="str">
        <f t="shared" ca="1" si="2"/>
        <v>0034</v>
      </c>
      <c r="B22" s="3">
        <f t="shared" ca="1" si="0"/>
        <v>45657</v>
      </c>
      <c r="C22" s="2" t="str" cm="1">
        <f t="array" aca="1" ref="C22" ca="1">INDEX(Customers!A:A,RANDBETWEEN(2,20))</f>
        <v>C018</v>
      </c>
      <c r="D22" s="2" t="str" cm="1">
        <f t="array" aca="1" ref="D22" ca="1">INDEX(Products!A:A,RANDBETWEEN(2,101))</f>
        <v>P034</v>
      </c>
      <c r="E22" s="2" t="str" cm="1">
        <f t="array" aca="1" ref="E22" ca="1">INDEX(SalesPerson!A:A,RANDBETWEEN(2,21))</f>
        <v>S009</v>
      </c>
      <c r="F22" s="2" t="str">
        <f ca="1">_xlfn.XLOOKUP(C22,Customers!A:A,Customers!B:B)</f>
        <v>PT Indo Retail</v>
      </c>
      <c r="G22" s="2" t="str">
        <f ca="1">_xlfn.XLOOKUP(D22,Products!A:A,Products!B:B)</f>
        <v>Speaker Logitech</v>
      </c>
      <c r="H22" s="2" t="str">
        <f ca="1">_xlfn.XLOOKUP(E22,SalesPerson!A:A,SalesPerson!B:B)</f>
        <v>Intan Permata</v>
      </c>
      <c r="I22" s="2" t="str">
        <f ca="1">_xlfn.XLOOKUP(E22,SalesPerson!A:A,SalesPerson!C:C)</f>
        <v>Palembang</v>
      </c>
      <c r="J22" s="2">
        <f t="shared" ca="1" si="1"/>
        <v>4</v>
      </c>
      <c r="K22" s="2">
        <f ca="1">_xlfn.XLOOKUP(D22,Products!A:A,Products!D:D)</f>
        <v>780000</v>
      </c>
      <c r="L22" s="2">
        <f ca="1">_xlfn.XLOOKUP(D22,Products!A:A,Products!E:E)</f>
        <v>590000</v>
      </c>
      <c r="M22" s="2">
        <f t="shared" ca="1" si="3"/>
        <v>3120000</v>
      </c>
      <c r="N22" s="2">
        <f t="shared" ca="1" si="4"/>
        <v>2360000</v>
      </c>
      <c r="O22" s="4">
        <f t="shared" ca="1" si="5"/>
        <v>760000</v>
      </c>
      <c r="P22" s="2" t="str">
        <f ca="1">_xlfn.XLOOKUP(D22,Products!A:A,Products!C:C)</f>
        <v>Audio</v>
      </c>
    </row>
    <row r="23" spans="1:16" x14ac:dyDescent="0.3">
      <c r="A23" t="str">
        <f t="shared" ca="1" si="2"/>
        <v>0098</v>
      </c>
      <c r="B23" s="3">
        <f t="shared" ca="1" si="0"/>
        <v>45695</v>
      </c>
      <c r="C23" s="2" t="str" cm="1">
        <f t="array" aca="1" ref="C23" ca="1">INDEX(Customers!A:A,RANDBETWEEN(2,20))</f>
        <v>C015</v>
      </c>
      <c r="D23" s="2" t="str" cm="1">
        <f t="array" aca="1" ref="D23" ca="1">INDEX(Products!A:A,RANDBETWEEN(2,101))</f>
        <v>P019</v>
      </c>
      <c r="E23" s="2" t="str" cm="1">
        <f t="array" aca="1" ref="E23" ca="1">INDEX(SalesPerson!A:A,RANDBETWEEN(2,21))</f>
        <v>S012</v>
      </c>
      <c r="F23" s="2" t="str">
        <f ca="1">_xlfn.XLOOKUP(C23,Customers!A:A,Customers!B:B)</f>
        <v>PT Sentosa Abadi</v>
      </c>
      <c r="G23" s="2" t="str">
        <f ca="1">_xlfn.XLOOKUP(D23,Products!A:A,Products!B:B)</f>
        <v>HDMI Cable</v>
      </c>
      <c r="H23" s="2" t="str">
        <f ca="1">_xlfn.XLOOKUP(E23,SalesPerson!A:A,SalesPerson!B:B)</f>
        <v>Lestari Wulandari</v>
      </c>
      <c r="I23" s="2" t="str">
        <f ca="1">_xlfn.XLOOKUP(E23,SalesPerson!A:A,SalesPerson!C:C)</f>
        <v>Depok</v>
      </c>
      <c r="J23" s="2">
        <f t="shared" ca="1" si="1"/>
        <v>9</v>
      </c>
      <c r="K23" s="2">
        <f ca="1">_xlfn.XLOOKUP(D23,Products!A:A,Products!D:D)</f>
        <v>90000</v>
      </c>
      <c r="L23" s="2">
        <f ca="1">_xlfn.XLOOKUP(D23,Products!A:A,Products!E:E)</f>
        <v>50000</v>
      </c>
      <c r="M23" s="2">
        <f t="shared" ca="1" si="3"/>
        <v>810000</v>
      </c>
      <c r="N23" s="2">
        <f t="shared" ca="1" si="4"/>
        <v>450000</v>
      </c>
      <c r="O23" s="4">
        <f t="shared" ca="1" si="5"/>
        <v>360000</v>
      </c>
      <c r="P23" s="2" t="str">
        <f ca="1">_xlfn.XLOOKUP(D23,Products!A:A,Products!C:C)</f>
        <v>Accessories</v>
      </c>
    </row>
    <row r="24" spans="1:16" x14ac:dyDescent="0.3">
      <c r="A24" t="str">
        <f t="shared" ca="1" si="2"/>
        <v>0023</v>
      </c>
      <c r="B24" s="3">
        <f t="shared" ca="1" si="0"/>
        <v>45700</v>
      </c>
      <c r="C24" s="2" t="str" cm="1">
        <f t="array" aca="1" ref="C24" ca="1">INDEX(Customers!A:A,RANDBETWEEN(2,20))</f>
        <v>C005</v>
      </c>
      <c r="D24" s="2" t="str" cm="1">
        <f t="array" aca="1" ref="D24" ca="1">INDEX(Products!A:A,RANDBETWEEN(2,101))</f>
        <v>P086</v>
      </c>
      <c r="E24" s="2" t="str" cm="1">
        <f t="array" aca="1" ref="E24" ca="1">INDEX(SalesPerson!A:A,RANDBETWEEN(2,21))</f>
        <v>S004</v>
      </c>
      <c r="F24" s="2" t="str">
        <f ca="1">_xlfn.XLOOKUP(C24,Customers!A:A,Customers!B:B)</f>
        <v>PT Berkah Sejahtera</v>
      </c>
      <c r="G24" s="2" t="str">
        <f ca="1">_xlfn.XLOOKUP(D24,Products!A:A,Products!B:B)</f>
        <v>Mechanical Keyboard</v>
      </c>
      <c r="H24" s="2" t="str">
        <f ca="1">_xlfn.XLOOKUP(E24,SalesPerson!A:A,SalesPerson!B:B)</f>
        <v>Dimas Saputra</v>
      </c>
      <c r="I24" s="2" t="str">
        <f ca="1">_xlfn.XLOOKUP(E24,SalesPerson!A:A,SalesPerson!C:C)</f>
        <v>Medan</v>
      </c>
      <c r="J24" s="2">
        <f t="shared" ca="1" si="1"/>
        <v>10</v>
      </c>
      <c r="K24" s="2">
        <f ca="1">_xlfn.XLOOKUP(D24,Products!A:A,Products!D:D)</f>
        <v>750000</v>
      </c>
      <c r="L24" s="2">
        <f ca="1">_xlfn.XLOOKUP(D24,Products!A:A,Products!E:E)</f>
        <v>520000</v>
      </c>
      <c r="M24" s="2">
        <f t="shared" ca="1" si="3"/>
        <v>7500000</v>
      </c>
      <c r="N24" s="2">
        <f t="shared" ca="1" si="4"/>
        <v>5200000</v>
      </c>
      <c r="O24" s="4">
        <f t="shared" ca="1" si="5"/>
        <v>2300000</v>
      </c>
      <c r="P24" s="2" t="str">
        <f ca="1">_xlfn.XLOOKUP(D24,Products!A:A,Products!C:C)</f>
        <v>Accessories</v>
      </c>
    </row>
    <row r="25" spans="1:16" x14ac:dyDescent="0.3">
      <c r="A25" t="str">
        <f t="shared" ca="1" si="2"/>
        <v>0089</v>
      </c>
      <c r="B25" s="3">
        <f t="shared" ca="1" si="0"/>
        <v>45705</v>
      </c>
      <c r="C25" s="2" t="str" cm="1">
        <f t="array" aca="1" ref="C25" ca="1">INDEX(Customers!A:A,RANDBETWEEN(2,20))</f>
        <v>C009</v>
      </c>
      <c r="D25" s="2" t="str" cm="1">
        <f t="array" aca="1" ref="D25" ca="1">INDEX(Products!A:A,RANDBETWEEN(2,101))</f>
        <v>P078</v>
      </c>
      <c r="E25" s="2" t="str" cm="1">
        <f t="array" aca="1" ref="E25" ca="1">INDEX(SalesPerson!A:A,RANDBETWEEN(2,21))</f>
        <v>S007</v>
      </c>
      <c r="F25" s="2" t="str">
        <f ca="1">_xlfn.XLOOKUP(C25,Customers!A:A,Customers!B:B)</f>
        <v>PT Andalan Prima</v>
      </c>
      <c r="G25" s="2" t="str">
        <f ca="1">_xlfn.XLOOKUP(D25,Products!A:A,Products!B:B)</f>
        <v>RAM DDR4 16GB</v>
      </c>
      <c r="H25" s="2" t="str">
        <f ca="1">_xlfn.XLOOKUP(E25,SalesPerson!A:A,SalesPerson!B:B)</f>
        <v>Gita Maharani</v>
      </c>
      <c r="I25" s="2" t="str">
        <f ca="1">_xlfn.XLOOKUP(E25,SalesPerson!A:A,SalesPerson!C:C)</f>
        <v>Yogyakarta</v>
      </c>
      <c r="J25" s="2">
        <f t="shared" ca="1" si="1"/>
        <v>6</v>
      </c>
      <c r="K25" s="2">
        <f ca="1">_xlfn.XLOOKUP(D25,Products!A:A,Products!D:D)</f>
        <v>980000</v>
      </c>
      <c r="L25" s="2">
        <f ca="1">_xlfn.XLOOKUP(D25,Products!A:A,Products!E:E)</f>
        <v>780000</v>
      </c>
      <c r="M25" s="2">
        <f t="shared" ca="1" si="3"/>
        <v>5880000</v>
      </c>
      <c r="N25" s="2">
        <f t="shared" ca="1" si="4"/>
        <v>4680000</v>
      </c>
      <c r="O25" s="4">
        <f t="shared" ca="1" si="5"/>
        <v>1200000</v>
      </c>
      <c r="P25" s="2" t="str">
        <f ca="1">_xlfn.XLOOKUP(D25,Products!A:A,Products!C:C)</f>
        <v>Components</v>
      </c>
    </row>
    <row r="26" spans="1:16" x14ac:dyDescent="0.3">
      <c r="A26" t="str">
        <f t="shared" ca="1" si="2"/>
        <v>0004</v>
      </c>
      <c r="B26" s="3">
        <f t="shared" ca="1" si="0"/>
        <v>45697</v>
      </c>
      <c r="C26" s="2" t="str" cm="1">
        <f t="array" aca="1" ref="C26" ca="1">INDEX(Customers!A:A,RANDBETWEEN(2,20))</f>
        <v>C015</v>
      </c>
      <c r="D26" s="2" t="str" cm="1">
        <f t="array" aca="1" ref="D26" ca="1">INDEX(Products!A:A,RANDBETWEEN(2,101))</f>
        <v>P071</v>
      </c>
      <c r="E26" s="2" t="str" cm="1">
        <f t="array" aca="1" ref="E26" ca="1">INDEX(SalesPerson!A:A,RANDBETWEEN(2,21))</f>
        <v>S014</v>
      </c>
      <c r="F26" s="2" t="str">
        <f ca="1">_xlfn.XLOOKUP(C26,Customers!A:A,Customers!B:B)</f>
        <v>PT Sentosa Abadi</v>
      </c>
      <c r="G26" s="2" t="str">
        <f ca="1">_xlfn.XLOOKUP(D26,Products!A:A,Products!B:B)</f>
        <v>Printer Epson L3253</v>
      </c>
      <c r="H26" s="2" t="str">
        <f ca="1">_xlfn.XLOOKUP(E26,SalesPerson!A:A,SalesPerson!B:B)</f>
        <v>Nanda Prasetyo</v>
      </c>
      <c r="I26" s="2" t="str">
        <f ca="1">_xlfn.XLOOKUP(E26,SalesPerson!A:A,SalesPerson!C:C)</f>
        <v>Malang</v>
      </c>
      <c r="J26" s="2">
        <f t="shared" ca="1" si="1"/>
        <v>4</v>
      </c>
      <c r="K26" s="2">
        <f ca="1">_xlfn.XLOOKUP(D26,Products!A:A,Products!D:D)</f>
        <v>2900000</v>
      </c>
      <c r="L26" s="2">
        <f ca="1">_xlfn.XLOOKUP(D26,Products!A:A,Products!E:E)</f>
        <v>2400000</v>
      </c>
      <c r="M26" s="2">
        <f t="shared" ca="1" si="3"/>
        <v>11600000</v>
      </c>
      <c r="N26" s="2">
        <f t="shared" ca="1" si="4"/>
        <v>9600000</v>
      </c>
      <c r="O26" s="4">
        <f t="shared" ca="1" si="5"/>
        <v>2000000</v>
      </c>
      <c r="P26" s="2" t="str">
        <f ca="1">_xlfn.XLOOKUP(D26,Products!A:A,Products!C:C)</f>
        <v>Printer</v>
      </c>
    </row>
    <row r="27" spans="1:16" x14ac:dyDescent="0.3">
      <c r="A27" t="str">
        <f t="shared" ca="1" si="2"/>
        <v>0054</v>
      </c>
      <c r="B27" s="3">
        <f t="shared" ca="1" si="0"/>
        <v>45699</v>
      </c>
      <c r="C27" s="2" t="str" cm="1">
        <f t="array" aca="1" ref="C27" ca="1">INDEX(Customers!A:A,RANDBETWEEN(2,20))</f>
        <v>C016</v>
      </c>
      <c r="D27" s="2" t="str" cm="1">
        <f t="array" aca="1" ref="D27" ca="1">INDEX(Products!A:A,RANDBETWEEN(2,101))</f>
        <v>P009</v>
      </c>
      <c r="E27" s="2" t="str" cm="1">
        <f t="array" aca="1" ref="E27" ca="1">INDEX(SalesPerson!A:A,RANDBETWEEN(2,21))</f>
        <v>S004</v>
      </c>
      <c r="F27" s="2" t="str">
        <f ca="1">_xlfn.XLOOKUP(C27,Customers!A:A,Customers!B:B)</f>
        <v>PT Global Nusantara</v>
      </c>
      <c r="G27" s="2" t="str">
        <f ca="1">_xlfn.XLOOKUP(D27,Products!A:A,Products!B:B)</f>
        <v>SSD 512GB Samsung</v>
      </c>
      <c r="H27" s="2" t="str">
        <f ca="1">_xlfn.XLOOKUP(E27,SalesPerson!A:A,SalesPerson!B:B)</f>
        <v>Dimas Saputra</v>
      </c>
      <c r="I27" s="2" t="str">
        <f ca="1">_xlfn.XLOOKUP(E27,SalesPerson!A:A,SalesPerson!C:C)</f>
        <v>Medan</v>
      </c>
      <c r="J27" s="2">
        <f t="shared" ca="1" si="1"/>
        <v>1</v>
      </c>
      <c r="K27" s="2">
        <f ca="1">_xlfn.XLOOKUP(D27,Products!A:A,Products!D:D)</f>
        <v>850000</v>
      </c>
      <c r="L27" s="2">
        <f ca="1">_xlfn.XLOOKUP(D27,Products!A:A,Products!E:E)</f>
        <v>670000</v>
      </c>
      <c r="M27" s="2">
        <f t="shared" ca="1" si="3"/>
        <v>850000</v>
      </c>
      <c r="N27" s="2">
        <f t="shared" ca="1" si="4"/>
        <v>670000</v>
      </c>
      <c r="O27" s="4">
        <f t="shared" ca="1" si="5"/>
        <v>180000</v>
      </c>
      <c r="P27" s="2" t="str">
        <f ca="1">_xlfn.XLOOKUP(D27,Products!A:A,Products!C:C)</f>
        <v>Storage</v>
      </c>
    </row>
    <row r="28" spans="1:16" x14ac:dyDescent="0.3">
      <c r="A28" t="str">
        <f t="shared" ca="1" si="2"/>
        <v>0083</v>
      </c>
      <c r="B28" s="3">
        <f t="shared" ca="1" si="0"/>
        <v>45697</v>
      </c>
      <c r="C28" s="2" t="str" cm="1">
        <f t="array" aca="1" ref="C28" ca="1">INDEX(Customers!A:A,RANDBETWEEN(2,20))</f>
        <v>C016</v>
      </c>
      <c r="D28" s="2" t="str" cm="1">
        <f t="array" aca="1" ref="D28" ca="1">INDEX(Products!A:A,RANDBETWEEN(2,101))</f>
        <v>P092</v>
      </c>
      <c r="E28" s="2" t="str" cm="1">
        <f t="array" aca="1" ref="E28" ca="1">INDEX(SalesPerson!A:A,RANDBETWEEN(2,21))</f>
        <v>S008</v>
      </c>
      <c r="F28" s="2" t="str">
        <f ca="1">_xlfn.XLOOKUP(C28,Customers!A:A,Customers!B:B)</f>
        <v>PT Global Nusantara</v>
      </c>
      <c r="G28" s="2" t="str">
        <f ca="1">_xlfn.XLOOKUP(D28,Products!A:A,Products!B:B)</f>
        <v>Webcam Logitech</v>
      </c>
      <c r="H28" s="2" t="str">
        <f ca="1">_xlfn.XLOOKUP(E28,SalesPerson!A:A,SalesPerson!B:B)</f>
        <v>Hendra Wijaya</v>
      </c>
      <c r="I28" s="2" t="str">
        <f ca="1">_xlfn.XLOOKUP(E28,SalesPerson!A:A,SalesPerson!C:C)</f>
        <v>Bali</v>
      </c>
      <c r="J28" s="2">
        <f t="shared" ca="1" si="1"/>
        <v>6</v>
      </c>
      <c r="K28" s="2">
        <f ca="1">_xlfn.XLOOKUP(D28,Products!A:A,Products!D:D)</f>
        <v>680000</v>
      </c>
      <c r="L28" s="2">
        <f ca="1">_xlfn.XLOOKUP(D28,Products!A:A,Products!E:E)</f>
        <v>520000</v>
      </c>
      <c r="M28" s="2">
        <f t="shared" ca="1" si="3"/>
        <v>4080000</v>
      </c>
      <c r="N28" s="2">
        <f t="shared" ca="1" si="4"/>
        <v>3120000</v>
      </c>
      <c r="O28" s="4">
        <f t="shared" ca="1" si="5"/>
        <v>960000</v>
      </c>
      <c r="P28" s="2" t="str">
        <f ca="1">_xlfn.XLOOKUP(D28,Products!A:A,Products!C:C)</f>
        <v>Accessories</v>
      </c>
    </row>
    <row r="29" spans="1:16" x14ac:dyDescent="0.3">
      <c r="A29" t="str">
        <f t="shared" ca="1" si="2"/>
        <v>0082</v>
      </c>
      <c r="B29" s="3">
        <f t="shared" ca="1" si="0"/>
        <v>45675</v>
      </c>
      <c r="C29" s="2" t="str" cm="1">
        <f t="array" aca="1" ref="C29" ca="1">INDEX(Customers!A:A,RANDBETWEEN(2,20))</f>
        <v>C006</v>
      </c>
      <c r="D29" s="2" t="str" cm="1">
        <f t="array" aca="1" ref="D29" ca="1">INDEX(Products!A:A,RANDBETWEEN(2,101))</f>
        <v>P069</v>
      </c>
      <c r="E29" s="2" t="str" cm="1">
        <f t="array" aca="1" ref="E29" ca="1">INDEX(SalesPerson!A:A,RANDBETWEEN(2,21))</f>
        <v>S013</v>
      </c>
      <c r="F29" s="2" t="str">
        <f ca="1">_xlfn.XLOOKUP(C29,Customers!A:A,Customers!B:B)</f>
        <v>CV Maju Bersama</v>
      </c>
      <c r="G29" s="2" t="str">
        <f ca="1">_xlfn.XLOOKUP(D29,Products!A:A,Products!B:B)</f>
        <v>SSD 512GB Samsung</v>
      </c>
      <c r="H29" s="2" t="str">
        <f ca="1">_xlfn.XLOOKUP(E29,SalesPerson!A:A,SalesPerson!B:B)</f>
        <v>Muhammad Rizki</v>
      </c>
      <c r="I29" s="2" t="str">
        <f ca="1">_xlfn.XLOOKUP(E29,SalesPerson!A:A,SalesPerson!C:C)</f>
        <v>Bogor</v>
      </c>
      <c r="J29" s="2">
        <f t="shared" ca="1" si="1"/>
        <v>6</v>
      </c>
      <c r="K29" s="2">
        <f ca="1">_xlfn.XLOOKUP(D29,Products!A:A,Products!D:D)</f>
        <v>850000</v>
      </c>
      <c r="L29" s="2">
        <f ca="1">_xlfn.XLOOKUP(D29,Products!A:A,Products!E:E)</f>
        <v>670000</v>
      </c>
      <c r="M29" s="2">
        <f t="shared" ca="1" si="3"/>
        <v>5100000</v>
      </c>
      <c r="N29" s="2">
        <f t="shared" ca="1" si="4"/>
        <v>4020000</v>
      </c>
      <c r="O29" s="4">
        <f t="shared" ca="1" si="5"/>
        <v>1080000</v>
      </c>
      <c r="P29" s="2" t="str">
        <f ca="1">_xlfn.XLOOKUP(D29,Products!A:A,Products!C:C)</f>
        <v>Storage</v>
      </c>
    </row>
    <row r="30" spans="1:16" x14ac:dyDescent="0.3">
      <c r="A30" t="str">
        <f t="shared" ca="1" si="2"/>
        <v>0011</v>
      </c>
      <c r="B30" s="3">
        <f t="shared" ca="1" si="0"/>
        <v>45661</v>
      </c>
      <c r="C30" s="2" t="str" cm="1">
        <f t="array" aca="1" ref="C30" ca="1">INDEX(Customers!A:A,RANDBETWEEN(2,20))</f>
        <v>C014</v>
      </c>
      <c r="D30" s="2" t="str" cm="1">
        <f t="array" aca="1" ref="D30" ca="1">INDEX(Products!A:A,RANDBETWEEN(2,101))</f>
        <v>P079</v>
      </c>
      <c r="E30" s="2" t="str" cm="1">
        <f t="array" aca="1" ref="E30" ca="1">INDEX(SalesPerson!A:A,RANDBETWEEN(2,21))</f>
        <v>S005</v>
      </c>
      <c r="F30" s="2" t="str">
        <f ca="1">_xlfn.XLOOKUP(C30,Customers!A:A,Customers!B:B)</f>
        <v>CV Nusantara Jaya</v>
      </c>
      <c r="G30" s="2" t="str">
        <f ca="1">_xlfn.XLOOKUP(D30,Products!A:A,Products!B:B)</f>
        <v>HDMI Cable</v>
      </c>
      <c r="H30" s="2" t="str">
        <f ca="1">_xlfn.XLOOKUP(E30,SalesPerson!A:A,SalesPerson!B:B)</f>
        <v>Eka Putri</v>
      </c>
      <c r="I30" s="2" t="str">
        <f ca="1">_xlfn.XLOOKUP(E30,SalesPerson!A:A,SalesPerson!C:C)</f>
        <v>Makassar</v>
      </c>
      <c r="J30" s="2">
        <f t="shared" ca="1" si="1"/>
        <v>2</v>
      </c>
      <c r="K30" s="2">
        <f ca="1">_xlfn.XLOOKUP(D30,Products!A:A,Products!D:D)</f>
        <v>90000</v>
      </c>
      <c r="L30" s="2">
        <f ca="1">_xlfn.XLOOKUP(D30,Products!A:A,Products!E:E)</f>
        <v>50000</v>
      </c>
      <c r="M30" s="2">
        <f t="shared" ca="1" si="3"/>
        <v>180000</v>
      </c>
      <c r="N30" s="2">
        <f t="shared" ca="1" si="4"/>
        <v>100000</v>
      </c>
      <c r="O30" s="4">
        <f t="shared" ca="1" si="5"/>
        <v>80000</v>
      </c>
      <c r="P30" s="2" t="str">
        <f ca="1">_xlfn.XLOOKUP(D30,Products!A:A,Products!C:C)</f>
        <v>Accessories</v>
      </c>
    </row>
    <row r="31" spans="1:16" x14ac:dyDescent="0.3">
      <c r="A31" t="str">
        <f t="shared" ca="1" si="2"/>
        <v>0091</v>
      </c>
      <c r="B31" s="3">
        <f t="shared" ca="1" si="0"/>
        <v>45674</v>
      </c>
      <c r="C31" s="2" t="str" cm="1">
        <f t="array" aca="1" ref="C31" ca="1">INDEX(Customers!A:A,RANDBETWEEN(2,20))</f>
        <v>C011</v>
      </c>
      <c r="D31" s="2" t="str" cm="1">
        <f t="array" aca="1" ref="D31" ca="1">INDEX(Products!A:A,RANDBETWEEN(2,101))</f>
        <v>P021</v>
      </c>
      <c r="E31" s="2" t="str" cm="1">
        <f t="array" aca="1" ref="E31" ca="1">INDEX(SalesPerson!A:A,RANDBETWEEN(2,21))</f>
        <v>S008</v>
      </c>
      <c r="F31" s="2" t="str">
        <f ca="1">_xlfn.XLOOKUP(C31,Customers!A:A,Customers!B:B)</f>
        <v>CV Karya Mandiri</v>
      </c>
      <c r="G31" s="2" t="str">
        <f ca="1">_xlfn.XLOOKUP(D31,Products!A:A,Products!B:B)</f>
        <v>Laptop ASUS Vivobook</v>
      </c>
      <c r="H31" s="2" t="str">
        <f ca="1">_xlfn.XLOOKUP(E31,SalesPerson!A:A,SalesPerson!B:B)</f>
        <v>Hendra Wijaya</v>
      </c>
      <c r="I31" s="2" t="str">
        <f ca="1">_xlfn.XLOOKUP(E31,SalesPerson!A:A,SalesPerson!C:C)</f>
        <v>Bali</v>
      </c>
      <c r="J31" s="2">
        <f t="shared" ca="1" si="1"/>
        <v>8</v>
      </c>
      <c r="K31" s="2">
        <f ca="1">_xlfn.XLOOKUP(D31,Products!A:A,Products!D:D)</f>
        <v>8500000</v>
      </c>
      <c r="L31" s="2">
        <f ca="1">_xlfn.XLOOKUP(D31,Products!A:A,Products!E:E)</f>
        <v>7200000</v>
      </c>
      <c r="M31" s="2">
        <f t="shared" ca="1" si="3"/>
        <v>68000000</v>
      </c>
      <c r="N31" s="2">
        <f t="shared" ca="1" si="4"/>
        <v>57600000</v>
      </c>
      <c r="O31" s="4">
        <f t="shared" ca="1" si="5"/>
        <v>10400000</v>
      </c>
      <c r="P31" s="2" t="str">
        <f ca="1">_xlfn.XLOOKUP(D31,Products!A:A,Products!C:C)</f>
        <v>Laptop</v>
      </c>
    </row>
    <row r="32" spans="1:16" x14ac:dyDescent="0.3">
      <c r="A32" t="str">
        <f t="shared" ca="1" si="2"/>
        <v>0083</v>
      </c>
      <c r="B32" s="3">
        <f t="shared" ca="1" si="0"/>
        <v>45704</v>
      </c>
      <c r="C32" s="2" t="str" cm="1">
        <f t="array" aca="1" ref="C32" ca="1">INDEX(Customers!A:A,RANDBETWEEN(2,20))</f>
        <v>C001</v>
      </c>
      <c r="D32" s="2" t="str" cm="1">
        <f t="array" aca="1" ref="D32" ca="1">INDEX(Products!A:A,RANDBETWEEN(2,101))</f>
        <v>P089</v>
      </c>
      <c r="E32" s="2" t="str" cm="1">
        <f t="array" aca="1" ref="E32" ca="1">INDEX(SalesPerson!A:A,RANDBETWEEN(2,21))</f>
        <v>S019</v>
      </c>
      <c r="F32" s="2" t="str">
        <f ca="1">_xlfn.XLOOKUP(C32,Customers!A:A,Customers!B:B)</f>
        <v>PT Maju Jaya</v>
      </c>
      <c r="G32" s="2" t="str">
        <f ca="1">_xlfn.XLOOKUP(D32,Products!A:A,Products!B:B)</f>
        <v>SSD 512GB Samsung</v>
      </c>
      <c r="H32" s="2" t="str">
        <f ca="1">_xlfn.XLOOKUP(E32,SalesPerson!A:A,SalesPerson!B:B)</f>
        <v>Sinta Maharani</v>
      </c>
      <c r="I32" s="2" t="str">
        <f ca="1">_xlfn.XLOOKUP(E32,SalesPerson!A:A,SalesPerson!C:C)</f>
        <v>Solo</v>
      </c>
      <c r="J32" s="2">
        <f t="shared" ca="1" si="1"/>
        <v>3</v>
      </c>
      <c r="K32" s="2">
        <f ca="1">_xlfn.XLOOKUP(D32,Products!A:A,Products!D:D)</f>
        <v>850000</v>
      </c>
      <c r="L32" s="2">
        <f ca="1">_xlfn.XLOOKUP(D32,Products!A:A,Products!E:E)</f>
        <v>670000</v>
      </c>
      <c r="M32" s="2">
        <f t="shared" ca="1" si="3"/>
        <v>2550000</v>
      </c>
      <c r="N32" s="2">
        <f t="shared" ca="1" si="4"/>
        <v>2010000</v>
      </c>
      <c r="O32" s="4">
        <f t="shared" ca="1" si="5"/>
        <v>540000</v>
      </c>
      <c r="P32" s="2" t="str">
        <f ca="1">_xlfn.XLOOKUP(D32,Products!A:A,Products!C:C)</f>
        <v>Storage</v>
      </c>
    </row>
    <row r="33" spans="1:16" x14ac:dyDescent="0.3">
      <c r="A33" t="str">
        <f t="shared" ca="1" si="2"/>
        <v>0008</v>
      </c>
      <c r="B33" s="3">
        <f t="shared" ca="1" si="0"/>
        <v>45678</v>
      </c>
      <c r="C33" s="2" t="str" cm="1">
        <f t="array" aca="1" ref="C33" ca="1">INDEX(Customers!A:A,RANDBETWEEN(2,20))</f>
        <v>C007</v>
      </c>
      <c r="D33" s="2" t="str" cm="1">
        <f t="array" aca="1" ref="D33" ca="1">INDEX(Products!A:A,RANDBETWEEN(2,101))</f>
        <v>P060</v>
      </c>
      <c r="E33" s="2" t="str" cm="1">
        <f t="array" aca="1" ref="E33" ca="1">INDEX(SalesPerson!A:A,RANDBETWEEN(2,21))</f>
        <v>S012</v>
      </c>
      <c r="F33" s="2" t="str">
        <f ca="1">_xlfn.XLOOKUP(C33,Customers!A:A,Customers!B:B)</f>
        <v>PT Mitra Solusi</v>
      </c>
      <c r="G33" s="2" t="str">
        <f ca="1">_xlfn.XLOOKUP(D33,Products!A:A,Products!B:B)</f>
        <v>USB Hub 4 Port</v>
      </c>
      <c r="H33" s="2" t="str">
        <f ca="1">_xlfn.XLOOKUP(E33,SalesPerson!A:A,SalesPerson!B:B)</f>
        <v>Lestari Wulandari</v>
      </c>
      <c r="I33" s="2" t="str">
        <f ca="1">_xlfn.XLOOKUP(E33,SalesPerson!A:A,SalesPerson!C:C)</f>
        <v>Depok</v>
      </c>
      <c r="J33" s="2">
        <f t="shared" ca="1" si="1"/>
        <v>4</v>
      </c>
      <c r="K33" s="2">
        <f ca="1">_xlfn.XLOOKUP(D33,Products!A:A,Products!D:D)</f>
        <v>150000</v>
      </c>
      <c r="L33" s="2">
        <f ca="1">_xlfn.XLOOKUP(D33,Products!A:A,Products!E:E)</f>
        <v>90000</v>
      </c>
      <c r="M33" s="2">
        <f t="shared" ca="1" si="3"/>
        <v>600000</v>
      </c>
      <c r="N33" s="2">
        <f t="shared" ca="1" si="4"/>
        <v>360000</v>
      </c>
      <c r="O33" s="4">
        <f t="shared" ca="1" si="5"/>
        <v>240000</v>
      </c>
      <c r="P33" s="2" t="str">
        <f ca="1">_xlfn.XLOOKUP(D33,Products!A:A,Products!C:C)</f>
        <v>Accessories</v>
      </c>
    </row>
    <row r="34" spans="1:16" x14ac:dyDescent="0.3">
      <c r="A34" t="str">
        <f t="shared" ca="1" si="2"/>
        <v>0016</v>
      </c>
      <c r="B34" s="3">
        <f t="shared" ref="B34:B65" ca="1" si="6">DATE(2025,1,)+RANDBETWEEN(0,64)</f>
        <v>45666</v>
      </c>
      <c r="C34" s="2" t="str" cm="1">
        <f t="array" aca="1" ref="C34" ca="1">INDEX(Customers!A:A,RANDBETWEEN(2,20))</f>
        <v>C006</v>
      </c>
      <c r="D34" s="2" t="str" cm="1">
        <f t="array" aca="1" ref="D34" ca="1">INDEX(Products!A:A,RANDBETWEEN(2,101))</f>
        <v>P089</v>
      </c>
      <c r="E34" s="2" t="str" cm="1">
        <f t="array" aca="1" ref="E34" ca="1">INDEX(SalesPerson!A:A,RANDBETWEEN(2,21))</f>
        <v>S019</v>
      </c>
      <c r="F34" s="2" t="str">
        <f ca="1">_xlfn.XLOOKUP(C34,Customers!A:A,Customers!B:B)</f>
        <v>CV Maju Bersama</v>
      </c>
      <c r="G34" s="2" t="str">
        <f ca="1">_xlfn.XLOOKUP(D34,Products!A:A,Products!B:B)</f>
        <v>SSD 512GB Samsung</v>
      </c>
      <c r="H34" s="2" t="str">
        <f ca="1">_xlfn.XLOOKUP(E34,SalesPerson!A:A,SalesPerson!B:B)</f>
        <v>Sinta Maharani</v>
      </c>
      <c r="I34" s="2" t="str">
        <f ca="1">_xlfn.XLOOKUP(E34,SalesPerson!A:A,SalesPerson!C:C)</f>
        <v>Solo</v>
      </c>
      <c r="J34" s="2">
        <f t="shared" ref="J34:J65" ca="1" si="7">RANDBETWEEN(1,10)</f>
        <v>10</v>
      </c>
      <c r="K34" s="2">
        <f ca="1">_xlfn.XLOOKUP(D34,Products!A:A,Products!D:D)</f>
        <v>850000</v>
      </c>
      <c r="L34" s="2">
        <f ca="1">_xlfn.XLOOKUP(D34,Products!A:A,Products!E:E)</f>
        <v>670000</v>
      </c>
      <c r="M34" s="2">
        <f t="shared" ca="1" si="3"/>
        <v>8500000</v>
      </c>
      <c r="N34" s="2">
        <f t="shared" ca="1" si="4"/>
        <v>6700000</v>
      </c>
      <c r="O34" s="4">
        <f t="shared" ca="1" si="5"/>
        <v>1800000</v>
      </c>
      <c r="P34" s="2" t="str">
        <f ca="1">_xlfn.XLOOKUP(D34,Products!A:A,Products!C:C)</f>
        <v>Storage</v>
      </c>
    </row>
    <row r="35" spans="1:16" x14ac:dyDescent="0.3">
      <c r="A35" t="str">
        <f t="shared" ca="1" si="2"/>
        <v>0094</v>
      </c>
      <c r="B35" s="3">
        <f t="shared" ca="1" si="6"/>
        <v>45707</v>
      </c>
      <c r="C35" s="2" t="str" cm="1">
        <f t="array" aca="1" ref="C35" ca="1">INDEX(Customers!A:A,RANDBETWEEN(2,20))</f>
        <v>C001</v>
      </c>
      <c r="D35" s="2" t="str" cm="1">
        <f t="array" aca="1" ref="D35" ca="1">INDEX(Products!A:A,RANDBETWEEN(2,101))</f>
        <v>P007</v>
      </c>
      <c r="E35" s="2" t="str" cm="1">
        <f t="array" aca="1" ref="E35" ca="1">INDEX(SalesPerson!A:A,RANDBETWEEN(2,21))</f>
        <v>S017</v>
      </c>
      <c r="F35" s="2" t="str">
        <f ca="1">_xlfn.XLOOKUP(C35,Customers!A:A,Customers!B:B)</f>
        <v>PT Maju Jaya</v>
      </c>
      <c r="G35" s="2" t="str">
        <f ca="1">_xlfn.XLOOKUP(D35,Products!A:A,Products!B:B)</f>
        <v>Wireless Mouse Logitech</v>
      </c>
      <c r="H35" s="2" t="str">
        <f ca="1">_xlfn.XLOOKUP(E35,SalesPerson!A:A,SalesPerson!B:B)</f>
        <v>Qori Amanda</v>
      </c>
      <c r="I35" s="2" t="str">
        <f ca="1">_xlfn.XLOOKUP(E35,SalesPerson!A:A,SalesPerson!C:C)</f>
        <v>Pontianak</v>
      </c>
      <c r="J35" s="2">
        <f t="shared" ca="1" si="7"/>
        <v>10</v>
      </c>
      <c r="K35" s="2">
        <f ca="1">_xlfn.XLOOKUP(D35,Products!A:A,Products!D:D)</f>
        <v>250000</v>
      </c>
      <c r="L35" s="2">
        <f ca="1">_xlfn.XLOOKUP(D35,Products!A:A,Products!E:E)</f>
        <v>150000</v>
      </c>
      <c r="M35" s="2">
        <f t="shared" ref="M35:M66" ca="1" si="8">J35*K35</f>
        <v>2500000</v>
      </c>
      <c r="N35" s="2">
        <f t="shared" ref="N35:N66" ca="1" si="9">J35*L35</f>
        <v>1500000</v>
      </c>
      <c r="O35" s="4">
        <f t="shared" ref="O35:O66" ca="1" si="10">M35-N35</f>
        <v>1000000</v>
      </c>
      <c r="P35" s="2" t="str">
        <f ca="1">_xlfn.XLOOKUP(D35,Products!A:A,Products!C:C)</f>
        <v>Accessories</v>
      </c>
    </row>
    <row r="36" spans="1:16" x14ac:dyDescent="0.3">
      <c r="A36" t="str">
        <f t="shared" ca="1" si="2"/>
        <v>0069</v>
      </c>
      <c r="B36" s="3">
        <f t="shared" ca="1" si="6"/>
        <v>45715</v>
      </c>
      <c r="C36" s="2" t="str" cm="1">
        <f t="array" aca="1" ref="C36" ca="1">INDEX(Customers!A:A,RANDBETWEEN(2,20))</f>
        <v>C001</v>
      </c>
      <c r="D36" s="2" t="str" cm="1">
        <f t="array" aca="1" ref="D36" ca="1">INDEX(Products!A:A,RANDBETWEEN(2,101))</f>
        <v>P007</v>
      </c>
      <c r="E36" s="2" t="str" cm="1">
        <f t="array" aca="1" ref="E36" ca="1">INDEX(SalesPerson!A:A,RANDBETWEEN(2,21))</f>
        <v>S019</v>
      </c>
      <c r="F36" s="2" t="str">
        <f ca="1">_xlfn.XLOOKUP(C36,Customers!A:A,Customers!B:B)</f>
        <v>PT Maju Jaya</v>
      </c>
      <c r="G36" s="2" t="str">
        <f ca="1">_xlfn.XLOOKUP(D36,Products!A:A,Products!B:B)</f>
        <v>Wireless Mouse Logitech</v>
      </c>
      <c r="H36" s="2" t="str">
        <f ca="1">_xlfn.XLOOKUP(E36,SalesPerson!A:A,SalesPerson!B:B)</f>
        <v>Sinta Maharani</v>
      </c>
      <c r="I36" s="2" t="str">
        <f ca="1">_xlfn.XLOOKUP(E36,SalesPerson!A:A,SalesPerson!C:C)</f>
        <v>Solo</v>
      </c>
      <c r="J36" s="2">
        <f t="shared" ca="1" si="7"/>
        <v>9</v>
      </c>
      <c r="K36" s="2">
        <f ca="1">_xlfn.XLOOKUP(D36,Products!A:A,Products!D:D)</f>
        <v>250000</v>
      </c>
      <c r="L36" s="2">
        <f ca="1">_xlfn.XLOOKUP(D36,Products!A:A,Products!E:E)</f>
        <v>150000</v>
      </c>
      <c r="M36" s="2">
        <f t="shared" ca="1" si="8"/>
        <v>2250000</v>
      </c>
      <c r="N36" s="2">
        <f t="shared" ca="1" si="9"/>
        <v>1350000</v>
      </c>
      <c r="O36" s="4">
        <f t="shared" ca="1" si="10"/>
        <v>900000</v>
      </c>
      <c r="P36" s="2" t="str">
        <f ca="1">_xlfn.XLOOKUP(D36,Products!A:A,Products!C:C)</f>
        <v>Accessories</v>
      </c>
    </row>
    <row r="37" spans="1:16" x14ac:dyDescent="0.3">
      <c r="A37" t="str">
        <f t="shared" ca="1" si="2"/>
        <v>0083</v>
      </c>
      <c r="B37" s="3">
        <f t="shared" ca="1" si="6"/>
        <v>45683</v>
      </c>
      <c r="C37" s="2" t="str" cm="1">
        <f t="array" aca="1" ref="C37" ca="1">INDEX(Customers!A:A,RANDBETWEEN(2,20))</f>
        <v>C018</v>
      </c>
      <c r="D37" s="2" t="str" cm="1">
        <f t="array" aca="1" ref="D37" ca="1">INDEX(Products!A:A,RANDBETWEEN(2,101))</f>
        <v>P095</v>
      </c>
      <c r="E37" s="2" t="str" cm="1">
        <f t="array" aca="1" ref="E37" ca="1">INDEX(SalesPerson!A:A,RANDBETWEEN(2,21))</f>
        <v>S012</v>
      </c>
      <c r="F37" s="2" t="str">
        <f ca="1">_xlfn.XLOOKUP(C37,Customers!A:A,Customers!B:B)</f>
        <v>PT Indo Retail</v>
      </c>
      <c r="G37" s="2" t="str">
        <f ca="1">_xlfn.XLOOKUP(D37,Products!A:A,Products!B:B)</f>
        <v>UPS APC 650VA</v>
      </c>
      <c r="H37" s="2" t="str">
        <f ca="1">_xlfn.XLOOKUP(E37,SalesPerson!A:A,SalesPerson!B:B)</f>
        <v>Lestari Wulandari</v>
      </c>
      <c r="I37" s="2" t="str">
        <f ca="1">_xlfn.XLOOKUP(E37,SalesPerson!A:A,SalesPerson!C:C)</f>
        <v>Depok</v>
      </c>
      <c r="J37" s="2">
        <f t="shared" ca="1" si="7"/>
        <v>8</v>
      </c>
      <c r="K37" s="2">
        <f ca="1">_xlfn.XLOOKUP(D37,Products!A:A,Products!D:D)</f>
        <v>950000</v>
      </c>
      <c r="L37" s="2">
        <f ca="1">_xlfn.XLOOKUP(D37,Products!A:A,Products!E:E)</f>
        <v>760000</v>
      </c>
      <c r="M37" s="2">
        <f t="shared" ca="1" si="8"/>
        <v>7600000</v>
      </c>
      <c r="N37" s="2">
        <f t="shared" ca="1" si="9"/>
        <v>6080000</v>
      </c>
      <c r="O37" s="4">
        <f t="shared" ca="1" si="10"/>
        <v>1520000</v>
      </c>
      <c r="P37" s="2" t="str">
        <f ca="1">_xlfn.XLOOKUP(D37,Products!A:A,Products!C:C)</f>
        <v>Power</v>
      </c>
    </row>
    <row r="38" spans="1:16" x14ac:dyDescent="0.3">
      <c r="A38" t="str">
        <f t="shared" ca="1" si="2"/>
        <v>0049</v>
      </c>
      <c r="B38" s="3">
        <f t="shared" ca="1" si="6"/>
        <v>45682</v>
      </c>
      <c r="C38" s="2" t="str" cm="1">
        <f t="array" aca="1" ref="C38" ca="1">INDEX(Customers!A:A,RANDBETWEEN(2,20))</f>
        <v>C017</v>
      </c>
      <c r="D38" s="2" t="str" cm="1">
        <f t="array" aca="1" ref="D38" ca="1">INDEX(Products!A:A,RANDBETWEEN(2,101))</f>
        <v>P019</v>
      </c>
      <c r="E38" s="2" t="str" cm="1">
        <f t="array" aca="1" ref="E38" ca="1">INDEX(SalesPerson!A:A,RANDBETWEEN(2,21))</f>
        <v>S011</v>
      </c>
      <c r="F38" s="2" t="str">
        <f ca="1">_xlfn.XLOOKUP(C38,Customers!A:A,Customers!B:B)</f>
        <v>CV Berkah Mandiri</v>
      </c>
      <c r="G38" s="2" t="str">
        <f ca="1">_xlfn.XLOOKUP(D38,Products!A:A,Products!B:B)</f>
        <v>HDMI Cable</v>
      </c>
      <c r="H38" s="2" t="str">
        <f ca="1">_xlfn.XLOOKUP(E38,SalesPerson!A:A,SalesPerson!B:B)</f>
        <v>Kevin Saputra</v>
      </c>
      <c r="I38" s="2" t="str">
        <f ca="1">_xlfn.XLOOKUP(E38,SalesPerson!A:A,SalesPerson!C:C)</f>
        <v>Tangerang</v>
      </c>
      <c r="J38" s="2">
        <f t="shared" ca="1" si="7"/>
        <v>1</v>
      </c>
      <c r="K38" s="2">
        <f ca="1">_xlfn.XLOOKUP(D38,Products!A:A,Products!D:D)</f>
        <v>90000</v>
      </c>
      <c r="L38" s="2">
        <f ca="1">_xlfn.XLOOKUP(D38,Products!A:A,Products!E:E)</f>
        <v>50000</v>
      </c>
      <c r="M38" s="2">
        <f t="shared" ca="1" si="8"/>
        <v>90000</v>
      </c>
      <c r="N38" s="2">
        <f t="shared" ca="1" si="9"/>
        <v>50000</v>
      </c>
      <c r="O38" s="4">
        <f t="shared" ca="1" si="10"/>
        <v>40000</v>
      </c>
      <c r="P38" s="2" t="str">
        <f ca="1">_xlfn.XLOOKUP(D38,Products!A:A,Products!C:C)</f>
        <v>Accessories</v>
      </c>
    </row>
    <row r="39" spans="1:16" x14ac:dyDescent="0.3">
      <c r="A39" t="str">
        <f t="shared" ca="1" si="2"/>
        <v>0058</v>
      </c>
      <c r="B39" s="3">
        <f t="shared" ca="1" si="6"/>
        <v>45694</v>
      </c>
      <c r="C39" s="2" t="str" cm="1">
        <f t="array" aca="1" ref="C39" ca="1">INDEX(Customers!A:A,RANDBETWEEN(2,20))</f>
        <v>C009</v>
      </c>
      <c r="D39" s="2" t="str" cm="1">
        <f t="array" aca="1" ref="D39" ca="1">INDEX(Products!A:A,RANDBETWEEN(2,101))</f>
        <v>P036</v>
      </c>
      <c r="E39" s="2" t="str" cm="1">
        <f t="array" aca="1" ref="E39" ca="1">INDEX(SalesPerson!A:A,RANDBETWEEN(2,21))</f>
        <v>S005</v>
      </c>
      <c r="F39" s="2" t="str">
        <f ca="1">_xlfn.XLOOKUP(C39,Customers!A:A,Customers!B:B)</f>
        <v>PT Andalan Prima</v>
      </c>
      <c r="G39" s="2" t="str">
        <f ca="1">_xlfn.XLOOKUP(D39,Products!A:A,Products!B:B)</f>
        <v>Router TP-Link</v>
      </c>
      <c r="H39" s="2" t="str">
        <f ca="1">_xlfn.XLOOKUP(E39,SalesPerson!A:A,SalesPerson!B:B)</f>
        <v>Eka Putri</v>
      </c>
      <c r="I39" s="2" t="str">
        <f ca="1">_xlfn.XLOOKUP(E39,SalesPerson!A:A,SalesPerson!C:C)</f>
        <v>Makassar</v>
      </c>
      <c r="J39" s="2">
        <f t="shared" ca="1" si="7"/>
        <v>5</v>
      </c>
      <c r="K39" s="2">
        <f ca="1">_xlfn.XLOOKUP(D39,Products!A:A,Products!D:D)</f>
        <v>670000</v>
      </c>
      <c r="L39" s="2">
        <f ca="1">_xlfn.XLOOKUP(D39,Products!A:A,Products!E:E)</f>
        <v>510000</v>
      </c>
      <c r="M39" s="2">
        <f t="shared" ca="1" si="8"/>
        <v>3350000</v>
      </c>
      <c r="N39" s="2">
        <f t="shared" ca="1" si="9"/>
        <v>2550000</v>
      </c>
      <c r="O39" s="4">
        <f t="shared" ca="1" si="10"/>
        <v>800000</v>
      </c>
      <c r="P39" s="2" t="str">
        <f ca="1">_xlfn.XLOOKUP(D39,Products!A:A,Products!C:C)</f>
        <v>Network</v>
      </c>
    </row>
    <row r="40" spans="1:16" x14ac:dyDescent="0.3">
      <c r="A40" t="str">
        <f t="shared" ca="1" si="2"/>
        <v>0017</v>
      </c>
      <c r="B40" s="3">
        <f t="shared" ca="1" si="6"/>
        <v>45669</v>
      </c>
      <c r="C40" s="2" t="str" cm="1">
        <f t="array" aca="1" ref="C40" ca="1">INDEX(Customers!A:A,RANDBETWEEN(2,20))</f>
        <v>C005</v>
      </c>
      <c r="D40" s="2" t="str" cm="1">
        <f t="array" aca="1" ref="D40" ca="1">INDEX(Products!A:A,RANDBETWEEN(2,101))</f>
        <v>P067</v>
      </c>
      <c r="E40" s="2" t="str" cm="1">
        <f t="array" aca="1" ref="E40" ca="1">INDEX(SalesPerson!A:A,RANDBETWEEN(2,21))</f>
        <v>S015</v>
      </c>
      <c r="F40" s="2" t="str">
        <f ca="1">_xlfn.XLOOKUP(C40,Customers!A:A,Customers!B:B)</f>
        <v>PT Berkah Sejahtera</v>
      </c>
      <c r="G40" s="2" t="str">
        <f ca="1">_xlfn.XLOOKUP(D40,Products!A:A,Products!B:B)</f>
        <v>Wireless Mouse Logitech</v>
      </c>
      <c r="H40" s="2" t="str">
        <f ca="1">_xlfn.XLOOKUP(E40,SalesPerson!A:A,SalesPerson!B:B)</f>
        <v>Olivia Putri</v>
      </c>
      <c r="I40" s="2" t="str">
        <f ca="1">_xlfn.XLOOKUP(E40,SalesPerson!A:A,SalesPerson!C:C)</f>
        <v>Batam</v>
      </c>
      <c r="J40" s="2">
        <f t="shared" ca="1" si="7"/>
        <v>2</v>
      </c>
      <c r="K40" s="2">
        <f ca="1">_xlfn.XLOOKUP(D40,Products!A:A,Products!D:D)</f>
        <v>250000</v>
      </c>
      <c r="L40" s="2">
        <f ca="1">_xlfn.XLOOKUP(D40,Products!A:A,Products!E:E)</f>
        <v>150000</v>
      </c>
      <c r="M40" s="2">
        <f t="shared" ca="1" si="8"/>
        <v>500000</v>
      </c>
      <c r="N40" s="2">
        <f t="shared" ca="1" si="9"/>
        <v>300000</v>
      </c>
      <c r="O40" s="4">
        <f t="shared" ca="1" si="10"/>
        <v>200000</v>
      </c>
      <c r="P40" s="2" t="str">
        <f ca="1">_xlfn.XLOOKUP(D40,Products!A:A,Products!C:C)</f>
        <v>Accessories</v>
      </c>
    </row>
    <row r="41" spans="1:16" x14ac:dyDescent="0.3">
      <c r="A41" t="str">
        <f t="shared" ca="1" si="2"/>
        <v>0034</v>
      </c>
      <c r="B41" s="3">
        <f t="shared" ca="1" si="6"/>
        <v>45681</v>
      </c>
      <c r="C41" s="2" t="str" cm="1">
        <f t="array" aca="1" ref="C41" ca="1">INDEX(Customers!A:A,RANDBETWEEN(2,20))</f>
        <v>C004</v>
      </c>
      <c r="D41" s="2" t="str" cm="1">
        <f t="array" aca="1" ref="D41" ca="1">INDEX(Products!A:A,RANDBETWEEN(2,101))</f>
        <v>P067</v>
      </c>
      <c r="E41" s="2" t="str" cm="1">
        <f t="array" aca="1" ref="E41" ca="1">INDEX(SalesPerson!A:A,RANDBETWEEN(2,21))</f>
        <v>S003</v>
      </c>
      <c r="F41" s="2" t="str">
        <f ca="1">_xlfn.XLOOKUP(C41,Customers!A:A,Customers!B:B)</f>
        <v>PT Global Digital</v>
      </c>
      <c r="G41" s="2" t="str">
        <f ca="1">_xlfn.XLOOKUP(D41,Products!A:A,Products!B:B)</f>
        <v>Wireless Mouse Logitech</v>
      </c>
      <c r="H41" s="2" t="str">
        <f ca="1">_xlfn.XLOOKUP(E41,SalesPerson!A:A,SalesPerson!B:B)</f>
        <v>Citra Lestari</v>
      </c>
      <c r="I41" s="2" t="str">
        <f ca="1">_xlfn.XLOOKUP(E41,SalesPerson!A:A,SalesPerson!C:C)</f>
        <v>Surabaya</v>
      </c>
      <c r="J41" s="2">
        <f t="shared" ca="1" si="7"/>
        <v>3</v>
      </c>
      <c r="K41" s="2">
        <f ca="1">_xlfn.XLOOKUP(D41,Products!A:A,Products!D:D)</f>
        <v>250000</v>
      </c>
      <c r="L41" s="2">
        <f ca="1">_xlfn.XLOOKUP(D41,Products!A:A,Products!E:E)</f>
        <v>150000</v>
      </c>
      <c r="M41" s="2">
        <f t="shared" ca="1" si="8"/>
        <v>750000</v>
      </c>
      <c r="N41" s="2">
        <f t="shared" ca="1" si="9"/>
        <v>450000</v>
      </c>
      <c r="O41" s="4">
        <f t="shared" ca="1" si="10"/>
        <v>300000</v>
      </c>
      <c r="P41" s="2" t="str">
        <f ca="1">_xlfn.XLOOKUP(D41,Products!A:A,Products!C:C)</f>
        <v>Accessories</v>
      </c>
    </row>
    <row r="42" spans="1:16" x14ac:dyDescent="0.3">
      <c r="A42" t="str">
        <f t="shared" ca="1" si="2"/>
        <v>0053</v>
      </c>
      <c r="B42" s="3">
        <f t="shared" ca="1" si="6"/>
        <v>45718</v>
      </c>
      <c r="C42" s="2" t="str" cm="1">
        <f t="array" aca="1" ref="C42" ca="1">INDEX(Customers!A:A,RANDBETWEEN(2,20))</f>
        <v>C018</v>
      </c>
      <c r="D42" s="2" t="str" cm="1">
        <f t="array" aca="1" ref="D42" ca="1">INDEX(Products!A:A,RANDBETWEEN(2,101))</f>
        <v>P092</v>
      </c>
      <c r="E42" s="2" t="str" cm="1">
        <f t="array" aca="1" ref="E42" ca="1">INDEX(SalesPerson!A:A,RANDBETWEEN(2,21))</f>
        <v>S008</v>
      </c>
      <c r="F42" s="2" t="str">
        <f ca="1">_xlfn.XLOOKUP(C42,Customers!A:A,Customers!B:B)</f>
        <v>PT Indo Retail</v>
      </c>
      <c r="G42" s="2" t="str">
        <f ca="1">_xlfn.XLOOKUP(D42,Products!A:A,Products!B:B)</f>
        <v>Webcam Logitech</v>
      </c>
      <c r="H42" s="2" t="str">
        <f ca="1">_xlfn.XLOOKUP(E42,SalesPerson!A:A,SalesPerson!B:B)</f>
        <v>Hendra Wijaya</v>
      </c>
      <c r="I42" s="2" t="str">
        <f ca="1">_xlfn.XLOOKUP(E42,SalesPerson!A:A,SalesPerson!C:C)</f>
        <v>Bali</v>
      </c>
      <c r="J42" s="2">
        <f t="shared" ca="1" si="7"/>
        <v>4</v>
      </c>
      <c r="K42" s="2">
        <f ca="1">_xlfn.XLOOKUP(D42,Products!A:A,Products!D:D)</f>
        <v>680000</v>
      </c>
      <c r="L42" s="2">
        <f ca="1">_xlfn.XLOOKUP(D42,Products!A:A,Products!E:E)</f>
        <v>520000</v>
      </c>
      <c r="M42" s="2">
        <f t="shared" ca="1" si="8"/>
        <v>2720000</v>
      </c>
      <c r="N42" s="2">
        <f t="shared" ca="1" si="9"/>
        <v>2080000</v>
      </c>
      <c r="O42" s="4">
        <f t="shared" ca="1" si="10"/>
        <v>640000</v>
      </c>
      <c r="P42" s="2" t="str">
        <f ca="1">_xlfn.XLOOKUP(D42,Products!A:A,Products!C:C)</f>
        <v>Accessories</v>
      </c>
    </row>
    <row r="43" spans="1:16" x14ac:dyDescent="0.3">
      <c r="A43" t="str">
        <f t="shared" ca="1" si="2"/>
        <v>0077</v>
      </c>
      <c r="B43" s="3">
        <f t="shared" ca="1" si="6"/>
        <v>45720</v>
      </c>
      <c r="C43" s="2" t="str" cm="1">
        <f t="array" aca="1" ref="C43" ca="1">INDEX(Customers!A:A,RANDBETWEEN(2,20))</f>
        <v>C013</v>
      </c>
      <c r="D43" s="2" t="str" cm="1">
        <f t="array" aca="1" ref="D43" ca="1">INDEX(Products!A:A,RANDBETWEEN(2,101))</f>
        <v>P005</v>
      </c>
      <c r="E43" s="2" t="str" cm="1">
        <f t="array" aca="1" ref="E43" ca="1">INDEX(SalesPerson!A:A,RANDBETWEEN(2,21))</f>
        <v>S019</v>
      </c>
      <c r="F43" s="2" t="str">
        <f ca="1">_xlfn.XLOOKUP(C43,Customers!A:A,Customers!B:B)</f>
        <v>PT Prima Teknologi</v>
      </c>
      <c r="G43" s="2" t="str">
        <f ca="1">_xlfn.XLOOKUP(D43,Products!A:A,Products!B:B)</f>
        <v>Monitor Samsung 27"</v>
      </c>
      <c r="H43" s="2" t="str">
        <f ca="1">_xlfn.XLOOKUP(E43,SalesPerson!A:A,SalesPerson!B:B)</f>
        <v>Sinta Maharani</v>
      </c>
      <c r="I43" s="2" t="str">
        <f ca="1">_xlfn.XLOOKUP(E43,SalesPerson!A:A,SalesPerson!C:C)</f>
        <v>Solo</v>
      </c>
      <c r="J43" s="2">
        <f t="shared" ca="1" si="7"/>
        <v>3</v>
      </c>
      <c r="K43" s="2">
        <f ca="1">_xlfn.XLOOKUP(D43,Products!A:A,Products!D:D)</f>
        <v>3200000</v>
      </c>
      <c r="L43" s="2">
        <f ca="1">_xlfn.XLOOKUP(D43,Products!A:A,Products!E:E)</f>
        <v>2600000</v>
      </c>
      <c r="M43" s="2">
        <f t="shared" ca="1" si="8"/>
        <v>9600000</v>
      </c>
      <c r="N43" s="2">
        <f t="shared" ca="1" si="9"/>
        <v>7800000</v>
      </c>
      <c r="O43" s="4">
        <f t="shared" ca="1" si="10"/>
        <v>1800000</v>
      </c>
      <c r="P43" s="2" t="str">
        <f ca="1">_xlfn.XLOOKUP(D43,Products!A:A,Products!C:C)</f>
        <v>Monitor</v>
      </c>
    </row>
    <row r="44" spans="1:16" x14ac:dyDescent="0.3">
      <c r="A44" t="str">
        <f t="shared" ca="1" si="2"/>
        <v>0041</v>
      </c>
      <c r="B44" s="3">
        <f t="shared" ca="1" si="6"/>
        <v>45701</v>
      </c>
      <c r="C44" s="2" t="str" cm="1">
        <f t="array" aca="1" ref="C44" ca="1">INDEX(Customers!A:A,RANDBETWEEN(2,20))</f>
        <v>C013</v>
      </c>
      <c r="D44" s="2" t="str" cm="1">
        <f t="array" aca="1" ref="D44" ca="1">INDEX(Products!A:A,RANDBETWEEN(2,101))</f>
        <v>P042</v>
      </c>
      <c r="E44" s="2" t="str" cm="1">
        <f t="array" aca="1" ref="E44" ca="1">INDEX(SalesPerson!A:A,RANDBETWEEN(2,21))</f>
        <v>S006</v>
      </c>
      <c r="F44" s="2" t="str">
        <f ca="1">_xlfn.XLOOKUP(C44,Customers!A:A,Customers!B:B)</f>
        <v>PT Prima Teknologi</v>
      </c>
      <c r="G44" s="2" t="str">
        <f ca="1">_xlfn.XLOOKUP(D44,Products!A:A,Products!B:B)</f>
        <v>Laptop Lenovo IdeaPad</v>
      </c>
      <c r="H44" s="2" t="str">
        <f ca="1">_xlfn.XLOOKUP(E44,SalesPerson!A:A,SalesPerson!B:B)</f>
        <v>Fajar Nugroho</v>
      </c>
      <c r="I44" s="2" t="str">
        <f ca="1">_xlfn.XLOOKUP(E44,SalesPerson!A:A,SalesPerson!C:C)</f>
        <v>Semarang</v>
      </c>
      <c r="J44" s="2">
        <f t="shared" ca="1" si="7"/>
        <v>9</v>
      </c>
      <c r="K44" s="2">
        <f ca="1">_xlfn.XLOOKUP(D44,Products!A:A,Products!D:D)</f>
        <v>9200000</v>
      </c>
      <c r="L44" s="2">
        <f ca="1">_xlfn.XLOOKUP(D44,Products!A:A,Products!E:E)</f>
        <v>7900000</v>
      </c>
      <c r="M44" s="2">
        <f t="shared" ca="1" si="8"/>
        <v>82800000</v>
      </c>
      <c r="N44" s="2">
        <f t="shared" ca="1" si="9"/>
        <v>71100000</v>
      </c>
      <c r="O44" s="4">
        <f t="shared" ca="1" si="10"/>
        <v>11700000</v>
      </c>
      <c r="P44" s="2" t="str">
        <f ca="1">_xlfn.XLOOKUP(D44,Products!A:A,Products!C:C)</f>
        <v>Laptop</v>
      </c>
    </row>
    <row r="45" spans="1:16" ht="28.8" x14ac:dyDescent="0.3">
      <c r="A45" t="str">
        <f t="shared" ca="1" si="2"/>
        <v>0026</v>
      </c>
      <c r="B45" s="3">
        <f t="shared" ca="1" si="6"/>
        <v>45710</v>
      </c>
      <c r="C45" s="2" t="str" cm="1">
        <f t="array" aca="1" ref="C45" ca="1">INDEX(Customers!A:A,RANDBETWEEN(2,20))</f>
        <v>C007</v>
      </c>
      <c r="D45" s="2" t="str" cm="1">
        <f t="array" aca="1" ref="D45" ca="1">INDEX(Products!A:A,RANDBETWEEN(2,101))</f>
        <v>P094</v>
      </c>
      <c r="E45" s="2" t="str" cm="1">
        <f t="array" aca="1" ref="E45" ca="1">INDEX(SalesPerson!A:A,RANDBETWEEN(2,21))</f>
        <v>S006</v>
      </c>
      <c r="F45" s="2" t="str">
        <f ca="1">_xlfn.XLOOKUP(C45,Customers!A:A,Customers!B:B)</f>
        <v>PT Mitra Solusi</v>
      </c>
      <c r="G45" s="2" t="str">
        <f ca="1">_xlfn.XLOOKUP(D45,Products!A:A,Products!B:B)</f>
        <v>Speaker Logitech</v>
      </c>
      <c r="H45" s="2" t="str">
        <f ca="1">_xlfn.XLOOKUP(E45,SalesPerson!A:A,SalesPerson!B:B)</f>
        <v>Fajar Nugroho</v>
      </c>
      <c r="I45" s="2" t="str">
        <f ca="1">_xlfn.XLOOKUP(E45,SalesPerson!A:A,SalesPerson!C:C)</f>
        <v>Semarang</v>
      </c>
      <c r="J45" s="2">
        <f t="shared" ca="1" si="7"/>
        <v>1</v>
      </c>
      <c r="K45" s="2">
        <f ca="1">_xlfn.XLOOKUP(D45,Products!A:A,Products!D:D)</f>
        <v>780000</v>
      </c>
      <c r="L45" s="2">
        <f ca="1">_xlfn.XLOOKUP(D45,Products!A:A,Products!E:E)</f>
        <v>590000</v>
      </c>
      <c r="M45" s="2">
        <f t="shared" ca="1" si="8"/>
        <v>780000</v>
      </c>
      <c r="N45" s="2">
        <f t="shared" ca="1" si="9"/>
        <v>590000</v>
      </c>
      <c r="O45" s="4">
        <f t="shared" ca="1" si="10"/>
        <v>190000</v>
      </c>
      <c r="P45" s="2" t="str">
        <f ca="1">_xlfn.XLOOKUP(D45,Products!A:A,Products!C:C)</f>
        <v>Audio</v>
      </c>
    </row>
    <row r="46" spans="1:16" x14ac:dyDescent="0.3">
      <c r="A46" t="str">
        <f t="shared" ca="1" si="2"/>
        <v>0097</v>
      </c>
      <c r="B46" s="3">
        <f t="shared" ca="1" si="6"/>
        <v>45665</v>
      </c>
      <c r="C46" s="2" t="str" cm="1">
        <f t="array" aca="1" ref="C46" ca="1">INDEX(Customers!A:A,RANDBETWEEN(2,20))</f>
        <v>C003</v>
      </c>
      <c r="D46" s="2" t="str" cm="1">
        <f t="array" aca="1" ref="D46" ca="1">INDEX(Products!A:A,RANDBETWEEN(2,101))</f>
        <v>P008</v>
      </c>
      <c r="E46" s="2" t="str" cm="1">
        <f t="array" aca="1" ref="E46" ca="1">INDEX(SalesPerson!A:A,RANDBETWEEN(2,21))</f>
        <v>S006</v>
      </c>
      <c r="F46" s="2" t="str">
        <f ca="1">_xlfn.XLOOKUP(C46,Customers!A:A,Customers!B:B)</f>
        <v>CV Sinar Teknologi</v>
      </c>
      <c r="G46" s="2" t="str">
        <f ca="1">_xlfn.XLOOKUP(D46,Products!A:A,Products!B:B)</f>
        <v>SSD 1TB Kingston</v>
      </c>
      <c r="H46" s="2" t="str">
        <f ca="1">_xlfn.XLOOKUP(E46,SalesPerson!A:A,SalesPerson!B:B)</f>
        <v>Fajar Nugroho</v>
      </c>
      <c r="I46" s="2" t="str">
        <f ca="1">_xlfn.XLOOKUP(E46,SalesPerson!A:A,SalesPerson!C:C)</f>
        <v>Semarang</v>
      </c>
      <c r="J46" s="2">
        <f t="shared" ca="1" si="7"/>
        <v>8</v>
      </c>
      <c r="K46" s="2">
        <f ca="1">_xlfn.XLOOKUP(D46,Products!A:A,Products!D:D)</f>
        <v>1250000</v>
      </c>
      <c r="L46" s="2">
        <f ca="1">_xlfn.XLOOKUP(D46,Products!A:A,Products!E:E)</f>
        <v>980000</v>
      </c>
      <c r="M46" s="2">
        <f t="shared" ca="1" si="8"/>
        <v>10000000</v>
      </c>
      <c r="N46" s="2">
        <f t="shared" ca="1" si="9"/>
        <v>7840000</v>
      </c>
      <c r="O46" s="4">
        <f t="shared" ca="1" si="10"/>
        <v>2160000</v>
      </c>
      <c r="P46" s="2" t="str">
        <f ca="1">_xlfn.XLOOKUP(D46,Products!A:A,Products!C:C)</f>
        <v>Storage</v>
      </c>
    </row>
    <row r="47" spans="1:16" x14ac:dyDescent="0.3">
      <c r="A47" t="str">
        <f t="shared" ca="1" si="2"/>
        <v>0029</v>
      </c>
      <c r="B47" s="3">
        <f t="shared" ca="1" si="6"/>
        <v>45659</v>
      </c>
      <c r="C47" s="2" t="str" cm="1">
        <f t="array" aca="1" ref="C47" ca="1">INDEX(Customers!A:A,RANDBETWEEN(2,20))</f>
        <v>C010</v>
      </c>
      <c r="D47" s="2" t="str" cm="1">
        <f t="array" aca="1" ref="D47" ca="1">INDEX(Products!A:A,RANDBETWEEN(2,101))</f>
        <v>P088</v>
      </c>
      <c r="E47" s="2" t="str" cm="1">
        <f t="array" aca="1" ref="E47" ca="1">INDEX(SalesPerson!A:A,RANDBETWEEN(2,21))</f>
        <v>S001</v>
      </c>
      <c r="F47" s="2" t="str">
        <f ca="1">_xlfn.XLOOKUP(C47,Customers!A:A,Customers!B:B)</f>
        <v>PT Bintang Timur</v>
      </c>
      <c r="G47" s="2" t="str">
        <f ca="1">_xlfn.XLOOKUP(D47,Products!A:A,Products!B:B)</f>
        <v>SSD 1TB Kingston</v>
      </c>
      <c r="H47" s="2" t="str">
        <f ca="1">_xlfn.XLOOKUP(E47,SalesPerson!A:A,SalesPerson!B:B)</f>
        <v>Andi Pratama</v>
      </c>
      <c r="I47" s="2" t="str">
        <f ca="1">_xlfn.XLOOKUP(E47,SalesPerson!A:A,SalesPerson!C:C)</f>
        <v>Jakarta</v>
      </c>
      <c r="J47" s="2">
        <f t="shared" ca="1" si="7"/>
        <v>10</v>
      </c>
      <c r="K47" s="2">
        <f ca="1">_xlfn.XLOOKUP(D47,Products!A:A,Products!D:D)</f>
        <v>1250000</v>
      </c>
      <c r="L47" s="2">
        <f ca="1">_xlfn.XLOOKUP(D47,Products!A:A,Products!E:E)</f>
        <v>980000</v>
      </c>
      <c r="M47" s="2">
        <f t="shared" ca="1" si="8"/>
        <v>12500000</v>
      </c>
      <c r="N47" s="2">
        <f t="shared" ca="1" si="9"/>
        <v>9800000</v>
      </c>
      <c r="O47" s="4">
        <f t="shared" ca="1" si="10"/>
        <v>2700000</v>
      </c>
      <c r="P47" s="2" t="str">
        <f ca="1">_xlfn.XLOOKUP(D47,Products!A:A,Products!C:C)</f>
        <v>Storage</v>
      </c>
    </row>
    <row r="48" spans="1:16" ht="28.8" x14ac:dyDescent="0.3">
      <c r="A48" t="str">
        <f t="shared" ca="1" si="2"/>
        <v>0026</v>
      </c>
      <c r="B48" s="3">
        <f t="shared" ca="1" si="6"/>
        <v>45672</v>
      </c>
      <c r="C48" s="2" t="str" cm="1">
        <f t="array" aca="1" ref="C48" ca="1">INDEX(Customers!A:A,RANDBETWEEN(2,20))</f>
        <v>C015</v>
      </c>
      <c r="D48" s="2" t="str" cm="1">
        <f t="array" aca="1" ref="D48" ca="1">INDEX(Products!A:A,RANDBETWEEN(2,101))</f>
        <v>P082</v>
      </c>
      <c r="E48" s="2" t="str" cm="1">
        <f t="array" aca="1" ref="E48" ca="1">INDEX(SalesPerson!A:A,RANDBETWEEN(2,21))</f>
        <v>S008</v>
      </c>
      <c r="F48" s="2" t="str">
        <f ca="1">_xlfn.XLOOKUP(C48,Customers!A:A,Customers!B:B)</f>
        <v>PT Sentosa Abadi</v>
      </c>
      <c r="G48" s="2" t="str">
        <f ca="1">_xlfn.XLOOKUP(D48,Products!A:A,Products!B:B)</f>
        <v>Laptop Lenovo IdeaPad</v>
      </c>
      <c r="H48" s="2" t="str">
        <f ca="1">_xlfn.XLOOKUP(E48,SalesPerson!A:A,SalesPerson!B:B)</f>
        <v>Hendra Wijaya</v>
      </c>
      <c r="I48" s="2" t="str">
        <f ca="1">_xlfn.XLOOKUP(E48,SalesPerson!A:A,SalesPerson!C:C)</f>
        <v>Bali</v>
      </c>
      <c r="J48" s="2">
        <f t="shared" ca="1" si="7"/>
        <v>7</v>
      </c>
      <c r="K48" s="2">
        <f ca="1">_xlfn.XLOOKUP(D48,Products!A:A,Products!D:D)</f>
        <v>9200000</v>
      </c>
      <c r="L48" s="2">
        <f ca="1">_xlfn.XLOOKUP(D48,Products!A:A,Products!E:E)</f>
        <v>7900000</v>
      </c>
      <c r="M48" s="2">
        <f t="shared" ca="1" si="8"/>
        <v>64400000</v>
      </c>
      <c r="N48" s="2">
        <f t="shared" ca="1" si="9"/>
        <v>55300000</v>
      </c>
      <c r="O48" s="4">
        <f t="shared" ca="1" si="10"/>
        <v>9100000</v>
      </c>
      <c r="P48" s="2" t="str">
        <f ca="1">_xlfn.XLOOKUP(D48,Products!A:A,Products!C:C)</f>
        <v>Laptop</v>
      </c>
    </row>
    <row r="49" spans="1:16" x14ac:dyDescent="0.3">
      <c r="A49" t="str">
        <f t="shared" ca="1" si="2"/>
        <v>0081</v>
      </c>
      <c r="B49" s="3">
        <f t="shared" ca="1" si="6"/>
        <v>45707</v>
      </c>
      <c r="C49" s="2" t="str" cm="1">
        <f t="array" aca="1" ref="C49" ca="1">INDEX(Customers!A:A,RANDBETWEEN(2,20))</f>
        <v>C007</v>
      </c>
      <c r="D49" s="2" t="str" cm="1">
        <f t="array" aca="1" ref="D49" ca="1">INDEX(Products!A:A,RANDBETWEEN(2,101))</f>
        <v>P028</v>
      </c>
      <c r="E49" s="2" t="str" cm="1">
        <f t="array" aca="1" ref="E49" ca="1">INDEX(SalesPerson!A:A,RANDBETWEEN(2,21))</f>
        <v>S016</v>
      </c>
      <c r="F49" s="2" t="str">
        <f ca="1">_xlfn.XLOOKUP(C49,Customers!A:A,Customers!B:B)</f>
        <v>PT Mitra Solusi</v>
      </c>
      <c r="G49" s="2" t="str">
        <f ca="1">_xlfn.XLOOKUP(D49,Products!A:A,Products!B:B)</f>
        <v>SSD 1TB Kingston</v>
      </c>
      <c r="H49" s="2" t="str">
        <f ca="1">_xlfn.XLOOKUP(E49,SalesPerson!A:A,SalesPerson!B:B)</f>
        <v>Putra Ramadhan</v>
      </c>
      <c r="I49" s="2" t="str">
        <f ca="1">_xlfn.XLOOKUP(E49,SalesPerson!A:A,SalesPerson!C:C)</f>
        <v>Pekanbaru</v>
      </c>
      <c r="J49" s="2">
        <f t="shared" ca="1" si="7"/>
        <v>7</v>
      </c>
      <c r="K49" s="2">
        <f ca="1">_xlfn.XLOOKUP(D49,Products!A:A,Products!D:D)</f>
        <v>1250000</v>
      </c>
      <c r="L49" s="2">
        <f ca="1">_xlfn.XLOOKUP(D49,Products!A:A,Products!E:E)</f>
        <v>980000</v>
      </c>
      <c r="M49" s="2">
        <f t="shared" ca="1" si="8"/>
        <v>8750000</v>
      </c>
      <c r="N49" s="2">
        <f t="shared" ca="1" si="9"/>
        <v>6860000</v>
      </c>
      <c r="O49" s="4">
        <f t="shared" ca="1" si="10"/>
        <v>1890000</v>
      </c>
      <c r="P49" s="2" t="str">
        <f ca="1">_xlfn.XLOOKUP(D49,Products!A:A,Products!C:C)</f>
        <v>Storage</v>
      </c>
    </row>
    <row r="50" spans="1:16" x14ac:dyDescent="0.3">
      <c r="A50" t="str">
        <f t="shared" ca="1" si="2"/>
        <v>0027</v>
      </c>
      <c r="B50" s="3">
        <f t="shared" ca="1" si="6"/>
        <v>45677</v>
      </c>
      <c r="C50" s="2" t="str" cm="1">
        <f t="array" aca="1" ref="C50" ca="1">INDEX(Customers!A:A,RANDBETWEEN(2,20))</f>
        <v>C005</v>
      </c>
      <c r="D50" s="2" t="str" cm="1">
        <f t="array" aca="1" ref="D50" ca="1">INDEX(Products!A:A,RANDBETWEEN(2,101))</f>
        <v>P045</v>
      </c>
      <c r="E50" s="2" t="str" cm="1">
        <f t="array" aca="1" ref="E50" ca="1">INDEX(SalesPerson!A:A,RANDBETWEEN(2,21))</f>
        <v>S020</v>
      </c>
      <c r="F50" s="2" t="str">
        <f ca="1">_xlfn.XLOOKUP(C50,Customers!A:A,Customers!B:B)</f>
        <v>PT Berkah Sejahtera</v>
      </c>
      <c r="G50" s="2" t="str">
        <f ca="1">_xlfn.XLOOKUP(D50,Products!A:A,Products!B:B)</f>
        <v>Monitor Samsung 27"</v>
      </c>
      <c r="H50" s="2" t="str">
        <f ca="1">_xlfn.XLOOKUP(E50,SalesPerson!A:A,SalesPerson!B:B)</f>
        <v>Teguh Hidayat</v>
      </c>
      <c r="I50" s="2" t="str">
        <f ca="1">_xlfn.XLOOKUP(E50,SalesPerson!A:A,SalesPerson!C:C)</f>
        <v>Cirebon</v>
      </c>
      <c r="J50" s="2">
        <f t="shared" ca="1" si="7"/>
        <v>3</v>
      </c>
      <c r="K50" s="2">
        <f ca="1">_xlfn.XLOOKUP(D50,Products!A:A,Products!D:D)</f>
        <v>3200000</v>
      </c>
      <c r="L50" s="2">
        <f ca="1">_xlfn.XLOOKUP(D50,Products!A:A,Products!E:E)</f>
        <v>2600000</v>
      </c>
      <c r="M50" s="2">
        <f t="shared" ca="1" si="8"/>
        <v>9600000</v>
      </c>
      <c r="N50" s="2">
        <f t="shared" ca="1" si="9"/>
        <v>7800000</v>
      </c>
      <c r="O50" s="4">
        <f t="shared" ca="1" si="10"/>
        <v>1800000</v>
      </c>
      <c r="P50" s="2" t="str">
        <f ca="1">_xlfn.XLOOKUP(D50,Products!A:A,Products!C:C)</f>
        <v>Monitor</v>
      </c>
    </row>
    <row r="51" spans="1:16" x14ac:dyDescent="0.3">
      <c r="A51" t="str">
        <f t="shared" ca="1" si="2"/>
        <v>0045</v>
      </c>
      <c r="B51" s="3">
        <f t="shared" ca="1" si="6"/>
        <v>45709</v>
      </c>
      <c r="C51" s="2" t="str" cm="1">
        <f t="array" aca="1" ref="C51" ca="1">INDEX(Customers!A:A,RANDBETWEEN(2,20))</f>
        <v>C001</v>
      </c>
      <c r="D51" s="2" t="str" cm="1">
        <f t="array" aca="1" ref="D51" ca="1">INDEX(Products!A:A,RANDBETWEEN(2,101))</f>
        <v>P009</v>
      </c>
      <c r="E51" s="2" t="str" cm="1">
        <f t="array" aca="1" ref="E51" ca="1">INDEX(SalesPerson!A:A,RANDBETWEEN(2,21))</f>
        <v>S010</v>
      </c>
      <c r="F51" s="2" t="str">
        <f ca="1">_xlfn.XLOOKUP(C51,Customers!A:A,Customers!B:B)</f>
        <v>PT Maju Jaya</v>
      </c>
      <c r="G51" s="2" t="str">
        <f ca="1">_xlfn.XLOOKUP(D51,Products!A:A,Products!B:B)</f>
        <v>SSD 512GB Samsung</v>
      </c>
      <c r="H51" s="2" t="str">
        <f ca="1">_xlfn.XLOOKUP(E51,SalesPerson!A:A,SalesPerson!B:B)</f>
        <v>Joko Susilo</v>
      </c>
      <c r="I51" s="2" t="str">
        <f ca="1">_xlfn.XLOOKUP(E51,SalesPerson!A:A,SalesPerson!C:C)</f>
        <v>Bekasi</v>
      </c>
      <c r="J51" s="2">
        <f t="shared" ca="1" si="7"/>
        <v>1</v>
      </c>
      <c r="K51" s="2">
        <f ca="1">_xlfn.XLOOKUP(D51,Products!A:A,Products!D:D)</f>
        <v>850000</v>
      </c>
      <c r="L51" s="2">
        <f ca="1">_xlfn.XLOOKUP(D51,Products!A:A,Products!E:E)</f>
        <v>670000</v>
      </c>
      <c r="M51" s="2">
        <f t="shared" ca="1" si="8"/>
        <v>850000</v>
      </c>
      <c r="N51" s="2">
        <f t="shared" ca="1" si="9"/>
        <v>670000</v>
      </c>
      <c r="O51" s="4">
        <f t="shared" ca="1" si="10"/>
        <v>180000</v>
      </c>
      <c r="P51" s="2" t="str">
        <f ca="1">_xlfn.XLOOKUP(D51,Products!A:A,Products!C:C)</f>
        <v>Storage</v>
      </c>
    </row>
    <row r="52" spans="1:16" x14ac:dyDescent="0.3">
      <c r="A52" t="str">
        <f t="shared" ca="1" si="2"/>
        <v>0027</v>
      </c>
      <c r="B52" s="3">
        <f t="shared" ca="1" si="6"/>
        <v>45695</v>
      </c>
      <c r="C52" s="2" t="str" cm="1">
        <f t="array" aca="1" ref="C52" ca="1">INDEX(Customers!A:A,RANDBETWEEN(2,20))</f>
        <v>C015</v>
      </c>
      <c r="D52" s="2" t="str" cm="1">
        <f t="array" aca="1" ref="D52" ca="1">INDEX(Products!A:A,RANDBETWEEN(2,101))</f>
        <v>P068</v>
      </c>
      <c r="E52" s="2" t="str" cm="1">
        <f t="array" aca="1" ref="E52" ca="1">INDEX(SalesPerson!A:A,RANDBETWEEN(2,21))</f>
        <v>S006</v>
      </c>
      <c r="F52" s="2" t="str">
        <f ca="1">_xlfn.XLOOKUP(C52,Customers!A:A,Customers!B:B)</f>
        <v>PT Sentosa Abadi</v>
      </c>
      <c r="G52" s="2" t="str">
        <f ca="1">_xlfn.XLOOKUP(D52,Products!A:A,Products!B:B)</f>
        <v>SSD 1TB Kingston</v>
      </c>
      <c r="H52" s="2" t="str">
        <f ca="1">_xlfn.XLOOKUP(E52,SalesPerson!A:A,SalesPerson!B:B)</f>
        <v>Fajar Nugroho</v>
      </c>
      <c r="I52" s="2" t="str">
        <f ca="1">_xlfn.XLOOKUP(E52,SalesPerson!A:A,SalesPerson!C:C)</f>
        <v>Semarang</v>
      </c>
      <c r="J52" s="2">
        <f t="shared" ca="1" si="7"/>
        <v>5</v>
      </c>
      <c r="K52" s="2">
        <f ca="1">_xlfn.XLOOKUP(D52,Products!A:A,Products!D:D)</f>
        <v>1250000</v>
      </c>
      <c r="L52" s="2">
        <f ca="1">_xlfn.XLOOKUP(D52,Products!A:A,Products!E:E)</f>
        <v>980000</v>
      </c>
      <c r="M52" s="2">
        <f t="shared" ca="1" si="8"/>
        <v>6250000</v>
      </c>
      <c r="N52" s="2">
        <f t="shared" ca="1" si="9"/>
        <v>4900000</v>
      </c>
      <c r="O52" s="4">
        <f t="shared" ca="1" si="10"/>
        <v>1350000</v>
      </c>
      <c r="P52" s="2" t="str">
        <f ca="1">_xlfn.XLOOKUP(D52,Products!A:A,Products!C:C)</f>
        <v>Storage</v>
      </c>
    </row>
    <row r="53" spans="1:16" ht="28.8" x14ac:dyDescent="0.3">
      <c r="A53" t="str">
        <f t="shared" ca="1" si="2"/>
        <v>0047</v>
      </c>
      <c r="B53" s="3">
        <f t="shared" ca="1" si="6"/>
        <v>45661</v>
      </c>
      <c r="C53" s="2" t="str" cm="1">
        <f t="array" aca="1" ref="C53" ca="1">INDEX(Customers!A:A,RANDBETWEEN(2,20))</f>
        <v>C009</v>
      </c>
      <c r="D53" s="2" t="str" cm="1">
        <f t="array" aca="1" ref="D53" ca="1">INDEX(Products!A:A,RANDBETWEEN(2,101))</f>
        <v>P060</v>
      </c>
      <c r="E53" s="2" t="str" cm="1">
        <f t="array" aca="1" ref="E53" ca="1">INDEX(SalesPerson!A:A,RANDBETWEEN(2,21))</f>
        <v>S010</v>
      </c>
      <c r="F53" s="2" t="str">
        <f ca="1">_xlfn.XLOOKUP(C53,Customers!A:A,Customers!B:B)</f>
        <v>PT Andalan Prima</v>
      </c>
      <c r="G53" s="2" t="str">
        <f ca="1">_xlfn.XLOOKUP(D53,Products!A:A,Products!B:B)</f>
        <v>USB Hub 4 Port</v>
      </c>
      <c r="H53" s="2" t="str">
        <f ca="1">_xlfn.XLOOKUP(E53,SalesPerson!A:A,SalesPerson!B:B)</f>
        <v>Joko Susilo</v>
      </c>
      <c r="I53" s="2" t="str">
        <f ca="1">_xlfn.XLOOKUP(E53,SalesPerson!A:A,SalesPerson!C:C)</f>
        <v>Bekasi</v>
      </c>
      <c r="J53" s="2">
        <f t="shared" ca="1" si="7"/>
        <v>2</v>
      </c>
      <c r="K53" s="2">
        <f ca="1">_xlfn.XLOOKUP(D53,Products!A:A,Products!D:D)</f>
        <v>150000</v>
      </c>
      <c r="L53" s="2">
        <f ca="1">_xlfn.XLOOKUP(D53,Products!A:A,Products!E:E)</f>
        <v>90000</v>
      </c>
      <c r="M53" s="2">
        <f t="shared" ca="1" si="8"/>
        <v>300000</v>
      </c>
      <c r="N53" s="2">
        <f t="shared" ca="1" si="9"/>
        <v>180000</v>
      </c>
      <c r="O53" s="4">
        <f t="shared" ca="1" si="10"/>
        <v>120000</v>
      </c>
      <c r="P53" s="2" t="str">
        <f ca="1">_xlfn.XLOOKUP(D53,Products!A:A,Products!C:C)</f>
        <v>Accessories</v>
      </c>
    </row>
    <row r="54" spans="1:16" ht="28.8" x14ac:dyDescent="0.3">
      <c r="A54" t="str">
        <f t="shared" ca="1" si="2"/>
        <v>0050</v>
      </c>
      <c r="B54" s="3">
        <f t="shared" ca="1" si="6"/>
        <v>45695</v>
      </c>
      <c r="C54" s="2" t="str" cm="1">
        <f t="array" aca="1" ref="C54" ca="1">INDEX(Customers!A:A,RANDBETWEEN(2,20))</f>
        <v>C002</v>
      </c>
      <c r="D54" s="2" t="str" cm="1">
        <f t="array" aca="1" ref="D54" ca="1">INDEX(Products!A:A,RANDBETWEEN(2,101))</f>
        <v>P048</v>
      </c>
      <c r="E54" s="2" t="str" cm="1">
        <f t="array" aca="1" ref="E54" ca="1">INDEX(SalesPerson!A:A,RANDBETWEEN(2,21))</f>
        <v>S017</v>
      </c>
      <c r="F54" s="2" t="str">
        <f ca="1">_xlfn.XLOOKUP(C54,Customers!A:A,Customers!B:B)</f>
        <v>PT Nusantara Abadi</v>
      </c>
      <c r="G54" s="2" t="str">
        <f ca="1">_xlfn.XLOOKUP(D54,Products!A:A,Products!B:B)</f>
        <v>SSD 1TB Kingston</v>
      </c>
      <c r="H54" s="2" t="str">
        <f ca="1">_xlfn.XLOOKUP(E54,SalesPerson!A:A,SalesPerson!B:B)</f>
        <v>Qori Amanda</v>
      </c>
      <c r="I54" s="2" t="str">
        <f ca="1">_xlfn.XLOOKUP(E54,SalesPerson!A:A,SalesPerson!C:C)</f>
        <v>Pontianak</v>
      </c>
      <c r="J54" s="2">
        <f t="shared" ca="1" si="7"/>
        <v>2</v>
      </c>
      <c r="K54" s="2">
        <f ca="1">_xlfn.XLOOKUP(D54,Products!A:A,Products!D:D)</f>
        <v>1250000</v>
      </c>
      <c r="L54" s="2">
        <f ca="1">_xlfn.XLOOKUP(D54,Products!A:A,Products!E:E)</f>
        <v>980000</v>
      </c>
      <c r="M54" s="2">
        <f t="shared" ca="1" si="8"/>
        <v>2500000</v>
      </c>
      <c r="N54" s="2">
        <f t="shared" ca="1" si="9"/>
        <v>1960000</v>
      </c>
      <c r="O54" s="4">
        <f t="shared" ca="1" si="10"/>
        <v>540000</v>
      </c>
      <c r="P54" s="2" t="str">
        <f ca="1">_xlfn.XLOOKUP(D54,Products!A:A,Products!C:C)</f>
        <v>Storage</v>
      </c>
    </row>
    <row r="55" spans="1:16" x14ac:dyDescent="0.3">
      <c r="A55" t="str">
        <f t="shared" ca="1" si="2"/>
        <v>0048</v>
      </c>
      <c r="B55" s="3">
        <f t="shared" ca="1" si="6"/>
        <v>45714</v>
      </c>
      <c r="C55" s="2" t="str" cm="1">
        <f t="array" aca="1" ref="C55" ca="1">INDEX(Customers!A:A,RANDBETWEEN(2,20))</f>
        <v>C010</v>
      </c>
      <c r="D55" s="2" t="str" cm="1">
        <f t="array" aca="1" ref="D55" ca="1">INDEX(Products!A:A,RANDBETWEEN(2,101))</f>
        <v>P007</v>
      </c>
      <c r="E55" s="2" t="str" cm="1">
        <f t="array" aca="1" ref="E55" ca="1">INDEX(SalesPerson!A:A,RANDBETWEEN(2,21))</f>
        <v>S001</v>
      </c>
      <c r="F55" s="2" t="str">
        <f ca="1">_xlfn.XLOOKUP(C55,Customers!A:A,Customers!B:B)</f>
        <v>PT Bintang Timur</v>
      </c>
      <c r="G55" s="2" t="str">
        <f ca="1">_xlfn.XLOOKUP(D55,Products!A:A,Products!B:B)</f>
        <v>Wireless Mouse Logitech</v>
      </c>
      <c r="H55" s="2" t="str">
        <f ca="1">_xlfn.XLOOKUP(E55,SalesPerson!A:A,SalesPerson!B:B)</f>
        <v>Andi Pratama</v>
      </c>
      <c r="I55" s="2" t="str">
        <f ca="1">_xlfn.XLOOKUP(E55,SalesPerson!A:A,SalesPerson!C:C)</f>
        <v>Jakarta</v>
      </c>
      <c r="J55" s="2">
        <f t="shared" ca="1" si="7"/>
        <v>9</v>
      </c>
      <c r="K55" s="2">
        <f ca="1">_xlfn.XLOOKUP(D55,Products!A:A,Products!D:D)</f>
        <v>250000</v>
      </c>
      <c r="L55" s="2">
        <f ca="1">_xlfn.XLOOKUP(D55,Products!A:A,Products!E:E)</f>
        <v>150000</v>
      </c>
      <c r="M55" s="2">
        <f t="shared" ca="1" si="8"/>
        <v>2250000</v>
      </c>
      <c r="N55" s="2">
        <f t="shared" ca="1" si="9"/>
        <v>1350000</v>
      </c>
      <c r="O55" s="4">
        <f t="shared" ca="1" si="10"/>
        <v>900000</v>
      </c>
      <c r="P55" s="2" t="str">
        <f ca="1">_xlfn.XLOOKUP(D55,Products!A:A,Products!C:C)</f>
        <v>Accessories</v>
      </c>
    </row>
    <row r="56" spans="1:16" x14ac:dyDescent="0.3">
      <c r="A56" t="str">
        <f t="shared" ca="1" si="2"/>
        <v>0004</v>
      </c>
      <c r="B56" s="3">
        <f t="shared" ca="1" si="6"/>
        <v>45698</v>
      </c>
      <c r="C56" s="2" t="str" cm="1">
        <f t="array" aca="1" ref="C56" ca="1">INDEX(Customers!A:A,RANDBETWEEN(2,20))</f>
        <v>C014</v>
      </c>
      <c r="D56" s="2" t="str" cm="1">
        <f t="array" aca="1" ref="D56" ca="1">INDEX(Products!A:A,RANDBETWEEN(2,101))</f>
        <v>P092</v>
      </c>
      <c r="E56" s="2" t="str" cm="1">
        <f t="array" aca="1" ref="E56" ca="1">INDEX(SalesPerson!A:A,RANDBETWEEN(2,21))</f>
        <v>S014</v>
      </c>
      <c r="F56" s="2" t="str">
        <f ca="1">_xlfn.XLOOKUP(C56,Customers!A:A,Customers!B:B)</f>
        <v>CV Nusantara Jaya</v>
      </c>
      <c r="G56" s="2" t="str">
        <f ca="1">_xlfn.XLOOKUP(D56,Products!A:A,Products!B:B)</f>
        <v>Webcam Logitech</v>
      </c>
      <c r="H56" s="2" t="str">
        <f ca="1">_xlfn.XLOOKUP(E56,SalesPerson!A:A,SalesPerson!B:B)</f>
        <v>Nanda Prasetyo</v>
      </c>
      <c r="I56" s="2" t="str">
        <f ca="1">_xlfn.XLOOKUP(E56,SalesPerson!A:A,SalesPerson!C:C)</f>
        <v>Malang</v>
      </c>
      <c r="J56" s="2">
        <f t="shared" ca="1" si="7"/>
        <v>3</v>
      </c>
      <c r="K56" s="2">
        <f ca="1">_xlfn.XLOOKUP(D56,Products!A:A,Products!D:D)</f>
        <v>680000</v>
      </c>
      <c r="L56" s="2">
        <f ca="1">_xlfn.XLOOKUP(D56,Products!A:A,Products!E:E)</f>
        <v>520000</v>
      </c>
      <c r="M56" s="2">
        <f t="shared" ca="1" si="8"/>
        <v>2040000</v>
      </c>
      <c r="N56" s="2">
        <f t="shared" ca="1" si="9"/>
        <v>1560000</v>
      </c>
      <c r="O56" s="4">
        <f t="shared" ca="1" si="10"/>
        <v>480000</v>
      </c>
      <c r="P56" s="2" t="str">
        <f ca="1">_xlfn.XLOOKUP(D56,Products!A:A,Products!C:C)</f>
        <v>Accessories</v>
      </c>
    </row>
    <row r="57" spans="1:16" x14ac:dyDescent="0.3">
      <c r="A57" t="str">
        <f t="shared" ca="1" si="2"/>
        <v>0004</v>
      </c>
      <c r="B57" s="3">
        <f t="shared" ca="1" si="6"/>
        <v>45698</v>
      </c>
      <c r="C57" s="2" t="str" cm="1">
        <f t="array" aca="1" ref="C57" ca="1">INDEX(Customers!A:A,RANDBETWEEN(2,20))</f>
        <v>C001</v>
      </c>
      <c r="D57" s="2" t="str" cm="1">
        <f t="array" aca="1" ref="D57" ca="1">INDEX(Products!A:A,RANDBETWEEN(2,101))</f>
        <v>P077</v>
      </c>
      <c r="E57" s="2" t="str" cm="1">
        <f t="array" aca="1" ref="E57" ca="1">INDEX(SalesPerson!A:A,RANDBETWEEN(2,21))</f>
        <v>S017</v>
      </c>
      <c r="F57" s="2" t="str">
        <f ca="1">_xlfn.XLOOKUP(C57,Customers!A:A,Customers!B:B)</f>
        <v>PT Maju Jaya</v>
      </c>
      <c r="G57" s="2" t="str">
        <f ca="1">_xlfn.XLOOKUP(D57,Products!A:A,Products!B:B)</f>
        <v>External HDD 2TB</v>
      </c>
      <c r="H57" s="2" t="str">
        <f ca="1">_xlfn.XLOOKUP(E57,SalesPerson!A:A,SalesPerson!B:B)</f>
        <v>Qori Amanda</v>
      </c>
      <c r="I57" s="2" t="str">
        <f ca="1">_xlfn.XLOOKUP(E57,SalesPerson!A:A,SalesPerson!C:C)</f>
        <v>Pontianak</v>
      </c>
      <c r="J57" s="2">
        <f t="shared" ca="1" si="7"/>
        <v>10</v>
      </c>
      <c r="K57" s="2">
        <f ca="1">_xlfn.XLOOKUP(D57,Products!A:A,Products!D:D)</f>
        <v>1650000</v>
      </c>
      <c r="L57" s="2">
        <f ca="1">_xlfn.XLOOKUP(D57,Products!A:A,Products!E:E)</f>
        <v>1350000</v>
      </c>
      <c r="M57" s="2">
        <f t="shared" ca="1" si="8"/>
        <v>16500000</v>
      </c>
      <c r="N57" s="2">
        <f t="shared" ca="1" si="9"/>
        <v>13500000</v>
      </c>
      <c r="O57" s="4">
        <f t="shared" ca="1" si="10"/>
        <v>3000000</v>
      </c>
      <c r="P57" s="2" t="str">
        <f ca="1">_xlfn.XLOOKUP(D57,Products!A:A,Products!C:C)</f>
        <v>Storage</v>
      </c>
    </row>
    <row r="58" spans="1:16" x14ac:dyDescent="0.3">
      <c r="A58" t="str">
        <f t="shared" ca="1" si="2"/>
        <v>0042</v>
      </c>
      <c r="B58" s="3">
        <f t="shared" ca="1" si="6"/>
        <v>45718</v>
      </c>
      <c r="C58" s="2" t="str" cm="1">
        <f t="array" aca="1" ref="C58" ca="1">INDEX(Customers!A:A,RANDBETWEEN(2,20))</f>
        <v>C004</v>
      </c>
      <c r="D58" s="2" t="str" cm="1">
        <f t="array" aca="1" ref="D58" ca="1">INDEX(Products!A:A,RANDBETWEEN(2,101))</f>
        <v>P087</v>
      </c>
      <c r="E58" s="2" t="str" cm="1">
        <f t="array" aca="1" ref="E58" ca="1">INDEX(SalesPerson!A:A,RANDBETWEEN(2,21))</f>
        <v>S013</v>
      </c>
      <c r="F58" s="2" t="str">
        <f ca="1">_xlfn.XLOOKUP(C58,Customers!A:A,Customers!B:B)</f>
        <v>PT Global Digital</v>
      </c>
      <c r="G58" s="2" t="str">
        <f ca="1">_xlfn.XLOOKUP(D58,Products!A:A,Products!B:B)</f>
        <v>Wireless Mouse Logitech</v>
      </c>
      <c r="H58" s="2" t="str">
        <f ca="1">_xlfn.XLOOKUP(E58,SalesPerson!A:A,SalesPerson!B:B)</f>
        <v>Muhammad Rizki</v>
      </c>
      <c r="I58" s="2" t="str">
        <f ca="1">_xlfn.XLOOKUP(E58,SalesPerson!A:A,SalesPerson!C:C)</f>
        <v>Bogor</v>
      </c>
      <c r="J58" s="2">
        <f t="shared" ca="1" si="7"/>
        <v>1</v>
      </c>
      <c r="K58" s="2">
        <f ca="1">_xlfn.XLOOKUP(D58,Products!A:A,Products!D:D)</f>
        <v>250000</v>
      </c>
      <c r="L58" s="2">
        <f ca="1">_xlfn.XLOOKUP(D58,Products!A:A,Products!E:E)</f>
        <v>150000</v>
      </c>
      <c r="M58" s="2">
        <f t="shared" ca="1" si="8"/>
        <v>250000</v>
      </c>
      <c r="N58" s="2">
        <f t="shared" ca="1" si="9"/>
        <v>150000</v>
      </c>
      <c r="O58" s="4">
        <f t="shared" ca="1" si="10"/>
        <v>100000</v>
      </c>
      <c r="P58" s="2" t="str">
        <f ca="1">_xlfn.XLOOKUP(D58,Products!A:A,Products!C:C)</f>
        <v>Accessories</v>
      </c>
    </row>
    <row r="59" spans="1:16" ht="28.8" x14ac:dyDescent="0.3">
      <c r="A59" t="str">
        <f t="shared" ca="1" si="2"/>
        <v>0023</v>
      </c>
      <c r="B59" s="3">
        <f t="shared" ca="1" si="6"/>
        <v>45682</v>
      </c>
      <c r="C59" s="2" t="str" cm="1">
        <f t="array" aca="1" ref="C59" ca="1">INDEX(Customers!A:A,RANDBETWEEN(2,20))</f>
        <v>C010</v>
      </c>
      <c r="D59" s="2" t="str" cm="1">
        <f t="array" aca="1" ref="D59" ca="1">INDEX(Products!A:A,RANDBETWEEN(2,101))</f>
        <v>P099</v>
      </c>
      <c r="E59" s="2" t="str" cm="1">
        <f t="array" aca="1" ref="E59" ca="1">INDEX(SalesPerson!A:A,RANDBETWEEN(2,21))</f>
        <v>S011</v>
      </c>
      <c r="F59" s="2" t="str">
        <f ca="1">_xlfn.XLOOKUP(C59,Customers!A:A,Customers!B:B)</f>
        <v>PT Bintang Timur</v>
      </c>
      <c r="G59" s="2" t="str">
        <f ca="1">_xlfn.XLOOKUP(D59,Products!A:A,Products!B:B)</f>
        <v>HDMI Cable</v>
      </c>
      <c r="H59" s="2" t="str">
        <f ca="1">_xlfn.XLOOKUP(E59,SalesPerson!A:A,SalesPerson!B:B)</f>
        <v>Kevin Saputra</v>
      </c>
      <c r="I59" s="2" t="str">
        <f ca="1">_xlfn.XLOOKUP(E59,SalesPerson!A:A,SalesPerson!C:C)</f>
        <v>Tangerang</v>
      </c>
      <c r="J59" s="2">
        <f t="shared" ca="1" si="7"/>
        <v>4</v>
      </c>
      <c r="K59" s="2">
        <f ca="1">_xlfn.XLOOKUP(D59,Products!A:A,Products!D:D)</f>
        <v>90000</v>
      </c>
      <c r="L59" s="2">
        <f ca="1">_xlfn.XLOOKUP(D59,Products!A:A,Products!E:E)</f>
        <v>50000</v>
      </c>
      <c r="M59" s="2">
        <f t="shared" ca="1" si="8"/>
        <v>360000</v>
      </c>
      <c r="N59" s="2">
        <f t="shared" ca="1" si="9"/>
        <v>200000</v>
      </c>
      <c r="O59" s="4">
        <f t="shared" ca="1" si="10"/>
        <v>160000</v>
      </c>
      <c r="P59" s="2" t="str">
        <f ca="1">_xlfn.XLOOKUP(D59,Products!A:A,Products!C:C)</f>
        <v>Accessories</v>
      </c>
    </row>
    <row r="60" spans="1:16" x14ac:dyDescent="0.3">
      <c r="A60" t="str">
        <f t="shared" ca="1" si="2"/>
        <v>0049</v>
      </c>
      <c r="B60" s="3">
        <f t="shared" ca="1" si="6"/>
        <v>45705</v>
      </c>
      <c r="C60" s="2" t="str" cm="1">
        <f t="array" aca="1" ref="C60" ca="1">INDEX(Customers!A:A,RANDBETWEEN(2,20))</f>
        <v>C006</v>
      </c>
      <c r="D60" s="2" t="str" cm="1">
        <f t="array" aca="1" ref="D60" ca="1">INDEX(Products!A:A,RANDBETWEEN(2,101))</f>
        <v>P072</v>
      </c>
      <c r="E60" s="2" t="str" cm="1">
        <f t="array" aca="1" ref="E60" ca="1">INDEX(SalesPerson!A:A,RANDBETWEEN(2,21))</f>
        <v>S018</v>
      </c>
      <c r="F60" s="2" t="str">
        <f ca="1">_xlfn.XLOOKUP(C60,Customers!A:A,Customers!B:B)</f>
        <v>CV Maju Bersama</v>
      </c>
      <c r="G60" s="2" t="str">
        <f ca="1">_xlfn.XLOOKUP(D60,Products!A:A,Products!B:B)</f>
        <v>Webcam Logitech</v>
      </c>
      <c r="H60" s="2" t="str">
        <f ca="1">_xlfn.XLOOKUP(E60,SalesPerson!A:A,SalesPerson!B:B)</f>
        <v>Rian Kurniawan</v>
      </c>
      <c r="I60" s="2" t="str">
        <f ca="1">_xlfn.XLOOKUP(E60,SalesPerson!A:A,SalesPerson!C:C)</f>
        <v>Banjarmasin</v>
      </c>
      <c r="J60" s="2">
        <f t="shared" ca="1" si="7"/>
        <v>4</v>
      </c>
      <c r="K60" s="2">
        <f ca="1">_xlfn.XLOOKUP(D60,Products!A:A,Products!D:D)</f>
        <v>680000</v>
      </c>
      <c r="L60" s="2">
        <f ca="1">_xlfn.XLOOKUP(D60,Products!A:A,Products!E:E)</f>
        <v>520000</v>
      </c>
      <c r="M60" s="2">
        <f t="shared" ca="1" si="8"/>
        <v>2720000</v>
      </c>
      <c r="N60" s="2">
        <f t="shared" ca="1" si="9"/>
        <v>2080000</v>
      </c>
      <c r="O60" s="4">
        <f t="shared" ca="1" si="10"/>
        <v>640000</v>
      </c>
      <c r="P60" s="2" t="str">
        <f ca="1">_xlfn.XLOOKUP(D60,Products!A:A,Products!C:C)</f>
        <v>Accessories</v>
      </c>
    </row>
    <row r="61" spans="1:16" x14ac:dyDescent="0.3">
      <c r="A61" t="str">
        <f t="shared" ca="1" si="2"/>
        <v>0040</v>
      </c>
      <c r="B61" s="3">
        <f t="shared" ca="1" si="6"/>
        <v>45705</v>
      </c>
      <c r="C61" s="2" t="str" cm="1">
        <f t="array" aca="1" ref="C61" ca="1">INDEX(Customers!A:A,RANDBETWEEN(2,20))</f>
        <v>C007</v>
      </c>
      <c r="D61" s="2" t="str" cm="1">
        <f t="array" aca="1" ref="D61" ca="1">INDEX(Products!A:A,RANDBETWEEN(2,101))</f>
        <v>P051</v>
      </c>
      <c r="E61" s="2" t="str" cm="1">
        <f t="array" aca="1" ref="E61" ca="1">INDEX(SalesPerson!A:A,RANDBETWEEN(2,21))</f>
        <v>S001</v>
      </c>
      <c r="F61" s="2" t="str">
        <f ca="1">_xlfn.XLOOKUP(C61,Customers!A:A,Customers!B:B)</f>
        <v>PT Mitra Solusi</v>
      </c>
      <c r="G61" s="2" t="str">
        <f ca="1">_xlfn.XLOOKUP(D61,Products!A:A,Products!B:B)</f>
        <v>Printer Epson L3252</v>
      </c>
      <c r="H61" s="2" t="str">
        <f ca="1">_xlfn.XLOOKUP(E61,SalesPerson!A:A,SalesPerson!B:B)</f>
        <v>Andi Pratama</v>
      </c>
      <c r="I61" s="2" t="str">
        <f ca="1">_xlfn.XLOOKUP(E61,SalesPerson!A:A,SalesPerson!C:C)</f>
        <v>Jakarta</v>
      </c>
      <c r="J61" s="2">
        <f t="shared" ca="1" si="7"/>
        <v>6</v>
      </c>
      <c r="K61" s="2">
        <f ca="1">_xlfn.XLOOKUP(D61,Products!A:A,Products!D:D)</f>
        <v>2900000</v>
      </c>
      <c r="L61" s="2">
        <f ca="1">_xlfn.XLOOKUP(D61,Products!A:A,Products!E:E)</f>
        <v>2400000</v>
      </c>
      <c r="M61" s="2">
        <f t="shared" ca="1" si="8"/>
        <v>17400000</v>
      </c>
      <c r="N61" s="2">
        <f t="shared" ca="1" si="9"/>
        <v>14400000</v>
      </c>
      <c r="O61" s="4">
        <f t="shared" ca="1" si="10"/>
        <v>3000000</v>
      </c>
      <c r="P61" s="2" t="str">
        <f ca="1">_xlfn.XLOOKUP(D61,Products!A:A,Products!C:C)</f>
        <v>Printer</v>
      </c>
    </row>
    <row r="62" spans="1:16" x14ac:dyDescent="0.3">
      <c r="A62" t="str">
        <f t="shared" ca="1" si="2"/>
        <v>0092</v>
      </c>
      <c r="B62" s="3">
        <f t="shared" ca="1" si="6"/>
        <v>45667</v>
      </c>
      <c r="C62" s="2" t="str" cm="1">
        <f t="array" aca="1" ref="C62" ca="1">INDEX(Customers!A:A,RANDBETWEEN(2,20))</f>
        <v>C008</v>
      </c>
      <c r="D62" s="2" t="str" cm="1">
        <f t="array" aca="1" ref="D62" ca="1">INDEX(Products!A:A,RANDBETWEEN(2,101))</f>
        <v>P004</v>
      </c>
      <c r="E62" s="2" t="str" cm="1">
        <f t="array" aca="1" ref="E62" ca="1">INDEX(SalesPerson!A:A,RANDBETWEEN(2,21))</f>
        <v>S006</v>
      </c>
      <c r="F62" s="2" t="str">
        <f ca="1">_xlfn.XLOOKUP(C62,Customers!A:A,Customers!B:B)</f>
        <v>PT Cahaya Abadi</v>
      </c>
      <c r="G62" s="2" t="str">
        <f ca="1">_xlfn.XLOOKUP(D62,Products!A:A,Products!B:B)</f>
        <v>Monitor LG 24"</v>
      </c>
      <c r="H62" s="2" t="str">
        <f ca="1">_xlfn.XLOOKUP(E62,SalesPerson!A:A,SalesPerson!B:B)</f>
        <v>Fajar Nugroho</v>
      </c>
      <c r="I62" s="2" t="str">
        <f ca="1">_xlfn.XLOOKUP(E62,SalesPerson!A:A,SalesPerson!C:C)</f>
        <v>Semarang</v>
      </c>
      <c r="J62" s="2">
        <f t="shared" ca="1" si="7"/>
        <v>1</v>
      </c>
      <c r="K62" s="2">
        <f ca="1">_xlfn.XLOOKUP(D62,Products!A:A,Products!D:D)</f>
        <v>2100000</v>
      </c>
      <c r="L62" s="2">
        <f ca="1">_xlfn.XLOOKUP(D62,Products!A:A,Products!E:E)</f>
        <v>1700000</v>
      </c>
      <c r="M62" s="2">
        <f t="shared" ca="1" si="8"/>
        <v>2100000</v>
      </c>
      <c r="N62" s="2">
        <f t="shared" ca="1" si="9"/>
        <v>1700000</v>
      </c>
      <c r="O62" s="4">
        <f t="shared" ca="1" si="10"/>
        <v>400000</v>
      </c>
      <c r="P62" s="2" t="str">
        <f ca="1">_xlfn.XLOOKUP(D62,Products!A:A,Products!C:C)</f>
        <v>Monitor</v>
      </c>
    </row>
    <row r="63" spans="1:16" x14ac:dyDescent="0.3">
      <c r="A63" t="str">
        <f t="shared" ca="1" si="2"/>
        <v>0074</v>
      </c>
      <c r="B63" s="3">
        <f t="shared" ca="1" si="6"/>
        <v>45660</v>
      </c>
      <c r="C63" s="2" t="str" cm="1">
        <f t="array" aca="1" ref="C63" ca="1">INDEX(Customers!A:A,RANDBETWEEN(2,20))</f>
        <v>C003</v>
      </c>
      <c r="D63" s="2" t="str" cm="1">
        <f t="array" aca="1" ref="D63" ca="1">INDEX(Products!A:A,RANDBETWEEN(2,101))</f>
        <v>P032</v>
      </c>
      <c r="E63" s="2" t="str" cm="1">
        <f t="array" aca="1" ref="E63" ca="1">INDEX(SalesPerson!A:A,RANDBETWEEN(2,21))</f>
        <v>S003</v>
      </c>
      <c r="F63" s="2" t="str">
        <f ca="1">_xlfn.XLOOKUP(C63,Customers!A:A,Customers!B:B)</f>
        <v>CV Sinar Teknologi</v>
      </c>
      <c r="G63" s="2" t="str">
        <f ca="1">_xlfn.XLOOKUP(D63,Products!A:A,Products!B:B)</f>
        <v>Webcam Logitech</v>
      </c>
      <c r="H63" s="2" t="str">
        <f ca="1">_xlfn.XLOOKUP(E63,SalesPerson!A:A,SalesPerson!B:B)</f>
        <v>Citra Lestari</v>
      </c>
      <c r="I63" s="2" t="str">
        <f ca="1">_xlfn.XLOOKUP(E63,SalesPerson!A:A,SalesPerson!C:C)</f>
        <v>Surabaya</v>
      </c>
      <c r="J63" s="2">
        <f t="shared" ca="1" si="7"/>
        <v>8</v>
      </c>
      <c r="K63" s="2">
        <f ca="1">_xlfn.XLOOKUP(D63,Products!A:A,Products!D:D)</f>
        <v>680000</v>
      </c>
      <c r="L63" s="2">
        <f ca="1">_xlfn.XLOOKUP(D63,Products!A:A,Products!E:E)</f>
        <v>520000</v>
      </c>
      <c r="M63" s="2">
        <f t="shared" ca="1" si="8"/>
        <v>5440000</v>
      </c>
      <c r="N63" s="2">
        <f t="shared" ca="1" si="9"/>
        <v>4160000</v>
      </c>
      <c r="O63" s="4">
        <f t="shared" ca="1" si="10"/>
        <v>1280000</v>
      </c>
      <c r="P63" s="2" t="str">
        <f ca="1">_xlfn.XLOOKUP(D63,Products!A:A,Products!C:C)</f>
        <v>Accessories</v>
      </c>
    </row>
    <row r="64" spans="1:16" x14ac:dyDescent="0.3">
      <c r="A64" t="str">
        <f t="shared" ca="1" si="2"/>
        <v>0044</v>
      </c>
      <c r="B64" s="3">
        <f t="shared" ca="1" si="6"/>
        <v>45715</v>
      </c>
      <c r="C64" s="2" t="str" cm="1">
        <f t="array" aca="1" ref="C64" ca="1">INDEX(Customers!A:A,RANDBETWEEN(2,20))</f>
        <v>C005</v>
      </c>
      <c r="D64" s="2" t="str" cm="1">
        <f t="array" aca="1" ref="D64" ca="1">INDEX(Products!A:A,RANDBETWEEN(2,101))</f>
        <v>P017</v>
      </c>
      <c r="E64" s="2" t="str" cm="1">
        <f t="array" aca="1" ref="E64" ca="1">INDEX(SalesPerson!A:A,RANDBETWEEN(2,21))</f>
        <v>S008</v>
      </c>
      <c r="F64" s="2" t="str">
        <f ca="1">_xlfn.XLOOKUP(C64,Customers!A:A,Customers!B:B)</f>
        <v>PT Berkah Sejahtera</v>
      </c>
      <c r="G64" s="2" t="str">
        <f ca="1">_xlfn.XLOOKUP(D64,Products!A:A,Products!B:B)</f>
        <v>External HDD 2TB</v>
      </c>
      <c r="H64" s="2" t="str">
        <f ca="1">_xlfn.XLOOKUP(E64,SalesPerson!A:A,SalesPerson!B:B)</f>
        <v>Hendra Wijaya</v>
      </c>
      <c r="I64" s="2" t="str">
        <f ca="1">_xlfn.XLOOKUP(E64,SalesPerson!A:A,SalesPerson!C:C)</f>
        <v>Bali</v>
      </c>
      <c r="J64" s="2">
        <f t="shared" ca="1" si="7"/>
        <v>7</v>
      </c>
      <c r="K64" s="2">
        <f ca="1">_xlfn.XLOOKUP(D64,Products!A:A,Products!D:D)</f>
        <v>1650000</v>
      </c>
      <c r="L64" s="2">
        <f ca="1">_xlfn.XLOOKUP(D64,Products!A:A,Products!E:E)</f>
        <v>1350000</v>
      </c>
      <c r="M64" s="2">
        <f t="shared" ca="1" si="8"/>
        <v>11550000</v>
      </c>
      <c r="N64" s="2">
        <f t="shared" ca="1" si="9"/>
        <v>9450000</v>
      </c>
      <c r="O64" s="4">
        <f t="shared" ca="1" si="10"/>
        <v>2100000</v>
      </c>
      <c r="P64" s="2" t="str">
        <f ca="1">_xlfn.XLOOKUP(D64,Products!A:A,Products!C:C)</f>
        <v>Storage</v>
      </c>
    </row>
    <row r="65" spans="1:16" x14ac:dyDescent="0.3">
      <c r="A65" t="str">
        <f t="shared" ca="1" si="2"/>
        <v>0092</v>
      </c>
      <c r="B65" s="3">
        <f t="shared" ca="1" si="6"/>
        <v>45680</v>
      </c>
      <c r="C65" s="2" t="str" cm="1">
        <f t="array" aca="1" ref="C65" ca="1">INDEX(Customers!A:A,RANDBETWEEN(2,20))</f>
        <v>C015</v>
      </c>
      <c r="D65" s="2" t="str" cm="1">
        <f t="array" aca="1" ref="D65" ca="1">INDEX(Products!A:A,RANDBETWEEN(2,101))</f>
        <v>P024</v>
      </c>
      <c r="E65" s="2" t="str" cm="1">
        <f t="array" aca="1" ref="E65" ca="1">INDEX(SalesPerson!A:A,RANDBETWEEN(2,21))</f>
        <v>S012</v>
      </c>
      <c r="F65" s="2" t="str">
        <f ca="1">_xlfn.XLOOKUP(C65,Customers!A:A,Customers!B:B)</f>
        <v>PT Sentosa Abadi</v>
      </c>
      <c r="G65" s="2" t="str">
        <f ca="1">_xlfn.XLOOKUP(D65,Products!A:A,Products!B:B)</f>
        <v>Monitor LG 24"</v>
      </c>
      <c r="H65" s="2" t="str">
        <f ca="1">_xlfn.XLOOKUP(E65,SalesPerson!A:A,SalesPerson!B:B)</f>
        <v>Lestari Wulandari</v>
      </c>
      <c r="I65" s="2" t="str">
        <f ca="1">_xlfn.XLOOKUP(E65,SalesPerson!A:A,SalesPerson!C:C)</f>
        <v>Depok</v>
      </c>
      <c r="J65" s="2">
        <f t="shared" ca="1" si="7"/>
        <v>4</v>
      </c>
      <c r="K65" s="2">
        <f ca="1">_xlfn.XLOOKUP(D65,Products!A:A,Products!D:D)</f>
        <v>2100000</v>
      </c>
      <c r="L65" s="2">
        <f ca="1">_xlfn.XLOOKUP(D65,Products!A:A,Products!E:E)</f>
        <v>1700000</v>
      </c>
      <c r="M65" s="2">
        <f t="shared" ca="1" si="8"/>
        <v>8400000</v>
      </c>
      <c r="N65" s="2">
        <f t="shared" ca="1" si="9"/>
        <v>6800000</v>
      </c>
      <c r="O65" s="4">
        <f t="shared" ca="1" si="10"/>
        <v>1600000</v>
      </c>
      <c r="P65" s="2" t="str">
        <f ca="1">_xlfn.XLOOKUP(D65,Products!A:A,Products!C:C)</f>
        <v>Monitor</v>
      </c>
    </row>
    <row r="66" spans="1:16" x14ac:dyDescent="0.3">
      <c r="A66" t="str">
        <f t="shared" ca="1" si="2"/>
        <v>0054</v>
      </c>
      <c r="B66" s="3">
        <f t="shared" ref="B66:B100" ca="1" si="11">DATE(2025,1,)+RANDBETWEEN(0,64)</f>
        <v>45707</v>
      </c>
      <c r="C66" s="2" t="str" cm="1">
        <f t="array" aca="1" ref="C66" ca="1">INDEX(Customers!A:A,RANDBETWEEN(2,20))</f>
        <v>C009</v>
      </c>
      <c r="D66" s="2" t="str" cm="1">
        <f t="array" aca="1" ref="D66" ca="1">INDEX(Products!A:A,RANDBETWEEN(2,101))</f>
        <v>P012</v>
      </c>
      <c r="E66" s="2" t="str" cm="1">
        <f t="array" aca="1" ref="E66" ca="1">INDEX(SalesPerson!A:A,RANDBETWEEN(2,21))</f>
        <v>S008</v>
      </c>
      <c r="F66" s="2" t="str">
        <f ca="1">_xlfn.XLOOKUP(C66,Customers!A:A,Customers!B:B)</f>
        <v>PT Andalan Prima</v>
      </c>
      <c r="G66" s="2" t="str">
        <f ca="1">_xlfn.XLOOKUP(D66,Products!A:A,Products!B:B)</f>
        <v>Webcam Logitech</v>
      </c>
      <c r="H66" s="2" t="str">
        <f ca="1">_xlfn.XLOOKUP(E66,SalesPerson!A:A,SalesPerson!B:B)</f>
        <v>Hendra Wijaya</v>
      </c>
      <c r="I66" s="2" t="str">
        <f ca="1">_xlfn.XLOOKUP(E66,SalesPerson!A:A,SalesPerson!C:C)</f>
        <v>Bali</v>
      </c>
      <c r="J66" s="2">
        <f t="shared" ref="J66:J100" ca="1" si="12">RANDBETWEEN(1,10)</f>
        <v>2</v>
      </c>
      <c r="K66" s="2">
        <f ca="1">_xlfn.XLOOKUP(D66,Products!A:A,Products!D:D)</f>
        <v>680000</v>
      </c>
      <c r="L66" s="2">
        <f ca="1">_xlfn.XLOOKUP(D66,Products!A:A,Products!E:E)</f>
        <v>520000</v>
      </c>
      <c r="M66" s="2">
        <f t="shared" ca="1" si="8"/>
        <v>1360000</v>
      </c>
      <c r="N66" s="2">
        <f t="shared" ca="1" si="9"/>
        <v>1040000</v>
      </c>
      <c r="O66" s="4">
        <f t="shared" ca="1" si="10"/>
        <v>320000</v>
      </c>
      <c r="P66" s="2" t="str">
        <f ca="1">_xlfn.XLOOKUP(D66,Products!A:A,Products!C:C)</f>
        <v>Accessories</v>
      </c>
    </row>
    <row r="67" spans="1:16" x14ac:dyDescent="0.3">
      <c r="A67" t="str">
        <f t="shared" ref="A67:A100" ca="1" si="13">"0"&amp;TEXT(RANDBETWEEN(1,100),"000")</f>
        <v>0043</v>
      </c>
      <c r="B67" s="3">
        <f t="shared" ca="1" si="11"/>
        <v>45658</v>
      </c>
      <c r="C67" s="2" t="str" cm="1">
        <f t="array" aca="1" ref="C67" ca="1">INDEX(Customers!A:A,RANDBETWEEN(2,20))</f>
        <v>C003</v>
      </c>
      <c r="D67" s="2" t="str" cm="1">
        <f t="array" aca="1" ref="D67" ca="1">INDEX(Products!A:A,RANDBETWEEN(2,101))</f>
        <v>P076</v>
      </c>
      <c r="E67" s="2" t="str" cm="1">
        <f t="array" aca="1" ref="E67" ca="1">INDEX(SalesPerson!A:A,RANDBETWEEN(2,21))</f>
        <v>S003</v>
      </c>
      <c r="F67" s="2" t="str">
        <f ca="1">_xlfn.XLOOKUP(C67,Customers!A:A,Customers!B:B)</f>
        <v>CV Sinar Teknologi</v>
      </c>
      <c r="G67" s="2" t="str">
        <f ca="1">_xlfn.XLOOKUP(D67,Products!A:A,Products!B:B)</f>
        <v>Router TP-Link</v>
      </c>
      <c r="H67" s="2" t="str">
        <f ca="1">_xlfn.XLOOKUP(E67,SalesPerson!A:A,SalesPerson!B:B)</f>
        <v>Citra Lestari</v>
      </c>
      <c r="I67" s="2" t="str">
        <f ca="1">_xlfn.XLOOKUP(E67,SalesPerson!A:A,SalesPerson!C:C)</f>
        <v>Surabaya</v>
      </c>
      <c r="J67" s="2">
        <f t="shared" ca="1" si="12"/>
        <v>6</v>
      </c>
      <c r="K67" s="2">
        <f ca="1">_xlfn.XLOOKUP(D67,Products!A:A,Products!D:D)</f>
        <v>670000</v>
      </c>
      <c r="L67" s="2">
        <f ca="1">_xlfn.XLOOKUP(D67,Products!A:A,Products!E:E)</f>
        <v>510000</v>
      </c>
      <c r="M67" s="2">
        <f t="shared" ref="M67:M100" ca="1" si="14">J67*K67</f>
        <v>4020000</v>
      </c>
      <c r="N67" s="2">
        <f t="shared" ref="N67:N100" ca="1" si="15">J67*L67</f>
        <v>3060000</v>
      </c>
      <c r="O67" s="4">
        <f t="shared" ref="O67:O98" ca="1" si="16">M67-N67</f>
        <v>960000</v>
      </c>
      <c r="P67" s="2" t="str">
        <f ca="1">_xlfn.XLOOKUP(D67,Products!A:A,Products!C:C)</f>
        <v>Network</v>
      </c>
    </row>
    <row r="68" spans="1:16" ht="28.8" x14ac:dyDescent="0.3">
      <c r="A68" t="str">
        <f t="shared" ca="1" si="13"/>
        <v>0087</v>
      </c>
      <c r="B68" s="3">
        <f t="shared" ca="1" si="11"/>
        <v>45663</v>
      </c>
      <c r="C68" s="2" t="str" cm="1">
        <f t="array" aca="1" ref="C68" ca="1">INDEX(Customers!A:A,RANDBETWEEN(2,20))</f>
        <v>C014</v>
      </c>
      <c r="D68" s="2" t="str" cm="1">
        <f t="array" aca="1" ref="D68" ca="1">INDEX(Products!A:A,RANDBETWEEN(2,101))</f>
        <v>P066</v>
      </c>
      <c r="E68" s="2" t="str" cm="1">
        <f t="array" aca="1" ref="E68" ca="1">INDEX(SalesPerson!A:A,RANDBETWEEN(2,21))</f>
        <v>S011</v>
      </c>
      <c r="F68" s="2" t="str">
        <f ca="1">_xlfn.XLOOKUP(C68,Customers!A:A,Customers!B:B)</f>
        <v>CV Nusantara Jaya</v>
      </c>
      <c r="G68" s="2" t="str">
        <f ca="1">_xlfn.XLOOKUP(D68,Products!A:A,Products!B:B)</f>
        <v>Mechanical Keyboard</v>
      </c>
      <c r="H68" s="2" t="str">
        <f ca="1">_xlfn.XLOOKUP(E68,SalesPerson!A:A,SalesPerson!B:B)</f>
        <v>Kevin Saputra</v>
      </c>
      <c r="I68" s="2" t="str">
        <f ca="1">_xlfn.XLOOKUP(E68,SalesPerson!A:A,SalesPerson!C:C)</f>
        <v>Tangerang</v>
      </c>
      <c r="J68" s="2">
        <f t="shared" ca="1" si="12"/>
        <v>10</v>
      </c>
      <c r="K68" s="2">
        <f ca="1">_xlfn.XLOOKUP(D68,Products!A:A,Products!D:D)</f>
        <v>750000</v>
      </c>
      <c r="L68" s="2">
        <f ca="1">_xlfn.XLOOKUP(D68,Products!A:A,Products!E:E)</f>
        <v>520000</v>
      </c>
      <c r="M68" s="2">
        <f t="shared" ca="1" si="14"/>
        <v>7500000</v>
      </c>
      <c r="N68" s="2">
        <f t="shared" ca="1" si="15"/>
        <v>5200000</v>
      </c>
      <c r="O68" s="4">
        <f t="shared" ca="1" si="16"/>
        <v>2300000</v>
      </c>
      <c r="P68" s="2" t="str">
        <f ca="1">_xlfn.XLOOKUP(D68,Products!A:A,Products!C:C)</f>
        <v>Accessories</v>
      </c>
    </row>
    <row r="69" spans="1:16" x14ac:dyDescent="0.3">
      <c r="A69" t="str">
        <f t="shared" ca="1" si="13"/>
        <v>0048</v>
      </c>
      <c r="B69" s="3">
        <f t="shared" ca="1" si="11"/>
        <v>45662</v>
      </c>
      <c r="C69" s="2" t="str" cm="1">
        <f t="array" aca="1" ref="C69" ca="1">INDEX(Customers!A:A,RANDBETWEEN(2,20))</f>
        <v>C008</v>
      </c>
      <c r="D69" s="2" t="str" cm="1">
        <f t="array" aca="1" ref="D69" ca="1">INDEX(Products!A:A,RANDBETWEEN(2,101))</f>
        <v>P034</v>
      </c>
      <c r="E69" s="2" t="str" cm="1">
        <f t="array" aca="1" ref="E69" ca="1">INDEX(SalesPerson!A:A,RANDBETWEEN(2,21))</f>
        <v>S018</v>
      </c>
      <c r="F69" s="2" t="str">
        <f ca="1">_xlfn.XLOOKUP(C69,Customers!A:A,Customers!B:B)</f>
        <v>PT Cahaya Abadi</v>
      </c>
      <c r="G69" s="2" t="str">
        <f ca="1">_xlfn.XLOOKUP(D69,Products!A:A,Products!B:B)</f>
        <v>Speaker Logitech</v>
      </c>
      <c r="H69" s="2" t="str">
        <f ca="1">_xlfn.XLOOKUP(E69,SalesPerson!A:A,SalesPerson!B:B)</f>
        <v>Rian Kurniawan</v>
      </c>
      <c r="I69" s="2" t="str">
        <f ca="1">_xlfn.XLOOKUP(E69,SalesPerson!A:A,SalesPerson!C:C)</f>
        <v>Banjarmasin</v>
      </c>
      <c r="J69" s="2">
        <f t="shared" ca="1" si="12"/>
        <v>5</v>
      </c>
      <c r="K69" s="2">
        <f ca="1">_xlfn.XLOOKUP(D69,Products!A:A,Products!D:D)</f>
        <v>780000</v>
      </c>
      <c r="L69" s="2">
        <f ca="1">_xlfn.XLOOKUP(D69,Products!A:A,Products!E:E)</f>
        <v>590000</v>
      </c>
      <c r="M69" s="2">
        <f t="shared" ca="1" si="14"/>
        <v>3900000</v>
      </c>
      <c r="N69" s="2">
        <f t="shared" ca="1" si="15"/>
        <v>2950000</v>
      </c>
      <c r="O69" s="4">
        <f t="shared" ca="1" si="16"/>
        <v>950000</v>
      </c>
      <c r="P69" s="2" t="str">
        <f ca="1">_xlfn.XLOOKUP(D69,Products!A:A,Products!C:C)</f>
        <v>Audio</v>
      </c>
    </row>
    <row r="70" spans="1:16" x14ac:dyDescent="0.3">
      <c r="A70" t="str">
        <f t="shared" ca="1" si="13"/>
        <v>0062</v>
      </c>
      <c r="B70" s="3">
        <f t="shared" ca="1" si="11"/>
        <v>45715</v>
      </c>
      <c r="C70" s="2" t="str" cm="1">
        <f t="array" aca="1" ref="C70" ca="1">INDEX(Customers!A:A,RANDBETWEEN(2,20))</f>
        <v>C018</v>
      </c>
      <c r="D70" s="2" t="str" cm="1">
        <f t="array" aca="1" ref="D70" ca="1">INDEX(Products!A:A,RANDBETWEEN(2,101))</f>
        <v>P066</v>
      </c>
      <c r="E70" s="2" t="str" cm="1">
        <f t="array" aca="1" ref="E70" ca="1">INDEX(SalesPerson!A:A,RANDBETWEEN(2,21))</f>
        <v>S010</v>
      </c>
      <c r="F70" s="2" t="str">
        <f ca="1">_xlfn.XLOOKUP(C70,Customers!A:A,Customers!B:B)</f>
        <v>PT Indo Retail</v>
      </c>
      <c r="G70" s="2" t="str">
        <f ca="1">_xlfn.XLOOKUP(D70,Products!A:A,Products!B:B)</f>
        <v>Mechanical Keyboard</v>
      </c>
      <c r="H70" s="2" t="str">
        <f ca="1">_xlfn.XLOOKUP(E70,SalesPerson!A:A,SalesPerson!B:B)</f>
        <v>Joko Susilo</v>
      </c>
      <c r="I70" s="2" t="str">
        <f ca="1">_xlfn.XLOOKUP(E70,SalesPerson!A:A,SalesPerson!C:C)</f>
        <v>Bekasi</v>
      </c>
      <c r="J70" s="2">
        <f t="shared" ca="1" si="12"/>
        <v>10</v>
      </c>
      <c r="K70" s="2">
        <f ca="1">_xlfn.XLOOKUP(D70,Products!A:A,Products!D:D)</f>
        <v>750000</v>
      </c>
      <c r="L70" s="2">
        <f ca="1">_xlfn.XLOOKUP(D70,Products!A:A,Products!E:E)</f>
        <v>520000</v>
      </c>
      <c r="M70" s="2">
        <f t="shared" ca="1" si="14"/>
        <v>7500000</v>
      </c>
      <c r="N70" s="2">
        <f t="shared" ca="1" si="15"/>
        <v>5200000</v>
      </c>
      <c r="O70" s="4">
        <f t="shared" ca="1" si="16"/>
        <v>2300000</v>
      </c>
      <c r="P70" s="2" t="str">
        <f ca="1">_xlfn.XLOOKUP(D70,Products!A:A,Products!C:C)</f>
        <v>Accessories</v>
      </c>
    </row>
    <row r="71" spans="1:16" x14ac:dyDescent="0.3">
      <c r="A71" t="str">
        <f t="shared" ca="1" si="13"/>
        <v>0070</v>
      </c>
      <c r="B71" s="3">
        <f t="shared" ca="1" si="11"/>
        <v>45711</v>
      </c>
      <c r="C71" s="2" t="str" cm="1">
        <f t="array" aca="1" ref="C71" ca="1">INDEX(Customers!A:A,RANDBETWEEN(2,20))</f>
        <v>C012</v>
      </c>
      <c r="D71" s="2" t="str" cm="1">
        <f t="array" aca="1" ref="D71" ca="1">INDEX(Products!A:A,RANDBETWEEN(2,101))</f>
        <v>P090</v>
      </c>
      <c r="E71" s="2" t="str" cm="1">
        <f t="array" aca="1" ref="E71" ca="1">INDEX(SalesPerson!A:A,RANDBETWEEN(2,21))</f>
        <v>S017</v>
      </c>
      <c r="F71" s="2" t="str">
        <f ca="1">_xlfn.XLOOKUP(C71,Customers!A:A,Customers!B:B)</f>
        <v>PT Sukses Makmur</v>
      </c>
      <c r="G71" s="2" t="str">
        <f ca="1">_xlfn.XLOOKUP(D71,Products!A:A,Products!B:B)</f>
        <v>Flashdisk 64GB</v>
      </c>
      <c r="H71" s="2" t="str">
        <f ca="1">_xlfn.XLOOKUP(E71,SalesPerson!A:A,SalesPerson!B:B)</f>
        <v>Qori Amanda</v>
      </c>
      <c r="I71" s="2" t="str">
        <f ca="1">_xlfn.XLOOKUP(E71,SalesPerson!A:A,SalesPerson!C:C)</f>
        <v>Pontianak</v>
      </c>
      <c r="J71" s="2">
        <f t="shared" ca="1" si="12"/>
        <v>10</v>
      </c>
      <c r="K71" s="2">
        <f ca="1">_xlfn.XLOOKUP(D71,Products!A:A,Products!D:D)</f>
        <v>120000</v>
      </c>
      <c r="L71" s="2">
        <f ca="1">_xlfn.XLOOKUP(D71,Products!A:A,Products!E:E)</f>
        <v>80000</v>
      </c>
      <c r="M71" s="2">
        <f t="shared" ca="1" si="14"/>
        <v>1200000</v>
      </c>
      <c r="N71" s="2">
        <f t="shared" ca="1" si="15"/>
        <v>800000</v>
      </c>
      <c r="O71" s="4">
        <f t="shared" ca="1" si="16"/>
        <v>400000</v>
      </c>
      <c r="P71" s="2" t="str">
        <f ca="1">_xlfn.XLOOKUP(D71,Products!A:A,Products!C:C)</f>
        <v>Storage</v>
      </c>
    </row>
    <row r="72" spans="1:16" x14ac:dyDescent="0.3">
      <c r="A72" t="str">
        <f t="shared" ca="1" si="13"/>
        <v>0064</v>
      </c>
      <c r="B72" s="3">
        <f t="shared" ca="1" si="11"/>
        <v>45691</v>
      </c>
      <c r="C72" s="2" t="str" cm="1">
        <f t="array" aca="1" ref="C72" ca="1">INDEX(Customers!A:A,RANDBETWEEN(2,20))</f>
        <v>C003</v>
      </c>
      <c r="D72" s="2" t="str" cm="1">
        <f t="array" aca="1" ref="D72" ca="1">INDEX(Products!A:A,RANDBETWEEN(2,101))</f>
        <v>P088</v>
      </c>
      <c r="E72" s="2" t="str" cm="1">
        <f t="array" aca="1" ref="E72" ca="1">INDEX(SalesPerson!A:A,RANDBETWEEN(2,21))</f>
        <v>S018</v>
      </c>
      <c r="F72" s="2" t="str">
        <f ca="1">_xlfn.XLOOKUP(C72,Customers!A:A,Customers!B:B)</f>
        <v>CV Sinar Teknologi</v>
      </c>
      <c r="G72" s="2" t="str">
        <f ca="1">_xlfn.XLOOKUP(D72,Products!A:A,Products!B:B)</f>
        <v>SSD 1TB Kingston</v>
      </c>
      <c r="H72" s="2" t="str">
        <f ca="1">_xlfn.XLOOKUP(E72,SalesPerson!A:A,SalesPerson!B:B)</f>
        <v>Rian Kurniawan</v>
      </c>
      <c r="I72" s="2" t="str">
        <f ca="1">_xlfn.XLOOKUP(E72,SalesPerson!A:A,SalesPerson!C:C)</f>
        <v>Banjarmasin</v>
      </c>
      <c r="J72" s="2">
        <f t="shared" ca="1" si="12"/>
        <v>6</v>
      </c>
      <c r="K72" s="2">
        <f ca="1">_xlfn.XLOOKUP(D72,Products!A:A,Products!D:D)</f>
        <v>1250000</v>
      </c>
      <c r="L72" s="2">
        <f ca="1">_xlfn.XLOOKUP(D72,Products!A:A,Products!E:E)</f>
        <v>980000</v>
      </c>
      <c r="M72" s="2">
        <f t="shared" ca="1" si="14"/>
        <v>7500000</v>
      </c>
      <c r="N72" s="2">
        <f t="shared" ca="1" si="15"/>
        <v>5880000</v>
      </c>
      <c r="O72" s="4">
        <f t="shared" ca="1" si="16"/>
        <v>1620000</v>
      </c>
      <c r="P72" s="2" t="str">
        <f ca="1">_xlfn.XLOOKUP(D72,Products!A:A,Products!C:C)</f>
        <v>Storage</v>
      </c>
    </row>
    <row r="73" spans="1:16" x14ac:dyDescent="0.3">
      <c r="A73" t="str">
        <f t="shared" ca="1" si="13"/>
        <v>0060</v>
      </c>
      <c r="B73" s="3">
        <f t="shared" ca="1" si="11"/>
        <v>45691</v>
      </c>
      <c r="C73" s="2" t="str" cm="1">
        <f t="array" aca="1" ref="C73" ca="1">INDEX(Customers!A:A,RANDBETWEEN(2,20))</f>
        <v>C011</v>
      </c>
      <c r="D73" s="2" t="str" cm="1">
        <f t="array" aca="1" ref="D73" ca="1">INDEX(Products!A:A,RANDBETWEEN(2,101))</f>
        <v>P079</v>
      </c>
      <c r="E73" s="2" t="str" cm="1">
        <f t="array" aca="1" ref="E73" ca="1">INDEX(SalesPerson!A:A,RANDBETWEEN(2,21))</f>
        <v>S015</v>
      </c>
      <c r="F73" s="2" t="str">
        <f ca="1">_xlfn.XLOOKUP(C73,Customers!A:A,Customers!B:B)</f>
        <v>CV Karya Mandiri</v>
      </c>
      <c r="G73" s="2" t="str">
        <f ca="1">_xlfn.XLOOKUP(D73,Products!A:A,Products!B:B)</f>
        <v>HDMI Cable</v>
      </c>
      <c r="H73" s="2" t="str">
        <f ca="1">_xlfn.XLOOKUP(E73,SalesPerson!A:A,SalesPerson!B:B)</f>
        <v>Olivia Putri</v>
      </c>
      <c r="I73" s="2" t="str">
        <f ca="1">_xlfn.XLOOKUP(E73,SalesPerson!A:A,SalesPerson!C:C)</f>
        <v>Batam</v>
      </c>
      <c r="J73" s="2">
        <f t="shared" ca="1" si="12"/>
        <v>6</v>
      </c>
      <c r="K73" s="2">
        <f ca="1">_xlfn.XLOOKUP(D73,Products!A:A,Products!D:D)</f>
        <v>90000</v>
      </c>
      <c r="L73" s="2">
        <f ca="1">_xlfn.XLOOKUP(D73,Products!A:A,Products!E:E)</f>
        <v>50000</v>
      </c>
      <c r="M73" s="2">
        <f t="shared" ca="1" si="14"/>
        <v>540000</v>
      </c>
      <c r="N73" s="2">
        <f t="shared" ca="1" si="15"/>
        <v>300000</v>
      </c>
      <c r="O73" s="4">
        <f t="shared" ca="1" si="16"/>
        <v>240000</v>
      </c>
      <c r="P73" s="2" t="str">
        <f ca="1">_xlfn.XLOOKUP(D73,Products!A:A,Products!C:C)</f>
        <v>Accessories</v>
      </c>
    </row>
    <row r="74" spans="1:16" x14ac:dyDescent="0.3">
      <c r="A74" t="str">
        <f t="shared" ca="1" si="13"/>
        <v>0064</v>
      </c>
      <c r="B74" s="3">
        <f t="shared" ca="1" si="11"/>
        <v>45704</v>
      </c>
      <c r="C74" s="2" t="str" cm="1">
        <f t="array" aca="1" ref="C74" ca="1">INDEX(Customers!A:A,RANDBETWEEN(2,20))</f>
        <v>C018</v>
      </c>
      <c r="D74" s="2" t="str" cm="1">
        <f t="array" aca="1" ref="D74" ca="1">INDEX(Products!A:A,RANDBETWEEN(2,101))</f>
        <v>P078</v>
      </c>
      <c r="E74" s="2" t="str" cm="1">
        <f t="array" aca="1" ref="E74" ca="1">INDEX(SalesPerson!A:A,RANDBETWEEN(2,21))</f>
        <v>S007</v>
      </c>
      <c r="F74" s="2" t="str">
        <f ca="1">_xlfn.XLOOKUP(C74,Customers!A:A,Customers!B:B)</f>
        <v>PT Indo Retail</v>
      </c>
      <c r="G74" s="2" t="str">
        <f ca="1">_xlfn.XLOOKUP(D74,Products!A:A,Products!B:B)</f>
        <v>RAM DDR4 16GB</v>
      </c>
      <c r="H74" s="2" t="str">
        <f ca="1">_xlfn.XLOOKUP(E74,SalesPerson!A:A,SalesPerson!B:B)</f>
        <v>Gita Maharani</v>
      </c>
      <c r="I74" s="2" t="str">
        <f ca="1">_xlfn.XLOOKUP(E74,SalesPerson!A:A,SalesPerson!C:C)</f>
        <v>Yogyakarta</v>
      </c>
      <c r="J74" s="2">
        <f t="shared" ca="1" si="12"/>
        <v>5</v>
      </c>
      <c r="K74" s="2">
        <f ca="1">_xlfn.XLOOKUP(D74,Products!A:A,Products!D:D)</f>
        <v>980000</v>
      </c>
      <c r="L74" s="2">
        <f ca="1">_xlfn.XLOOKUP(D74,Products!A:A,Products!E:E)</f>
        <v>780000</v>
      </c>
      <c r="M74" s="2">
        <f t="shared" ca="1" si="14"/>
        <v>4900000</v>
      </c>
      <c r="N74" s="2">
        <f t="shared" ca="1" si="15"/>
        <v>3900000</v>
      </c>
      <c r="O74" s="4">
        <f t="shared" ca="1" si="16"/>
        <v>1000000</v>
      </c>
      <c r="P74" s="2" t="str">
        <f ca="1">_xlfn.XLOOKUP(D74,Products!A:A,Products!C:C)</f>
        <v>Components</v>
      </c>
    </row>
    <row r="75" spans="1:16" x14ac:dyDescent="0.3">
      <c r="A75" t="str">
        <f t="shared" ca="1" si="13"/>
        <v>0089</v>
      </c>
      <c r="B75" s="3">
        <f t="shared" ca="1" si="11"/>
        <v>45687</v>
      </c>
      <c r="C75" s="2" t="str" cm="1">
        <f t="array" aca="1" ref="C75" ca="1">INDEX(Customers!A:A,RANDBETWEEN(2,20))</f>
        <v>C001</v>
      </c>
      <c r="D75" s="2" t="str" cm="1">
        <f t="array" aca="1" ref="D75" ca="1">INDEX(Products!A:A,RANDBETWEEN(2,101))</f>
        <v>P051</v>
      </c>
      <c r="E75" s="2" t="str" cm="1">
        <f t="array" aca="1" ref="E75" ca="1">INDEX(SalesPerson!A:A,RANDBETWEEN(2,21))</f>
        <v>S019</v>
      </c>
      <c r="F75" s="2" t="str">
        <f ca="1">_xlfn.XLOOKUP(C75,Customers!A:A,Customers!B:B)</f>
        <v>PT Maju Jaya</v>
      </c>
      <c r="G75" s="2" t="str">
        <f ca="1">_xlfn.XLOOKUP(D75,Products!A:A,Products!B:B)</f>
        <v>Printer Epson L3252</v>
      </c>
      <c r="H75" s="2" t="str">
        <f ca="1">_xlfn.XLOOKUP(E75,SalesPerson!A:A,SalesPerson!B:B)</f>
        <v>Sinta Maharani</v>
      </c>
      <c r="I75" s="2" t="str">
        <f ca="1">_xlfn.XLOOKUP(E75,SalesPerson!A:A,SalesPerson!C:C)</f>
        <v>Solo</v>
      </c>
      <c r="J75" s="2">
        <f t="shared" ca="1" si="12"/>
        <v>3</v>
      </c>
      <c r="K75" s="2">
        <f ca="1">_xlfn.XLOOKUP(D75,Products!A:A,Products!D:D)</f>
        <v>2900000</v>
      </c>
      <c r="L75" s="2">
        <f ca="1">_xlfn.XLOOKUP(D75,Products!A:A,Products!E:E)</f>
        <v>2400000</v>
      </c>
      <c r="M75" s="2">
        <f t="shared" ca="1" si="14"/>
        <v>8700000</v>
      </c>
      <c r="N75" s="2">
        <f t="shared" ca="1" si="15"/>
        <v>7200000</v>
      </c>
      <c r="O75" s="4">
        <f t="shared" ca="1" si="16"/>
        <v>1500000</v>
      </c>
      <c r="P75" s="2" t="str">
        <f ca="1">_xlfn.XLOOKUP(D75,Products!A:A,Products!C:C)</f>
        <v>Printer</v>
      </c>
    </row>
    <row r="76" spans="1:16" x14ac:dyDescent="0.3">
      <c r="A76" t="str">
        <f t="shared" ca="1" si="13"/>
        <v>0006</v>
      </c>
      <c r="B76" s="3">
        <f t="shared" ca="1" si="11"/>
        <v>45706</v>
      </c>
      <c r="C76" s="2" t="str" cm="1">
        <f t="array" aca="1" ref="C76" ca="1">INDEX(Customers!A:A,RANDBETWEEN(2,20))</f>
        <v>C018</v>
      </c>
      <c r="D76" s="2" t="str" cm="1">
        <f t="array" aca="1" ref="D76" ca="1">INDEX(Products!A:A,RANDBETWEEN(2,101))</f>
        <v>P048</v>
      </c>
      <c r="E76" s="2" t="str" cm="1">
        <f t="array" aca="1" ref="E76" ca="1">INDEX(SalesPerson!A:A,RANDBETWEEN(2,21))</f>
        <v>S016</v>
      </c>
      <c r="F76" s="2" t="str">
        <f ca="1">_xlfn.XLOOKUP(C76,Customers!A:A,Customers!B:B)</f>
        <v>PT Indo Retail</v>
      </c>
      <c r="G76" s="2" t="str">
        <f ca="1">_xlfn.XLOOKUP(D76,Products!A:A,Products!B:B)</f>
        <v>SSD 1TB Kingston</v>
      </c>
      <c r="H76" s="2" t="str">
        <f ca="1">_xlfn.XLOOKUP(E76,SalesPerson!A:A,SalesPerson!B:B)</f>
        <v>Putra Ramadhan</v>
      </c>
      <c r="I76" s="2" t="str">
        <f ca="1">_xlfn.XLOOKUP(E76,SalesPerson!A:A,SalesPerson!C:C)</f>
        <v>Pekanbaru</v>
      </c>
      <c r="J76" s="2">
        <f t="shared" ca="1" si="12"/>
        <v>1</v>
      </c>
      <c r="K76" s="2">
        <f ca="1">_xlfn.XLOOKUP(D76,Products!A:A,Products!D:D)</f>
        <v>1250000</v>
      </c>
      <c r="L76" s="2">
        <f ca="1">_xlfn.XLOOKUP(D76,Products!A:A,Products!E:E)</f>
        <v>980000</v>
      </c>
      <c r="M76" s="2">
        <f t="shared" ca="1" si="14"/>
        <v>1250000</v>
      </c>
      <c r="N76" s="2">
        <f t="shared" ca="1" si="15"/>
        <v>980000</v>
      </c>
      <c r="O76" s="4">
        <f t="shared" ca="1" si="16"/>
        <v>270000</v>
      </c>
      <c r="P76" s="2" t="str">
        <f ca="1">_xlfn.XLOOKUP(D76,Products!A:A,Products!C:C)</f>
        <v>Storage</v>
      </c>
    </row>
    <row r="77" spans="1:16" x14ac:dyDescent="0.3">
      <c r="A77" t="str">
        <f t="shared" ca="1" si="13"/>
        <v>0068</v>
      </c>
      <c r="B77" s="3">
        <f t="shared" ca="1" si="11"/>
        <v>45691</v>
      </c>
      <c r="C77" s="2" t="str" cm="1">
        <f t="array" aca="1" ref="C77" ca="1">INDEX(Customers!A:A,RANDBETWEEN(2,20))</f>
        <v>C001</v>
      </c>
      <c r="D77" s="2" t="str" cm="1">
        <f t="array" aca="1" ref="D77" ca="1">INDEX(Products!A:A,RANDBETWEEN(2,101))</f>
        <v>P064</v>
      </c>
      <c r="E77" s="2" t="str" cm="1">
        <f t="array" aca="1" ref="E77" ca="1">INDEX(SalesPerson!A:A,RANDBETWEEN(2,21))</f>
        <v>S014</v>
      </c>
      <c r="F77" s="2" t="str">
        <f ca="1">_xlfn.XLOOKUP(C77,Customers!A:A,Customers!B:B)</f>
        <v>PT Maju Jaya</v>
      </c>
      <c r="G77" s="2" t="str">
        <f ca="1">_xlfn.XLOOKUP(D77,Products!A:A,Products!B:B)</f>
        <v>Monitor LG 24"</v>
      </c>
      <c r="H77" s="2" t="str">
        <f ca="1">_xlfn.XLOOKUP(E77,SalesPerson!A:A,SalesPerson!B:B)</f>
        <v>Nanda Prasetyo</v>
      </c>
      <c r="I77" s="2" t="str">
        <f ca="1">_xlfn.XLOOKUP(E77,SalesPerson!A:A,SalesPerson!C:C)</f>
        <v>Malang</v>
      </c>
      <c r="J77" s="2">
        <f t="shared" ca="1" si="12"/>
        <v>4</v>
      </c>
      <c r="K77" s="2">
        <f ca="1">_xlfn.XLOOKUP(D77,Products!A:A,Products!D:D)</f>
        <v>2100000</v>
      </c>
      <c r="L77" s="2">
        <f ca="1">_xlfn.XLOOKUP(D77,Products!A:A,Products!E:E)</f>
        <v>1700000</v>
      </c>
      <c r="M77" s="2">
        <f t="shared" ca="1" si="14"/>
        <v>8400000</v>
      </c>
      <c r="N77" s="2">
        <f t="shared" ca="1" si="15"/>
        <v>6800000</v>
      </c>
      <c r="O77" s="4">
        <f t="shared" ca="1" si="16"/>
        <v>1600000</v>
      </c>
      <c r="P77" s="2" t="str">
        <f ca="1">_xlfn.XLOOKUP(D77,Products!A:A,Products!C:C)</f>
        <v>Monitor</v>
      </c>
    </row>
    <row r="78" spans="1:16" x14ac:dyDescent="0.3">
      <c r="A78" t="str">
        <f t="shared" ca="1" si="13"/>
        <v>0021</v>
      </c>
      <c r="B78" s="3">
        <f t="shared" ca="1" si="11"/>
        <v>45689</v>
      </c>
      <c r="C78" s="2" t="str" cm="1">
        <f t="array" aca="1" ref="C78" ca="1">INDEX(Customers!A:A,RANDBETWEEN(2,20))</f>
        <v>C010</v>
      </c>
      <c r="D78" s="2" t="str" cm="1">
        <f t="array" aca="1" ref="D78" ca="1">INDEX(Products!A:A,RANDBETWEEN(2,101))</f>
        <v>P036</v>
      </c>
      <c r="E78" s="2" t="str" cm="1">
        <f t="array" aca="1" ref="E78" ca="1">INDEX(SalesPerson!A:A,RANDBETWEEN(2,21))</f>
        <v>S002</v>
      </c>
      <c r="F78" s="2" t="str">
        <f ca="1">_xlfn.XLOOKUP(C78,Customers!A:A,Customers!B:B)</f>
        <v>PT Bintang Timur</v>
      </c>
      <c r="G78" s="2" t="str">
        <f ca="1">_xlfn.XLOOKUP(D78,Products!A:A,Products!B:B)</f>
        <v>Router TP-Link</v>
      </c>
      <c r="H78" s="2" t="str">
        <f ca="1">_xlfn.XLOOKUP(E78,SalesPerson!A:A,SalesPerson!B:B)</f>
        <v>Budi Santoso</v>
      </c>
      <c r="I78" s="2" t="str">
        <f ca="1">_xlfn.XLOOKUP(E78,SalesPerson!A:A,SalesPerson!C:C)</f>
        <v>Bandung</v>
      </c>
      <c r="J78" s="2">
        <f t="shared" ca="1" si="12"/>
        <v>7</v>
      </c>
      <c r="K78" s="2">
        <f ca="1">_xlfn.XLOOKUP(D78,Products!A:A,Products!D:D)</f>
        <v>670000</v>
      </c>
      <c r="L78" s="2">
        <f ca="1">_xlfn.XLOOKUP(D78,Products!A:A,Products!E:E)</f>
        <v>510000</v>
      </c>
      <c r="M78" s="2">
        <f t="shared" ca="1" si="14"/>
        <v>4690000</v>
      </c>
      <c r="N78" s="2">
        <f t="shared" ca="1" si="15"/>
        <v>3570000</v>
      </c>
      <c r="O78" s="4">
        <f t="shared" ca="1" si="16"/>
        <v>1120000</v>
      </c>
      <c r="P78" s="2" t="str">
        <f ca="1">_xlfn.XLOOKUP(D78,Products!A:A,Products!C:C)</f>
        <v>Network</v>
      </c>
    </row>
    <row r="79" spans="1:16" x14ac:dyDescent="0.3">
      <c r="A79" t="str">
        <f t="shared" ca="1" si="13"/>
        <v>0096</v>
      </c>
      <c r="B79" s="3">
        <f t="shared" ca="1" si="11"/>
        <v>45664</v>
      </c>
      <c r="C79" s="2" t="str" cm="1">
        <f t="array" aca="1" ref="C79" ca="1">INDEX(Customers!A:A,RANDBETWEEN(2,20))</f>
        <v>C004</v>
      </c>
      <c r="D79" s="2" t="str" cm="1">
        <f t="array" aca="1" ref="D79" ca="1">INDEX(Products!A:A,RANDBETWEEN(2,101))</f>
        <v>P018</v>
      </c>
      <c r="E79" s="2" t="str" cm="1">
        <f t="array" aca="1" ref="E79" ca="1">INDEX(SalesPerson!A:A,RANDBETWEEN(2,21))</f>
        <v>S019</v>
      </c>
      <c r="F79" s="2" t="str">
        <f ca="1">_xlfn.XLOOKUP(C79,Customers!A:A,Customers!B:B)</f>
        <v>PT Global Digital</v>
      </c>
      <c r="G79" s="2" t="str">
        <f ca="1">_xlfn.XLOOKUP(D79,Products!A:A,Products!B:B)</f>
        <v>RAM DDR4 16GB</v>
      </c>
      <c r="H79" s="2" t="str">
        <f ca="1">_xlfn.XLOOKUP(E79,SalesPerson!A:A,SalesPerson!B:B)</f>
        <v>Sinta Maharani</v>
      </c>
      <c r="I79" s="2" t="str">
        <f ca="1">_xlfn.XLOOKUP(E79,SalesPerson!A:A,SalesPerson!C:C)</f>
        <v>Solo</v>
      </c>
      <c r="J79" s="2">
        <f t="shared" ca="1" si="12"/>
        <v>10</v>
      </c>
      <c r="K79" s="2">
        <f ca="1">_xlfn.XLOOKUP(D79,Products!A:A,Products!D:D)</f>
        <v>980000</v>
      </c>
      <c r="L79" s="2">
        <f ca="1">_xlfn.XLOOKUP(D79,Products!A:A,Products!E:E)</f>
        <v>780000</v>
      </c>
      <c r="M79" s="2">
        <f t="shared" ca="1" si="14"/>
        <v>9800000</v>
      </c>
      <c r="N79" s="2">
        <f t="shared" ca="1" si="15"/>
        <v>7800000</v>
      </c>
      <c r="O79" s="4">
        <f t="shared" ca="1" si="16"/>
        <v>2000000</v>
      </c>
      <c r="P79" s="2" t="str">
        <f ca="1">_xlfn.XLOOKUP(D79,Products!A:A,Products!C:C)</f>
        <v>Components</v>
      </c>
    </row>
    <row r="80" spans="1:16" x14ac:dyDescent="0.3">
      <c r="A80" t="str">
        <f t="shared" ca="1" si="13"/>
        <v>0094</v>
      </c>
      <c r="B80" s="3">
        <f t="shared" ca="1" si="11"/>
        <v>45679</v>
      </c>
      <c r="C80" s="2" t="str" cm="1">
        <f t="array" aca="1" ref="C80" ca="1">INDEX(Customers!A:A,RANDBETWEEN(2,20))</f>
        <v>C007</v>
      </c>
      <c r="D80" s="2" t="str" cm="1">
        <f t="array" aca="1" ref="D80" ca="1">INDEX(Products!A:A,RANDBETWEEN(2,101))</f>
        <v>P100</v>
      </c>
      <c r="E80" s="2" t="str" cm="1">
        <f t="array" aca="1" ref="E80" ca="1">INDEX(SalesPerson!A:A,RANDBETWEEN(2,21))</f>
        <v>S008</v>
      </c>
      <c r="F80" s="2" t="str">
        <f ca="1">_xlfn.XLOOKUP(C80,Customers!A:A,Customers!B:B)</f>
        <v>PT Mitra Solusi</v>
      </c>
      <c r="G80" s="2" t="str">
        <f ca="1">_xlfn.XLOOKUP(D80,Products!A:A,Products!B:B)</f>
        <v>USB Hub 4 Port</v>
      </c>
      <c r="H80" s="2" t="str">
        <f ca="1">_xlfn.XLOOKUP(E80,SalesPerson!A:A,SalesPerson!B:B)</f>
        <v>Hendra Wijaya</v>
      </c>
      <c r="I80" s="2" t="str">
        <f ca="1">_xlfn.XLOOKUP(E80,SalesPerson!A:A,SalesPerson!C:C)</f>
        <v>Bali</v>
      </c>
      <c r="J80" s="2">
        <f t="shared" ca="1" si="12"/>
        <v>10</v>
      </c>
      <c r="K80" s="2">
        <f ca="1">_xlfn.XLOOKUP(D80,Products!A:A,Products!D:D)</f>
        <v>150000</v>
      </c>
      <c r="L80" s="2">
        <f ca="1">_xlfn.XLOOKUP(D80,Products!A:A,Products!E:E)</f>
        <v>90000</v>
      </c>
      <c r="M80" s="2">
        <f t="shared" ca="1" si="14"/>
        <v>1500000</v>
      </c>
      <c r="N80" s="2">
        <f t="shared" ca="1" si="15"/>
        <v>900000</v>
      </c>
      <c r="O80" s="4">
        <f t="shared" ca="1" si="16"/>
        <v>600000</v>
      </c>
      <c r="P80" s="2" t="str">
        <f ca="1">_xlfn.XLOOKUP(D80,Products!A:A,Products!C:C)</f>
        <v>Accessories</v>
      </c>
    </row>
    <row r="81" spans="1:16" x14ac:dyDescent="0.3">
      <c r="A81" t="str">
        <f t="shared" ca="1" si="13"/>
        <v>0009</v>
      </c>
      <c r="B81" s="3">
        <f t="shared" ca="1" si="11"/>
        <v>45706</v>
      </c>
      <c r="C81" s="2" t="str" cm="1">
        <f t="array" aca="1" ref="C81" ca="1">INDEX(Customers!A:A,RANDBETWEEN(2,20))</f>
        <v>C003</v>
      </c>
      <c r="D81" s="2" t="str" cm="1">
        <f t="array" aca="1" ref="D81" ca="1">INDEX(Products!A:A,RANDBETWEEN(2,101))</f>
        <v>P019</v>
      </c>
      <c r="E81" s="2" t="str" cm="1">
        <f t="array" aca="1" ref="E81" ca="1">INDEX(SalesPerson!A:A,RANDBETWEEN(2,21))</f>
        <v>S007</v>
      </c>
      <c r="F81" s="2" t="str">
        <f ca="1">_xlfn.XLOOKUP(C81,Customers!A:A,Customers!B:B)</f>
        <v>CV Sinar Teknologi</v>
      </c>
      <c r="G81" s="2" t="str">
        <f ca="1">_xlfn.XLOOKUP(D81,Products!A:A,Products!B:B)</f>
        <v>HDMI Cable</v>
      </c>
      <c r="H81" s="2" t="str">
        <f ca="1">_xlfn.XLOOKUP(E81,SalesPerson!A:A,SalesPerson!B:B)</f>
        <v>Gita Maharani</v>
      </c>
      <c r="I81" s="2" t="str">
        <f ca="1">_xlfn.XLOOKUP(E81,SalesPerson!A:A,SalesPerson!C:C)</f>
        <v>Yogyakarta</v>
      </c>
      <c r="J81" s="2">
        <f t="shared" ca="1" si="12"/>
        <v>6</v>
      </c>
      <c r="K81" s="2">
        <f ca="1">_xlfn.XLOOKUP(D81,Products!A:A,Products!D:D)</f>
        <v>90000</v>
      </c>
      <c r="L81" s="2">
        <f ca="1">_xlfn.XLOOKUP(D81,Products!A:A,Products!E:E)</f>
        <v>50000</v>
      </c>
      <c r="M81" s="2">
        <f t="shared" ca="1" si="14"/>
        <v>540000</v>
      </c>
      <c r="N81" s="2">
        <f t="shared" ca="1" si="15"/>
        <v>300000</v>
      </c>
      <c r="O81" s="4">
        <f t="shared" ca="1" si="16"/>
        <v>240000</v>
      </c>
      <c r="P81" s="2" t="str">
        <f ca="1">_xlfn.XLOOKUP(D81,Products!A:A,Products!C:C)</f>
        <v>Accessories</v>
      </c>
    </row>
    <row r="82" spans="1:16" ht="28.8" x14ac:dyDescent="0.3">
      <c r="A82" t="str">
        <f t="shared" ca="1" si="13"/>
        <v>0010</v>
      </c>
      <c r="B82" s="3">
        <f t="shared" ca="1" si="11"/>
        <v>45680</v>
      </c>
      <c r="C82" s="2" t="str" cm="1">
        <f t="array" aca="1" ref="C82" ca="1">INDEX(Customers!A:A,RANDBETWEEN(2,20))</f>
        <v>C003</v>
      </c>
      <c r="D82" s="2" t="str" cm="1">
        <f t="array" aca="1" ref="D82" ca="1">INDEX(Products!A:A,RANDBETWEEN(2,101))</f>
        <v>P094</v>
      </c>
      <c r="E82" s="2" t="str" cm="1">
        <f t="array" aca="1" ref="E82" ca="1">INDEX(SalesPerson!A:A,RANDBETWEEN(2,21))</f>
        <v>S003</v>
      </c>
      <c r="F82" s="2" t="str">
        <f ca="1">_xlfn.XLOOKUP(C82,Customers!A:A,Customers!B:B)</f>
        <v>CV Sinar Teknologi</v>
      </c>
      <c r="G82" s="2" t="str">
        <f ca="1">_xlfn.XLOOKUP(D82,Products!A:A,Products!B:B)</f>
        <v>Speaker Logitech</v>
      </c>
      <c r="H82" s="2" t="str">
        <f ca="1">_xlfn.XLOOKUP(E82,SalesPerson!A:A,SalesPerson!B:B)</f>
        <v>Citra Lestari</v>
      </c>
      <c r="I82" s="2" t="str">
        <f ca="1">_xlfn.XLOOKUP(E82,SalesPerson!A:A,SalesPerson!C:C)</f>
        <v>Surabaya</v>
      </c>
      <c r="J82" s="2">
        <f t="shared" ca="1" si="12"/>
        <v>10</v>
      </c>
      <c r="K82" s="2">
        <f ca="1">_xlfn.XLOOKUP(D82,Products!A:A,Products!D:D)</f>
        <v>780000</v>
      </c>
      <c r="L82" s="2">
        <f ca="1">_xlfn.XLOOKUP(D82,Products!A:A,Products!E:E)</f>
        <v>590000</v>
      </c>
      <c r="M82" s="2">
        <f t="shared" ca="1" si="14"/>
        <v>7800000</v>
      </c>
      <c r="N82" s="2">
        <f t="shared" ca="1" si="15"/>
        <v>5900000</v>
      </c>
      <c r="O82" s="4">
        <f t="shared" ca="1" si="16"/>
        <v>1900000</v>
      </c>
      <c r="P82" s="2" t="str">
        <f ca="1">_xlfn.XLOOKUP(D82,Products!A:A,Products!C:C)</f>
        <v>Audio</v>
      </c>
    </row>
    <row r="83" spans="1:16" x14ac:dyDescent="0.3">
      <c r="A83" t="str">
        <f t="shared" ca="1" si="13"/>
        <v>0073</v>
      </c>
      <c r="B83" s="3">
        <f t="shared" ca="1" si="11"/>
        <v>45671</v>
      </c>
      <c r="C83" s="2" t="str" cm="1">
        <f t="array" aca="1" ref="C83" ca="1">INDEX(Customers!A:A,RANDBETWEEN(2,20))</f>
        <v>C008</v>
      </c>
      <c r="D83" s="2" t="str" cm="1">
        <f t="array" aca="1" ref="D83" ca="1">INDEX(Products!A:A,RANDBETWEEN(2,101))</f>
        <v>P094</v>
      </c>
      <c r="E83" s="2" t="str" cm="1">
        <f t="array" aca="1" ref="E83" ca="1">INDEX(SalesPerson!A:A,RANDBETWEEN(2,21))</f>
        <v>S004</v>
      </c>
      <c r="F83" s="2" t="str">
        <f ca="1">_xlfn.XLOOKUP(C83,Customers!A:A,Customers!B:B)</f>
        <v>PT Cahaya Abadi</v>
      </c>
      <c r="G83" s="2" t="str">
        <f ca="1">_xlfn.XLOOKUP(D83,Products!A:A,Products!B:B)</f>
        <v>Speaker Logitech</v>
      </c>
      <c r="H83" s="2" t="str">
        <f ca="1">_xlfn.XLOOKUP(E83,SalesPerson!A:A,SalesPerson!B:B)</f>
        <v>Dimas Saputra</v>
      </c>
      <c r="I83" s="2" t="str">
        <f ca="1">_xlfn.XLOOKUP(E83,SalesPerson!A:A,SalesPerson!C:C)</f>
        <v>Medan</v>
      </c>
      <c r="J83" s="2">
        <f t="shared" ca="1" si="12"/>
        <v>1</v>
      </c>
      <c r="K83" s="2">
        <f ca="1">_xlfn.XLOOKUP(D83,Products!A:A,Products!D:D)</f>
        <v>780000</v>
      </c>
      <c r="L83" s="2">
        <f ca="1">_xlfn.XLOOKUP(D83,Products!A:A,Products!E:E)</f>
        <v>590000</v>
      </c>
      <c r="M83" s="2">
        <f t="shared" ca="1" si="14"/>
        <v>780000</v>
      </c>
      <c r="N83" s="2">
        <f t="shared" ca="1" si="15"/>
        <v>590000</v>
      </c>
      <c r="O83" s="4">
        <f t="shared" ca="1" si="16"/>
        <v>190000</v>
      </c>
      <c r="P83" s="2" t="str">
        <f ca="1">_xlfn.XLOOKUP(D83,Products!A:A,Products!C:C)</f>
        <v>Audio</v>
      </c>
    </row>
    <row r="84" spans="1:16" x14ac:dyDescent="0.3">
      <c r="A84" t="str">
        <f t="shared" ca="1" si="13"/>
        <v>0025</v>
      </c>
      <c r="B84" s="3">
        <f t="shared" ca="1" si="11"/>
        <v>45669</v>
      </c>
      <c r="C84" s="2" t="str" cm="1">
        <f t="array" aca="1" ref="C84" ca="1">INDEX(Customers!A:A,RANDBETWEEN(2,20))</f>
        <v>C019</v>
      </c>
      <c r="D84" s="2" t="str" cm="1">
        <f t="array" aca="1" ref="D84" ca="1">INDEX(Products!A:A,RANDBETWEEN(2,101))</f>
        <v>P090</v>
      </c>
      <c r="E84" s="2" t="str" cm="1">
        <f t="array" aca="1" ref="E84" ca="1">INDEX(SalesPerson!A:A,RANDBETWEEN(2,21))</f>
        <v>S001</v>
      </c>
      <c r="F84" s="2" t="str">
        <f ca="1">_xlfn.XLOOKUP(C84,Customers!A:A,Customers!B:B)</f>
        <v>PT Harapan Baru</v>
      </c>
      <c r="G84" s="2" t="str">
        <f ca="1">_xlfn.XLOOKUP(D84,Products!A:A,Products!B:B)</f>
        <v>Flashdisk 64GB</v>
      </c>
      <c r="H84" s="2" t="str">
        <f ca="1">_xlfn.XLOOKUP(E84,SalesPerson!A:A,SalesPerson!B:B)</f>
        <v>Andi Pratama</v>
      </c>
      <c r="I84" s="2" t="str">
        <f ca="1">_xlfn.XLOOKUP(E84,SalesPerson!A:A,SalesPerson!C:C)</f>
        <v>Jakarta</v>
      </c>
      <c r="J84" s="2">
        <f t="shared" ca="1" si="12"/>
        <v>4</v>
      </c>
      <c r="K84" s="2">
        <f ca="1">_xlfn.XLOOKUP(D84,Products!A:A,Products!D:D)</f>
        <v>120000</v>
      </c>
      <c r="L84" s="2">
        <f ca="1">_xlfn.XLOOKUP(D84,Products!A:A,Products!E:E)</f>
        <v>80000</v>
      </c>
      <c r="M84" s="2">
        <f t="shared" ca="1" si="14"/>
        <v>480000</v>
      </c>
      <c r="N84" s="2">
        <f t="shared" ca="1" si="15"/>
        <v>320000</v>
      </c>
      <c r="O84" s="4">
        <f t="shared" ca="1" si="16"/>
        <v>160000</v>
      </c>
      <c r="P84" s="2" t="str">
        <f ca="1">_xlfn.XLOOKUP(D84,Products!A:A,Products!C:C)</f>
        <v>Storage</v>
      </c>
    </row>
    <row r="85" spans="1:16" x14ac:dyDescent="0.3">
      <c r="A85" t="str">
        <f t="shared" ca="1" si="13"/>
        <v>0012</v>
      </c>
      <c r="B85" s="3">
        <f t="shared" ca="1" si="11"/>
        <v>45680</v>
      </c>
      <c r="C85" s="2" t="str" cm="1">
        <f t="array" aca="1" ref="C85" ca="1">INDEX(Customers!A:A,RANDBETWEEN(2,20))</f>
        <v>C012</v>
      </c>
      <c r="D85" s="2" t="str" cm="1">
        <f t="array" aca="1" ref="D85" ca="1">INDEX(Products!A:A,RANDBETWEEN(2,101))</f>
        <v>P032</v>
      </c>
      <c r="E85" s="2" t="str" cm="1">
        <f t="array" aca="1" ref="E85" ca="1">INDEX(SalesPerson!A:A,RANDBETWEEN(2,21))</f>
        <v>S006</v>
      </c>
      <c r="F85" s="2" t="str">
        <f ca="1">_xlfn.XLOOKUP(C85,Customers!A:A,Customers!B:B)</f>
        <v>PT Sukses Makmur</v>
      </c>
      <c r="G85" s="2" t="str">
        <f ca="1">_xlfn.XLOOKUP(D85,Products!A:A,Products!B:B)</f>
        <v>Webcam Logitech</v>
      </c>
      <c r="H85" s="2" t="str">
        <f ca="1">_xlfn.XLOOKUP(E85,SalesPerson!A:A,SalesPerson!B:B)</f>
        <v>Fajar Nugroho</v>
      </c>
      <c r="I85" s="2" t="str">
        <f ca="1">_xlfn.XLOOKUP(E85,SalesPerson!A:A,SalesPerson!C:C)</f>
        <v>Semarang</v>
      </c>
      <c r="J85" s="2">
        <f t="shared" ca="1" si="12"/>
        <v>8</v>
      </c>
      <c r="K85" s="2">
        <f ca="1">_xlfn.XLOOKUP(D85,Products!A:A,Products!D:D)</f>
        <v>680000</v>
      </c>
      <c r="L85" s="2">
        <f ca="1">_xlfn.XLOOKUP(D85,Products!A:A,Products!E:E)</f>
        <v>520000</v>
      </c>
      <c r="M85" s="2">
        <f t="shared" ca="1" si="14"/>
        <v>5440000</v>
      </c>
      <c r="N85" s="2">
        <f t="shared" ca="1" si="15"/>
        <v>4160000</v>
      </c>
      <c r="O85" s="4">
        <f t="shared" ca="1" si="16"/>
        <v>1280000</v>
      </c>
      <c r="P85" s="2" t="str">
        <f ca="1">_xlfn.XLOOKUP(D85,Products!A:A,Products!C:C)</f>
        <v>Accessories</v>
      </c>
    </row>
    <row r="86" spans="1:16" x14ac:dyDescent="0.3">
      <c r="A86" t="str">
        <f t="shared" ca="1" si="13"/>
        <v>0055</v>
      </c>
      <c r="B86" s="3">
        <f t="shared" ca="1" si="11"/>
        <v>45688</v>
      </c>
      <c r="C86" s="2" t="str" cm="1">
        <f t="array" aca="1" ref="C86" ca="1">INDEX(Customers!A:A,RANDBETWEEN(2,20))</f>
        <v>C011</v>
      </c>
      <c r="D86" s="2" t="str" cm="1">
        <f t="array" aca="1" ref="D86" ca="1">INDEX(Products!A:A,RANDBETWEEN(2,101))</f>
        <v>P068</v>
      </c>
      <c r="E86" s="2" t="str" cm="1">
        <f t="array" aca="1" ref="E86" ca="1">INDEX(SalesPerson!A:A,RANDBETWEEN(2,21))</f>
        <v>S003</v>
      </c>
      <c r="F86" s="2" t="str">
        <f ca="1">_xlfn.XLOOKUP(C86,Customers!A:A,Customers!B:B)</f>
        <v>CV Karya Mandiri</v>
      </c>
      <c r="G86" s="2" t="str">
        <f ca="1">_xlfn.XLOOKUP(D86,Products!A:A,Products!B:B)</f>
        <v>SSD 1TB Kingston</v>
      </c>
      <c r="H86" s="2" t="str">
        <f ca="1">_xlfn.XLOOKUP(E86,SalesPerson!A:A,SalesPerson!B:B)</f>
        <v>Citra Lestari</v>
      </c>
      <c r="I86" s="2" t="str">
        <f ca="1">_xlfn.XLOOKUP(E86,SalesPerson!A:A,SalesPerson!C:C)</f>
        <v>Surabaya</v>
      </c>
      <c r="J86" s="2">
        <f t="shared" ca="1" si="12"/>
        <v>10</v>
      </c>
      <c r="K86" s="2">
        <f ca="1">_xlfn.XLOOKUP(D86,Products!A:A,Products!D:D)</f>
        <v>1250000</v>
      </c>
      <c r="L86" s="2">
        <f ca="1">_xlfn.XLOOKUP(D86,Products!A:A,Products!E:E)</f>
        <v>980000</v>
      </c>
      <c r="M86" s="2">
        <f t="shared" ca="1" si="14"/>
        <v>12500000</v>
      </c>
      <c r="N86" s="2">
        <f t="shared" ca="1" si="15"/>
        <v>9800000</v>
      </c>
      <c r="O86" s="4">
        <f t="shared" ca="1" si="16"/>
        <v>2700000</v>
      </c>
      <c r="P86" s="2" t="str">
        <f ca="1">_xlfn.XLOOKUP(D86,Products!A:A,Products!C:C)</f>
        <v>Storage</v>
      </c>
    </row>
    <row r="87" spans="1:16" x14ac:dyDescent="0.3">
      <c r="A87" t="str">
        <f t="shared" ca="1" si="13"/>
        <v>0025</v>
      </c>
      <c r="B87" s="3">
        <f t="shared" ca="1" si="11"/>
        <v>45683</v>
      </c>
      <c r="C87" s="2" t="str" cm="1">
        <f t="array" aca="1" ref="C87" ca="1">INDEX(Customers!A:A,RANDBETWEEN(2,20))</f>
        <v>C001</v>
      </c>
      <c r="D87" s="2" t="str" cm="1">
        <f t="array" aca="1" ref="D87" ca="1">INDEX(Products!A:A,RANDBETWEEN(2,101))</f>
        <v>P032</v>
      </c>
      <c r="E87" s="2" t="str" cm="1">
        <f t="array" aca="1" ref="E87" ca="1">INDEX(SalesPerson!A:A,RANDBETWEEN(2,21))</f>
        <v>S003</v>
      </c>
      <c r="F87" s="2" t="str">
        <f ca="1">_xlfn.XLOOKUP(C87,Customers!A:A,Customers!B:B)</f>
        <v>PT Maju Jaya</v>
      </c>
      <c r="G87" s="2" t="str">
        <f ca="1">_xlfn.XLOOKUP(D87,Products!A:A,Products!B:B)</f>
        <v>Webcam Logitech</v>
      </c>
      <c r="H87" s="2" t="str">
        <f ca="1">_xlfn.XLOOKUP(E87,SalesPerson!A:A,SalesPerson!B:B)</f>
        <v>Citra Lestari</v>
      </c>
      <c r="I87" s="2" t="str">
        <f ca="1">_xlfn.XLOOKUP(E87,SalesPerson!A:A,SalesPerson!C:C)</f>
        <v>Surabaya</v>
      </c>
      <c r="J87" s="2">
        <f t="shared" ca="1" si="12"/>
        <v>10</v>
      </c>
      <c r="K87" s="2">
        <f ca="1">_xlfn.XLOOKUP(D87,Products!A:A,Products!D:D)</f>
        <v>680000</v>
      </c>
      <c r="L87" s="2">
        <f ca="1">_xlfn.XLOOKUP(D87,Products!A:A,Products!E:E)</f>
        <v>520000</v>
      </c>
      <c r="M87" s="2">
        <f t="shared" ca="1" si="14"/>
        <v>6800000</v>
      </c>
      <c r="N87" s="2">
        <f t="shared" ca="1" si="15"/>
        <v>5200000</v>
      </c>
      <c r="O87" s="4">
        <f t="shared" ca="1" si="16"/>
        <v>1600000</v>
      </c>
      <c r="P87" s="2" t="str">
        <f ca="1">_xlfn.XLOOKUP(D87,Products!A:A,Products!C:C)</f>
        <v>Accessories</v>
      </c>
    </row>
    <row r="88" spans="1:16" x14ac:dyDescent="0.3">
      <c r="A88" t="str">
        <f t="shared" ca="1" si="13"/>
        <v>0045</v>
      </c>
      <c r="B88" s="3">
        <f t="shared" ca="1" si="11"/>
        <v>45691</v>
      </c>
      <c r="C88" s="2" t="str" cm="1">
        <f t="array" aca="1" ref="C88" ca="1">INDEX(Customers!A:A,RANDBETWEEN(2,20))</f>
        <v>C014</v>
      </c>
      <c r="D88" s="2" t="str" cm="1">
        <f t="array" aca="1" ref="D88" ca="1">INDEX(Products!A:A,RANDBETWEEN(2,101))</f>
        <v>P066</v>
      </c>
      <c r="E88" s="2" t="str" cm="1">
        <f t="array" aca="1" ref="E88" ca="1">INDEX(SalesPerson!A:A,RANDBETWEEN(2,21))</f>
        <v>S007</v>
      </c>
      <c r="F88" s="2" t="str">
        <f ca="1">_xlfn.XLOOKUP(C88,Customers!A:A,Customers!B:B)</f>
        <v>CV Nusantara Jaya</v>
      </c>
      <c r="G88" s="2" t="str">
        <f ca="1">_xlfn.XLOOKUP(D88,Products!A:A,Products!B:B)</f>
        <v>Mechanical Keyboard</v>
      </c>
      <c r="H88" s="2" t="str">
        <f ca="1">_xlfn.XLOOKUP(E88,SalesPerson!A:A,SalesPerson!B:B)</f>
        <v>Gita Maharani</v>
      </c>
      <c r="I88" s="2" t="str">
        <f ca="1">_xlfn.XLOOKUP(E88,SalesPerson!A:A,SalesPerson!C:C)</f>
        <v>Yogyakarta</v>
      </c>
      <c r="J88" s="2">
        <f t="shared" ca="1" si="12"/>
        <v>4</v>
      </c>
      <c r="K88" s="2">
        <f ca="1">_xlfn.XLOOKUP(D88,Products!A:A,Products!D:D)</f>
        <v>750000</v>
      </c>
      <c r="L88" s="2">
        <f ca="1">_xlfn.XLOOKUP(D88,Products!A:A,Products!E:E)</f>
        <v>520000</v>
      </c>
      <c r="M88" s="2">
        <f t="shared" ca="1" si="14"/>
        <v>3000000</v>
      </c>
      <c r="N88" s="2">
        <f t="shared" ca="1" si="15"/>
        <v>2080000</v>
      </c>
      <c r="O88" s="4">
        <f t="shared" ca="1" si="16"/>
        <v>920000</v>
      </c>
      <c r="P88" s="2" t="str">
        <f ca="1">_xlfn.XLOOKUP(D88,Products!A:A,Products!C:C)</f>
        <v>Accessories</v>
      </c>
    </row>
    <row r="89" spans="1:16" x14ac:dyDescent="0.3">
      <c r="A89" t="str">
        <f t="shared" ca="1" si="13"/>
        <v>0090</v>
      </c>
      <c r="B89" s="3">
        <f t="shared" ca="1" si="11"/>
        <v>45701</v>
      </c>
      <c r="C89" s="2" t="str" cm="1">
        <f t="array" aca="1" ref="C89" ca="1">INDEX(Customers!A:A,RANDBETWEEN(2,20))</f>
        <v>C003</v>
      </c>
      <c r="D89" s="2" t="str" cm="1">
        <f t="array" aca="1" ref="D89" ca="1">INDEX(Products!A:A,RANDBETWEEN(2,101))</f>
        <v>P076</v>
      </c>
      <c r="E89" s="2" t="str" cm="1">
        <f t="array" aca="1" ref="E89" ca="1">INDEX(SalesPerson!A:A,RANDBETWEEN(2,21))</f>
        <v>S016</v>
      </c>
      <c r="F89" s="2" t="str">
        <f ca="1">_xlfn.XLOOKUP(C89,Customers!A:A,Customers!B:B)</f>
        <v>CV Sinar Teknologi</v>
      </c>
      <c r="G89" s="2" t="str">
        <f ca="1">_xlfn.XLOOKUP(D89,Products!A:A,Products!B:B)</f>
        <v>Router TP-Link</v>
      </c>
      <c r="H89" s="2" t="str">
        <f ca="1">_xlfn.XLOOKUP(E89,SalesPerson!A:A,SalesPerson!B:B)</f>
        <v>Putra Ramadhan</v>
      </c>
      <c r="I89" s="2" t="str">
        <f ca="1">_xlfn.XLOOKUP(E89,SalesPerson!A:A,SalesPerson!C:C)</f>
        <v>Pekanbaru</v>
      </c>
      <c r="J89" s="2">
        <f t="shared" ca="1" si="12"/>
        <v>3</v>
      </c>
      <c r="K89" s="2">
        <f ca="1">_xlfn.XLOOKUP(D89,Products!A:A,Products!D:D)</f>
        <v>670000</v>
      </c>
      <c r="L89" s="2">
        <f ca="1">_xlfn.XLOOKUP(D89,Products!A:A,Products!E:E)</f>
        <v>510000</v>
      </c>
      <c r="M89" s="2">
        <f t="shared" ca="1" si="14"/>
        <v>2010000</v>
      </c>
      <c r="N89" s="2">
        <f t="shared" ca="1" si="15"/>
        <v>1530000</v>
      </c>
      <c r="O89" s="4">
        <f t="shared" ca="1" si="16"/>
        <v>480000</v>
      </c>
      <c r="P89" s="2" t="str">
        <f ca="1">_xlfn.XLOOKUP(D89,Products!A:A,Products!C:C)</f>
        <v>Network</v>
      </c>
    </row>
    <row r="90" spans="1:16" x14ac:dyDescent="0.3">
      <c r="A90" t="str">
        <f t="shared" ca="1" si="13"/>
        <v>0028</v>
      </c>
      <c r="B90" s="3">
        <f t="shared" ca="1" si="11"/>
        <v>45711</v>
      </c>
      <c r="C90" s="2" t="str" cm="1">
        <f t="array" aca="1" ref="C90" ca="1">INDEX(Customers!A:A,RANDBETWEEN(2,20))</f>
        <v>C012</v>
      </c>
      <c r="D90" s="2" t="str" cm="1">
        <f t="array" aca="1" ref="D90" ca="1">INDEX(Products!A:A,RANDBETWEEN(2,101))</f>
        <v>P021</v>
      </c>
      <c r="E90" s="2" t="str" cm="1">
        <f t="array" aca="1" ref="E90" ca="1">INDEX(SalesPerson!A:A,RANDBETWEEN(2,21))</f>
        <v>S011</v>
      </c>
      <c r="F90" s="2" t="str">
        <f ca="1">_xlfn.XLOOKUP(C90,Customers!A:A,Customers!B:B)</f>
        <v>PT Sukses Makmur</v>
      </c>
      <c r="G90" s="2" t="str">
        <f ca="1">_xlfn.XLOOKUP(D90,Products!A:A,Products!B:B)</f>
        <v>Laptop ASUS Vivobook</v>
      </c>
      <c r="H90" s="2" t="str">
        <f ca="1">_xlfn.XLOOKUP(E90,SalesPerson!A:A,SalesPerson!B:B)</f>
        <v>Kevin Saputra</v>
      </c>
      <c r="I90" s="2" t="str">
        <f ca="1">_xlfn.XLOOKUP(E90,SalesPerson!A:A,SalesPerson!C:C)</f>
        <v>Tangerang</v>
      </c>
      <c r="J90" s="2">
        <f t="shared" ca="1" si="12"/>
        <v>5</v>
      </c>
      <c r="K90" s="2">
        <f ca="1">_xlfn.XLOOKUP(D90,Products!A:A,Products!D:D)</f>
        <v>8500000</v>
      </c>
      <c r="L90" s="2">
        <f ca="1">_xlfn.XLOOKUP(D90,Products!A:A,Products!E:E)</f>
        <v>7200000</v>
      </c>
      <c r="M90" s="2">
        <f t="shared" ca="1" si="14"/>
        <v>42500000</v>
      </c>
      <c r="N90" s="2">
        <f t="shared" ca="1" si="15"/>
        <v>36000000</v>
      </c>
      <c r="O90" s="4">
        <f t="shared" ca="1" si="16"/>
        <v>6500000</v>
      </c>
      <c r="P90" s="2" t="str">
        <f ca="1">_xlfn.XLOOKUP(D90,Products!A:A,Products!C:C)</f>
        <v>Laptop</v>
      </c>
    </row>
    <row r="91" spans="1:16" x14ac:dyDescent="0.3">
      <c r="A91" t="str">
        <f t="shared" ca="1" si="13"/>
        <v>0038</v>
      </c>
      <c r="B91" s="3">
        <f t="shared" ca="1" si="11"/>
        <v>45692</v>
      </c>
      <c r="C91" s="2" t="str" cm="1">
        <f t="array" aca="1" ref="C91" ca="1">INDEX(Customers!A:A,RANDBETWEEN(2,20))</f>
        <v>C011</v>
      </c>
      <c r="D91" s="2" t="str" cm="1">
        <f t="array" aca="1" ref="D91" ca="1">INDEX(Products!A:A,RANDBETWEEN(2,101))</f>
        <v>P056</v>
      </c>
      <c r="E91" s="2" t="str" cm="1">
        <f t="array" aca="1" ref="E91" ca="1">INDEX(SalesPerson!A:A,RANDBETWEEN(2,21))</f>
        <v>S017</v>
      </c>
      <c r="F91" s="2" t="str">
        <f ca="1">_xlfn.XLOOKUP(C91,Customers!A:A,Customers!B:B)</f>
        <v>CV Karya Mandiri</v>
      </c>
      <c r="G91" s="2" t="str">
        <f ca="1">_xlfn.XLOOKUP(D91,Products!A:A,Products!B:B)</f>
        <v>Router TP-Link</v>
      </c>
      <c r="H91" s="2" t="str">
        <f ca="1">_xlfn.XLOOKUP(E91,SalesPerson!A:A,SalesPerson!B:B)</f>
        <v>Qori Amanda</v>
      </c>
      <c r="I91" s="2" t="str">
        <f ca="1">_xlfn.XLOOKUP(E91,SalesPerson!A:A,SalesPerson!C:C)</f>
        <v>Pontianak</v>
      </c>
      <c r="J91" s="2">
        <f t="shared" ca="1" si="12"/>
        <v>6</v>
      </c>
      <c r="K91" s="2">
        <f ca="1">_xlfn.XLOOKUP(D91,Products!A:A,Products!D:D)</f>
        <v>670000</v>
      </c>
      <c r="L91" s="2">
        <f ca="1">_xlfn.XLOOKUP(D91,Products!A:A,Products!E:E)</f>
        <v>510000</v>
      </c>
      <c r="M91" s="2">
        <f t="shared" ca="1" si="14"/>
        <v>4020000</v>
      </c>
      <c r="N91" s="2">
        <f t="shared" ca="1" si="15"/>
        <v>3060000</v>
      </c>
      <c r="O91" s="4">
        <f t="shared" ca="1" si="16"/>
        <v>960000</v>
      </c>
      <c r="P91" s="2" t="str">
        <f ca="1">_xlfn.XLOOKUP(D91,Products!A:A,Products!C:C)</f>
        <v>Network</v>
      </c>
    </row>
    <row r="92" spans="1:16" x14ac:dyDescent="0.3">
      <c r="A92" t="str">
        <f t="shared" ca="1" si="13"/>
        <v>0025</v>
      </c>
      <c r="B92" s="3">
        <f t="shared" ca="1" si="11"/>
        <v>45669</v>
      </c>
      <c r="C92" s="2" t="str" cm="1">
        <f t="array" aca="1" ref="C92" ca="1">INDEX(Customers!A:A,RANDBETWEEN(2,20))</f>
        <v>C009</v>
      </c>
      <c r="D92" s="2" t="str" cm="1">
        <f t="array" aca="1" ref="D92" ca="1">INDEX(Products!A:A,RANDBETWEEN(2,101))</f>
        <v>P058</v>
      </c>
      <c r="E92" s="2" t="str" cm="1">
        <f t="array" aca="1" ref="E92" ca="1">INDEX(SalesPerson!A:A,RANDBETWEEN(2,21))</f>
        <v>S003</v>
      </c>
      <c r="F92" s="2" t="str">
        <f ca="1">_xlfn.XLOOKUP(C92,Customers!A:A,Customers!B:B)</f>
        <v>PT Andalan Prima</v>
      </c>
      <c r="G92" s="2" t="str">
        <f ca="1">_xlfn.XLOOKUP(D92,Products!A:A,Products!B:B)</f>
        <v>RAM DDR4 16GB</v>
      </c>
      <c r="H92" s="2" t="str">
        <f ca="1">_xlfn.XLOOKUP(E92,SalesPerson!A:A,SalesPerson!B:B)</f>
        <v>Citra Lestari</v>
      </c>
      <c r="I92" s="2" t="str">
        <f ca="1">_xlfn.XLOOKUP(E92,SalesPerson!A:A,SalesPerson!C:C)</f>
        <v>Surabaya</v>
      </c>
      <c r="J92" s="2">
        <f t="shared" ca="1" si="12"/>
        <v>2</v>
      </c>
      <c r="K92" s="2">
        <f ca="1">_xlfn.XLOOKUP(D92,Products!A:A,Products!D:D)</f>
        <v>980000</v>
      </c>
      <c r="L92" s="2">
        <f ca="1">_xlfn.XLOOKUP(D92,Products!A:A,Products!E:E)</f>
        <v>780000</v>
      </c>
      <c r="M92" s="2">
        <f t="shared" ca="1" si="14"/>
        <v>1960000</v>
      </c>
      <c r="N92" s="2">
        <f t="shared" ca="1" si="15"/>
        <v>1560000</v>
      </c>
      <c r="O92" s="4">
        <f t="shared" ca="1" si="16"/>
        <v>400000</v>
      </c>
      <c r="P92" s="2" t="str">
        <f ca="1">_xlfn.XLOOKUP(D92,Products!A:A,Products!C:C)</f>
        <v>Components</v>
      </c>
    </row>
    <row r="93" spans="1:16" x14ac:dyDescent="0.3">
      <c r="A93" t="str">
        <f t="shared" ca="1" si="13"/>
        <v>0001</v>
      </c>
      <c r="B93" s="3">
        <f t="shared" ca="1" si="11"/>
        <v>45704</v>
      </c>
      <c r="C93" s="2" t="str" cm="1">
        <f t="array" aca="1" ref="C93" ca="1">INDEX(Customers!A:A,RANDBETWEEN(2,20))</f>
        <v>C003</v>
      </c>
      <c r="D93" s="2" t="str" cm="1">
        <f t="array" aca="1" ref="D93" ca="1">INDEX(Products!A:A,RANDBETWEEN(2,101))</f>
        <v>P094</v>
      </c>
      <c r="E93" s="2" t="str" cm="1">
        <f t="array" aca="1" ref="E93" ca="1">INDEX(SalesPerson!A:A,RANDBETWEEN(2,21))</f>
        <v>S017</v>
      </c>
      <c r="F93" s="2" t="str">
        <f ca="1">_xlfn.XLOOKUP(C93,Customers!A:A,Customers!B:B)</f>
        <v>CV Sinar Teknologi</v>
      </c>
      <c r="G93" s="2" t="str">
        <f ca="1">_xlfn.XLOOKUP(D93,Products!A:A,Products!B:B)</f>
        <v>Speaker Logitech</v>
      </c>
      <c r="H93" s="2" t="str">
        <f ca="1">_xlfn.XLOOKUP(E93,SalesPerson!A:A,SalesPerson!B:B)</f>
        <v>Qori Amanda</v>
      </c>
      <c r="I93" s="2" t="str">
        <f ca="1">_xlfn.XLOOKUP(E93,SalesPerson!A:A,SalesPerson!C:C)</f>
        <v>Pontianak</v>
      </c>
      <c r="J93" s="2">
        <f t="shared" ca="1" si="12"/>
        <v>9</v>
      </c>
      <c r="K93" s="2">
        <f ca="1">_xlfn.XLOOKUP(D93,Products!A:A,Products!D:D)</f>
        <v>780000</v>
      </c>
      <c r="L93" s="2">
        <f ca="1">_xlfn.XLOOKUP(D93,Products!A:A,Products!E:E)</f>
        <v>590000</v>
      </c>
      <c r="M93" s="2">
        <f t="shared" ca="1" si="14"/>
        <v>7020000</v>
      </c>
      <c r="N93" s="2">
        <f t="shared" ca="1" si="15"/>
        <v>5310000</v>
      </c>
      <c r="O93" s="4">
        <f t="shared" ca="1" si="16"/>
        <v>1710000</v>
      </c>
      <c r="P93" s="2" t="str">
        <f ca="1">_xlfn.XLOOKUP(D93,Products!A:A,Products!C:C)</f>
        <v>Audio</v>
      </c>
    </row>
    <row r="94" spans="1:16" x14ac:dyDescent="0.3">
      <c r="A94" t="str">
        <f t="shared" ca="1" si="13"/>
        <v>0091</v>
      </c>
      <c r="B94" s="3">
        <f t="shared" ca="1" si="11"/>
        <v>45670</v>
      </c>
      <c r="C94" s="2" t="str" cm="1">
        <f t="array" aca="1" ref="C94" ca="1">INDEX(Customers!A:A,RANDBETWEEN(2,20))</f>
        <v>C008</v>
      </c>
      <c r="D94" s="2" t="str" cm="1">
        <f t="array" aca="1" ref="D94" ca="1">INDEX(Products!A:A,RANDBETWEEN(2,101))</f>
        <v>P010</v>
      </c>
      <c r="E94" s="2" t="str" cm="1">
        <f t="array" aca="1" ref="E94" ca="1">INDEX(SalesPerson!A:A,RANDBETWEEN(2,21))</f>
        <v>S012</v>
      </c>
      <c r="F94" s="2" t="str">
        <f ca="1">_xlfn.XLOOKUP(C94,Customers!A:A,Customers!B:B)</f>
        <v>PT Cahaya Abadi</v>
      </c>
      <c r="G94" s="2" t="str">
        <f ca="1">_xlfn.XLOOKUP(D94,Products!A:A,Products!B:B)</f>
        <v>Flashdisk 64GB</v>
      </c>
      <c r="H94" s="2" t="str">
        <f ca="1">_xlfn.XLOOKUP(E94,SalesPerson!A:A,SalesPerson!B:B)</f>
        <v>Lestari Wulandari</v>
      </c>
      <c r="I94" s="2" t="str">
        <f ca="1">_xlfn.XLOOKUP(E94,SalesPerson!A:A,SalesPerson!C:C)</f>
        <v>Depok</v>
      </c>
      <c r="J94" s="2">
        <f t="shared" ca="1" si="12"/>
        <v>7</v>
      </c>
      <c r="K94" s="2">
        <f ca="1">_xlfn.XLOOKUP(D94,Products!A:A,Products!D:D)</f>
        <v>120000</v>
      </c>
      <c r="L94" s="2">
        <f ca="1">_xlfn.XLOOKUP(D94,Products!A:A,Products!E:E)</f>
        <v>80000</v>
      </c>
      <c r="M94" s="2">
        <f t="shared" ca="1" si="14"/>
        <v>840000</v>
      </c>
      <c r="N94" s="2">
        <f t="shared" ca="1" si="15"/>
        <v>560000</v>
      </c>
      <c r="O94" s="4">
        <f t="shared" ca="1" si="16"/>
        <v>280000</v>
      </c>
      <c r="P94" s="2" t="str">
        <f ca="1">_xlfn.XLOOKUP(D94,Products!A:A,Products!C:C)</f>
        <v>Storage</v>
      </c>
    </row>
    <row r="95" spans="1:16" x14ac:dyDescent="0.3">
      <c r="A95" t="str">
        <f t="shared" ca="1" si="13"/>
        <v>0016</v>
      </c>
      <c r="B95" s="3">
        <f t="shared" ca="1" si="11"/>
        <v>45672</v>
      </c>
      <c r="C95" s="2" t="str" cm="1">
        <f t="array" aca="1" ref="C95" ca="1">INDEX(Customers!A:A,RANDBETWEEN(2,20))</f>
        <v>C017</v>
      </c>
      <c r="D95" s="2" t="str" cm="1">
        <f t="array" aca="1" ref="D95" ca="1">INDEX(Products!A:A,RANDBETWEEN(2,101))</f>
        <v>P092</v>
      </c>
      <c r="E95" s="2" t="str" cm="1">
        <f t="array" aca="1" ref="E95" ca="1">INDEX(SalesPerson!A:A,RANDBETWEEN(2,21))</f>
        <v>S016</v>
      </c>
      <c r="F95" s="2" t="str">
        <f ca="1">_xlfn.XLOOKUP(C95,Customers!A:A,Customers!B:B)</f>
        <v>CV Berkah Mandiri</v>
      </c>
      <c r="G95" s="2" t="str">
        <f ca="1">_xlfn.XLOOKUP(D95,Products!A:A,Products!B:B)</f>
        <v>Webcam Logitech</v>
      </c>
      <c r="H95" s="2" t="str">
        <f ca="1">_xlfn.XLOOKUP(E95,SalesPerson!A:A,SalesPerson!B:B)</f>
        <v>Putra Ramadhan</v>
      </c>
      <c r="I95" s="2" t="str">
        <f ca="1">_xlfn.XLOOKUP(E95,SalesPerson!A:A,SalesPerson!C:C)</f>
        <v>Pekanbaru</v>
      </c>
      <c r="J95" s="2">
        <f t="shared" ca="1" si="12"/>
        <v>7</v>
      </c>
      <c r="K95" s="2">
        <f ca="1">_xlfn.XLOOKUP(D95,Products!A:A,Products!D:D)</f>
        <v>680000</v>
      </c>
      <c r="L95" s="2">
        <f ca="1">_xlfn.XLOOKUP(D95,Products!A:A,Products!E:E)</f>
        <v>520000</v>
      </c>
      <c r="M95" s="2">
        <f t="shared" ca="1" si="14"/>
        <v>4760000</v>
      </c>
      <c r="N95" s="2">
        <f t="shared" ca="1" si="15"/>
        <v>3640000</v>
      </c>
      <c r="O95" s="4">
        <f t="shared" ca="1" si="16"/>
        <v>1120000</v>
      </c>
      <c r="P95" s="2" t="str">
        <f ca="1">_xlfn.XLOOKUP(D95,Products!A:A,Products!C:C)</f>
        <v>Accessories</v>
      </c>
    </row>
    <row r="96" spans="1:16" x14ac:dyDescent="0.3">
      <c r="A96" t="str">
        <f t="shared" ca="1" si="13"/>
        <v>0058</v>
      </c>
      <c r="B96" s="3">
        <f t="shared" ca="1" si="11"/>
        <v>45659</v>
      </c>
      <c r="C96" s="2" t="str" cm="1">
        <f t="array" aca="1" ref="C96" ca="1">INDEX(Customers!A:A,RANDBETWEEN(2,20))</f>
        <v>C009</v>
      </c>
      <c r="D96" s="2" t="str" cm="1">
        <f t="array" aca="1" ref="D96" ca="1">INDEX(Products!A:A,RANDBETWEEN(2,101))</f>
        <v>P013</v>
      </c>
      <c r="E96" s="2" t="str" cm="1">
        <f t="array" aca="1" ref="E96" ca="1">INDEX(SalesPerson!A:A,RANDBETWEEN(2,21))</f>
        <v>S011</v>
      </c>
      <c r="F96" s="2" t="str">
        <f ca="1">_xlfn.XLOOKUP(C96,Customers!A:A,Customers!B:B)</f>
        <v>PT Andalan Prima</v>
      </c>
      <c r="G96" s="2" t="str">
        <f ca="1">_xlfn.XLOOKUP(D96,Products!A:A,Products!B:B)</f>
        <v>Headset HyperX</v>
      </c>
      <c r="H96" s="2" t="str">
        <f ca="1">_xlfn.XLOOKUP(E96,SalesPerson!A:A,SalesPerson!B:B)</f>
        <v>Kevin Saputra</v>
      </c>
      <c r="I96" s="2" t="str">
        <f ca="1">_xlfn.XLOOKUP(E96,SalesPerson!A:A,SalesPerson!C:C)</f>
        <v>Tangerang</v>
      </c>
      <c r="J96" s="2">
        <f t="shared" ca="1" si="12"/>
        <v>9</v>
      </c>
      <c r="K96" s="2">
        <f ca="1">_xlfn.XLOOKUP(D96,Products!A:A,Products!D:D)</f>
        <v>890000</v>
      </c>
      <c r="L96" s="2">
        <f ca="1">_xlfn.XLOOKUP(D96,Products!A:A,Products!E:E)</f>
        <v>690000</v>
      </c>
      <c r="M96" s="2">
        <f t="shared" ca="1" si="14"/>
        <v>8010000</v>
      </c>
      <c r="N96" s="2">
        <f t="shared" ca="1" si="15"/>
        <v>6210000</v>
      </c>
      <c r="O96" s="4">
        <f t="shared" ca="1" si="16"/>
        <v>1800000</v>
      </c>
      <c r="P96" s="2" t="str">
        <f ca="1">_xlfn.XLOOKUP(D96,Products!A:A,Products!C:C)</f>
        <v>Accessories</v>
      </c>
    </row>
    <row r="97" spans="1:16" x14ac:dyDescent="0.3">
      <c r="A97" t="str">
        <f t="shared" ca="1" si="13"/>
        <v>0057</v>
      </c>
      <c r="B97" s="3">
        <f t="shared" ca="1" si="11"/>
        <v>45711</v>
      </c>
      <c r="C97" s="2" t="str" cm="1">
        <f t="array" aca="1" ref="C97" ca="1">INDEX(Customers!A:A,RANDBETWEEN(2,20))</f>
        <v>C012</v>
      </c>
      <c r="D97" s="2" t="str" cm="1">
        <f t="array" aca="1" ref="D97" ca="1">INDEX(Products!A:A,RANDBETWEEN(2,101))</f>
        <v>P100</v>
      </c>
      <c r="E97" s="2" t="str" cm="1">
        <f t="array" aca="1" ref="E97" ca="1">INDEX(SalesPerson!A:A,RANDBETWEEN(2,21))</f>
        <v>S008</v>
      </c>
      <c r="F97" s="2" t="str">
        <f ca="1">_xlfn.XLOOKUP(C97,Customers!A:A,Customers!B:B)</f>
        <v>PT Sukses Makmur</v>
      </c>
      <c r="G97" s="2" t="str">
        <f ca="1">_xlfn.XLOOKUP(D97,Products!A:A,Products!B:B)</f>
        <v>USB Hub 4 Port</v>
      </c>
      <c r="H97" s="2" t="str">
        <f ca="1">_xlfn.XLOOKUP(E97,SalesPerson!A:A,SalesPerson!B:B)</f>
        <v>Hendra Wijaya</v>
      </c>
      <c r="I97" s="2" t="str">
        <f ca="1">_xlfn.XLOOKUP(E97,SalesPerson!A:A,SalesPerson!C:C)</f>
        <v>Bali</v>
      </c>
      <c r="J97" s="2">
        <f t="shared" ca="1" si="12"/>
        <v>7</v>
      </c>
      <c r="K97" s="2">
        <f ca="1">_xlfn.XLOOKUP(D97,Products!A:A,Products!D:D)</f>
        <v>150000</v>
      </c>
      <c r="L97" s="2">
        <f ca="1">_xlfn.XLOOKUP(D97,Products!A:A,Products!E:E)</f>
        <v>90000</v>
      </c>
      <c r="M97" s="2">
        <f t="shared" ca="1" si="14"/>
        <v>1050000</v>
      </c>
      <c r="N97" s="2">
        <f t="shared" ca="1" si="15"/>
        <v>630000</v>
      </c>
      <c r="O97" s="4">
        <f t="shared" ca="1" si="16"/>
        <v>420000</v>
      </c>
      <c r="P97" s="2" t="str">
        <f ca="1">_xlfn.XLOOKUP(D97,Products!A:A,Products!C:C)</f>
        <v>Accessories</v>
      </c>
    </row>
    <row r="98" spans="1:16" x14ac:dyDescent="0.3">
      <c r="A98" t="str">
        <f t="shared" ca="1" si="13"/>
        <v>0035</v>
      </c>
      <c r="B98" s="3">
        <f t="shared" ca="1" si="11"/>
        <v>45717</v>
      </c>
      <c r="C98" s="2" t="str" cm="1">
        <f t="array" aca="1" ref="C98" ca="1">INDEX(Customers!A:A,RANDBETWEEN(2,20))</f>
        <v>C014</v>
      </c>
      <c r="D98" s="2" t="str" cm="1">
        <f t="array" aca="1" ref="D98" ca="1">INDEX(Products!A:A,RANDBETWEEN(2,101))</f>
        <v>P009</v>
      </c>
      <c r="E98" s="2" t="str" cm="1">
        <f t="array" aca="1" ref="E98" ca="1">INDEX(SalesPerson!A:A,RANDBETWEEN(2,21))</f>
        <v>S013</v>
      </c>
      <c r="F98" s="2" t="str">
        <f ca="1">_xlfn.XLOOKUP(C98,Customers!A:A,Customers!B:B)</f>
        <v>CV Nusantara Jaya</v>
      </c>
      <c r="G98" s="2" t="str">
        <f ca="1">_xlfn.XLOOKUP(D98,Products!A:A,Products!B:B)</f>
        <v>SSD 512GB Samsung</v>
      </c>
      <c r="H98" s="2" t="str">
        <f ca="1">_xlfn.XLOOKUP(E98,SalesPerson!A:A,SalesPerson!B:B)</f>
        <v>Muhammad Rizki</v>
      </c>
      <c r="I98" s="2" t="str">
        <f ca="1">_xlfn.XLOOKUP(E98,SalesPerson!A:A,SalesPerson!C:C)</f>
        <v>Bogor</v>
      </c>
      <c r="J98" s="2">
        <f t="shared" ca="1" si="12"/>
        <v>1</v>
      </c>
      <c r="K98" s="2">
        <f ca="1">_xlfn.XLOOKUP(D98,Products!A:A,Products!D:D)</f>
        <v>850000</v>
      </c>
      <c r="L98" s="2">
        <f ca="1">_xlfn.XLOOKUP(D98,Products!A:A,Products!E:E)</f>
        <v>670000</v>
      </c>
      <c r="M98" s="2">
        <f t="shared" ca="1" si="14"/>
        <v>850000</v>
      </c>
      <c r="N98" s="2">
        <f t="shared" ca="1" si="15"/>
        <v>670000</v>
      </c>
      <c r="O98" s="4">
        <f t="shared" ca="1" si="16"/>
        <v>180000</v>
      </c>
      <c r="P98" s="2" t="str">
        <f ca="1">_xlfn.XLOOKUP(D98,Products!A:A,Products!C:C)</f>
        <v>Storage</v>
      </c>
    </row>
    <row r="99" spans="1:16" ht="28.8" x14ac:dyDescent="0.3">
      <c r="A99" t="str">
        <f t="shared" ca="1" si="13"/>
        <v>0019</v>
      </c>
      <c r="B99" s="3">
        <f t="shared" ca="1" si="11"/>
        <v>45693</v>
      </c>
      <c r="C99" s="2" t="str" cm="1">
        <f t="array" aca="1" ref="C99" ca="1">INDEX(Customers!A:A,RANDBETWEEN(2,20))</f>
        <v>C015</v>
      </c>
      <c r="D99" s="2" t="str" cm="1">
        <f t="array" aca="1" ref="D99" ca="1">INDEX(Products!A:A,RANDBETWEEN(2,101))</f>
        <v>P050</v>
      </c>
      <c r="E99" s="2" t="str" cm="1">
        <f t="array" aca="1" ref="E99" ca="1">INDEX(SalesPerson!A:A,RANDBETWEEN(2,21))</f>
        <v>S007</v>
      </c>
      <c r="F99" s="2" t="str">
        <f ca="1">_xlfn.XLOOKUP(C99,Customers!A:A,Customers!B:B)</f>
        <v>PT Sentosa Abadi</v>
      </c>
      <c r="G99" s="2" t="str">
        <f ca="1">_xlfn.XLOOKUP(D99,Products!A:A,Products!B:B)</f>
        <v>Flashdisk 64GB</v>
      </c>
      <c r="H99" s="2" t="str">
        <f ca="1">_xlfn.XLOOKUP(E99,SalesPerson!A:A,SalesPerson!B:B)</f>
        <v>Gita Maharani</v>
      </c>
      <c r="I99" s="2" t="str">
        <f ca="1">_xlfn.XLOOKUP(E99,SalesPerson!A:A,SalesPerson!C:C)</f>
        <v>Yogyakarta</v>
      </c>
      <c r="J99" s="2">
        <f t="shared" ca="1" si="12"/>
        <v>2</v>
      </c>
      <c r="K99" s="2">
        <f ca="1">_xlfn.XLOOKUP(D99,Products!A:A,Products!D:D)</f>
        <v>120000</v>
      </c>
      <c r="L99" s="2">
        <f ca="1">_xlfn.XLOOKUP(D99,Products!A:A,Products!E:E)</f>
        <v>80000</v>
      </c>
      <c r="M99" s="2">
        <f t="shared" ca="1" si="14"/>
        <v>240000</v>
      </c>
      <c r="N99" s="2">
        <f t="shared" ca="1" si="15"/>
        <v>160000</v>
      </c>
      <c r="O99" s="4">
        <f ca="1">M99-N99</f>
        <v>80000</v>
      </c>
      <c r="P99" s="2" t="str">
        <f ca="1">_xlfn.XLOOKUP(D99,Products!A:A,Products!C:C)</f>
        <v>Storage</v>
      </c>
    </row>
    <row r="100" spans="1:16" x14ac:dyDescent="0.3">
      <c r="A100" t="str">
        <f t="shared" ca="1" si="13"/>
        <v>0023</v>
      </c>
      <c r="B100" s="3">
        <f t="shared" ca="1" si="11"/>
        <v>45659</v>
      </c>
      <c r="C100" s="2" t="str" cm="1">
        <f t="array" aca="1" ref="C100" ca="1">INDEX(Customers!A:A,RANDBETWEEN(2,20))</f>
        <v>C015</v>
      </c>
      <c r="D100" s="2" t="str" cm="1">
        <f t="array" aca="1" ref="D100" ca="1">INDEX(Products!A:A,RANDBETWEEN(2,101))</f>
        <v>P054</v>
      </c>
      <c r="E100" s="2" t="str" cm="1">
        <f t="array" aca="1" ref="E100" ca="1">INDEX(SalesPerson!A:A,RANDBETWEEN(2,21))</f>
        <v>S018</v>
      </c>
      <c r="F100" s="2" t="str">
        <f ca="1">_xlfn.XLOOKUP(C100,Customers!A:A,Customers!B:B)</f>
        <v>PT Sentosa Abadi</v>
      </c>
      <c r="G100" s="2" t="str">
        <f ca="1">_xlfn.XLOOKUP(D100,Products!A:A,Products!B:B)</f>
        <v>Speaker Logitech</v>
      </c>
      <c r="H100" s="2" t="str">
        <f ca="1">_xlfn.XLOOKUP(E100,SalesPerson!A:A,SalesPerson!B:B)</f>
        <v>Rian Kurniawan</v>
      </c>
      <c r="I100" s="2" t="str">
        <f ca="1">_xlfn.XLOOKUP(E100,SalesPerson!A:A,SalesPerson!C:C)</f>
        <v>Banjarmasin</v>
      </c>
      <c r="J100" s="2">
        <f t="shared" ca="1" si="12"/>
        <v>6</v>
      </c>
      <c r="K100" s="2">
        <f ca="1">_xlfn.XLOOKUP(D100,Products!A:A,Products!D:D)</f>
        <v>780000</v>
      </c>
      <c r="L100" s="2">
        <f ca="1">_xlfn.XLOOKUP(D100,Products!A:A,Products!E:E)</f>
        <v>590000</v>
      </c>
      <c r="M100" s="2">
        <f t="shared" ca="1" si="14"/>
        <v>4680000</v>
      </c>
      <c r="N100" s="2">
        <f t="shared" ca="1" si="15"/>
        <v>3540000</v>
      </c>
      <c r="O100" s="4">
        <f ca="1">M100-N100</f>
        <v>1140000</v>
      </c>
      <c r="P100" s="2" t="str">
        <f ca="1">_xlfn.XLOOKUP(D100,Products!A:A,Products!C:C)</f>
        <v>Audio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F4574-42C2-429B-BCF7-E2DAA91E14EC}">
  <dimension ref="A1:E101"/>
  <sheetViews>
    <sheetView workbookViewId="0">
      <selection activeCell="J8" sqref="J8"/>
    </sheetView>
  </sheetViews>
  <sheetFormatPr defaultRowHeight="14.4" x14ac:dyDescent="0.3"/>
  <cols>
    <col min="1" max="1" width="11.77734375" customWidth="1"/>
    <col min="2" max="2" width="15" customWidth="1"/>
    <col min="3" max="3" width="10.4414062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6" t="s">
        <v>3</v>
      </c>
      <c r="E1" s="16" t="s">
        <v>4</v>
      </c>
    </row>
    <row r="2" spans="1:5" ht="28.8" x14ac:dyDescent="0.3">
      <c r="A2" s="2" t="s">
        <v>5</v>
      </c>
      <c r="B2" s="2" t="s">
        <v>46</v>
      </c>
      <c r="C2" s="2" t="s">
        <v>6</v>
      </c>
      <c r="D2" s="17">
        <v>8500000</v>
      </c>
      <c r="E2" s="17">
        <v>7200000</v>
      </c>
    </row>
    <row r="3" spans="1:5" ht="28.8" x14ac:dyDescent="0.3">
      <c r="A3" s="2" t="s">
        <v>7</v>
      </c>
      <c r="B3" s="2" t="s">
        <v>47</v>
      </c>
      <c r="C3" s="2" t="s">
        <v>6</v>
      </c>
      <c r="D3" s="17">
        <v>9200000</v>
      </c>
      <c r="E3" s="17">
        <v>7900000</v>
      </c>
    </row>
    <row r="4" spans="1:5" x14ac:dyDescent="0.3">
      <c r="A4" s="2" t="s">
        <v>9</v>
      </c>
      <c r="B4" s="2" t="s">
        <v>48</v>
      </c>
      <c r="C4" s="2" t="s">
        <v>6</v>
      </c>
      <c r="D4" s="17">
        <v>7800000</v>
      </c>
      <c r="E4" s="17">
        <v>6500000</v>
      </c>
    </row>
    <row r="5" spans="1:5" x14ac:dyDescent="0.3">
      <c r="A5" s="2" t="s">
        <v>11</v>
      </c>
      <c r="B5" s="2" t="s">
        <v>49</v>
      </c>
      <c r="C5" s="2" t="s">
        <v>12</v>
      </c>
      <c r="D5" s="17">
        <v>2100000</v>
      </c>
      <c r="E5" s="17">
        <v>1700000</v>
      </c>
    </row>
    <row r="6" spans="1:5" ht="28.8" x14ac:dyDescent="0.3">
      <c r="A6" s="2" t="s">
        <v>13</v>
      </c>
      <c r="B6" s="2" t="s">
        <v>50</v>
      </c>
      <c r="C6" s="2" t="s">
        <v>12</v>
      </c>
      <c r="D6" s="17">
        <v>3200000</v>
      </c>
      <c r="E6" s="17">
        <v>2600000</v>
      </c>
    </row>
    <row r="7" spans="1:5" ht="28.8" x14ac:dyDescent="0.3">
      <c r="A7" s="2" t="s">
        <v>51</v>
      </c>
      <c r="B7" s="2" t="s">
        <v>10</v>
      </c>
      <c r="C7" s="2" t="s">
        <v>8</v>
      </c>
      <c r="D7" s="17">
        <v>750000</v>
      </c>
      <c r="E7" s="17">
        <v>520000</v>
      </c>
    </row>
    <row r="8" spans="1:5" ht="28.8" x14ac:dyDescent="0.3">
      <c r="A8" s="2" t="s">
        <v>52</v>
      </c>
      <c r="B8" s="2" t="s">
        <v>53</v>
      </c>
      <c r="C8" s="2" t="s">
        <v>8</v>
      </c>
      <c r="D8" s="17">
        <v>250000</v>
      </c>
      <c r="E8" s="17">
        <v>150000</v>
      </c>
    </row>
    <row r="9" spans="1:5" x14ac:dyDescent="0.3">
      <c r="A9" s="2" t="s">
        <v>54</v>
      </c>
      <c r="B9" s="2" t="s">
        <v>55</v>
      </c>
      <c r="C9" s="2" t="s">
        <v>14</v>
      </c>
      <c r="D9" s="17">
        <v>1250000</v>
      </c>
      <c r="E9" s="17">
        <v>980000</v>
      </c>
    </row>
    <row r="10" spans="1:5" ht="28.8" x14ac:dyDescent="0.3">
      <c r="A10" s="2" t="s">
        <v>56</v>
      </c>
      <c r="B10" s="2" t="s">
        <v>57</v>
      </c>
      <c r="C10" s="2" t="s">
        <v>14</v>
      </c>
      <c r="D10" s="17">
        <v>850000</v>
      </c>
      <c r="E10" s="17">
        <v>670000</v>
      </c>
    </row>
    <row r="11" spans="1:5" x14ac:dyDescent="0.3">
      <c r="A11" s="2" t="s">
        <v>58</v>
      </c>
      <c r="B11" s="2" t="s">
        <v>59</v>
      </c>
      <c r="C11" s="2" t="s">
        <v>14</v>
      </c>
      <c r="D11" s="17">
        <v>120000</v>
      </c>
      <c r="E11" s="17">
        <v>80000</v>
      </c>
    </row>
    <row r="12" spans="1:5" ht="28.8" x14ac:dyDescent="0.3">
      <c r="A12" s="2" t="s">
        <v>60</v>
      </c>
      <c r="B12" s="2" t="s">
        <v>61</v>
      </c>
      <c r="C12" s="2" t="s">
        <v>62</v>
      </c>
      <c r="D12" s="17">
        <v>2900000</v>
      </c>
      <c r="E12" s="17">
        <v>2400000</v>
      </c>
    </row>
    <row r="13" spans="1:5" ht="28.8" x14ac:dyDescent="0.3">
      <c r="A13" s="2" t="s">
        <v>63</v>
      </c>
      <c r="B13" s="2" t="s">
        <v>64</v>
      </c>
      <c r="C13" s="2" t="s">
        <v>8</v>
      </c>
      <c r="D13" s="17">
        <v>680000</v>
      </c>
      <c r="E13" s="17">
        <v>520000</v>
      </c>
    </row>
    <row r="14" spans="1:5" x14ac:dyDescent="0.3">
      <c r="A14" s="2" t="s">
        <v>65</v>
      </c>
      <c r="B14" s="2" t="s">
        <v>66</v>
      </c>
      <c r="C14" s="2" t="s">
        <v>8</v>
      </c>
      <c r="D14" s="17">
        <v>890000</v>
      </c>
      <c r="E14" s="17">
        <v>690000</v>
      </c>
    </row>
    <row r="15" spans="1:5" x14ac:dyDescent="0.3">
      <c r="A15" s="2" t="s">
        <v>67</v>
      </c>
      <c r="B15" s="2" t="s">
        <v>68</v>
      </c>
      <c r="C15" s="2" t="s">
        <v>69</v>
      </c>
      <c r="D15" s="17">
        <v>780000</v>
      </c>
      <c r="E15" s="17">
        <v>590000</v>
      </c>
    </row>
    <row r="16" spans="1:5" x14ac:dyDescent="0.3">
      <c r="A16" s="2" t="s">
        <v>70</v>
      </c>
      <c r="B16" s="2" t="s">
        <v>71</v>
      </c>
      <c r="C16" s="2" t="s">
        <v>72</v>
      </c>
      <c r="D16" s="17">
        <v>950000</v>
      </c>
      <c r="E16" s="17">
        <v>760000</v>
      </c>
    </row>
    <row r="17" spans="1:5" x14ac:dyDescent="0.3">
      <c r="A17" s="2" t="s">
        <v>73</v>
      </c>
      <c r="B17" s="2" t="s">
        <v>74</v>
      </c>
      <c r="C17" s="2" t="s">
        <v>75</v>
      </c>
      <c r="D17" s="17">
        <v>670000</v>
      </c>
      <c r="E17" s="17">
        <v>510000</v>
      </c>
    </row>
    <row r="18" spans="1:5" ht="28.8" x14ac:dyDescent="0.3">
      <c r="A18" s="2" t="s">
        <v>76</v>
      </c>
      <c r="B18" s="2" t="s">
        <v>77</v>
      </c>
      <c r="C18" s="2" t="s">
        <v>14</v>
      </c>
      <c r="D18" s="17">
        <v>1650000</v>
      </c>
      <c r="E18" s="17">
        <v>1350000</v>
      </c>
    </row>
    <row r="19" spans="1:5" ht="28.8" x14ac:dyDescent="0.3">
      <c r="A19" s="2" t="s">
        <v>78</v>
      </c>
      <c r="B19" s="2" t="s">
        <v>79</v>
      </c>
      <c r="C19" s="2" t="s">
        <v>80</v>
      </c>
      <c r="D19" s="17">
        <v>980000</v>
      </c>
      <c r="E19" s="17">
        <v>780000</v>
      </c>
    </row>
    <row r="20" spans="1:5" x14ac:dyDescent="0.3">
      <c r="A20" s="2" t="s">
        <v>81</v>
      </c>
      <c r="B20" s="2" t="s">
        <v>82</v>
      </c>
      <c r="C20" s="2" t="s">
        <v>8</v>
      </c>
      <c r="D20" s="17">
        <v>90000</v>
      </c>
      <c r="E20" s="17">
        <v>50000</v>
      </c>
    </row>
    <row r="21" spans="1:5" x14ac:dyDescent="0.3">
      <c r="A21" s="2" t="s">
        <v>83</v>
      </c>
      <c r="B21" s="2" t="s">
        <v>84</v>
      </c>
      <c r="C21" s="2" t="s">
        <v>8</v>
      </c>
      <c r="D21" s="17">
        <v>150000</v>
      </c>
      <c r="E21" s="17">
        <v>90000</v>
      </c>
    </row>
    <row r="22" spans="1:5" ht="28.8" x14ac:dyDescent="0.3">
      <c r="A22" s="2" t="s">
        <v>85</v>
      </c>
      <c r="B22" s="2" t="s">
        <v>46</v>
      </c>
      <c r="C22" s="2" t="s">
        <v>6</v>
      </c>
      <c r="D22" s="17">
        <v>8500000</v>
      </c>
      <c r="E22" s="17">
        <v>7200000</v>
      </c>
    </row>
    <row r="23" spans="1:5" ht="28.8" x14ac:dyDescent="0.3">
      <c r="A23" s="2" t="s">
        <v>86</v>
      </c>
      <c r="B23" s="2" t="s">
        <v>47</v>
      </c>
      <c r="C23" s="2" t="s">
        <v>6</v>
      </c>
      <c r="D23" s="17">
        <v>9200000</v>
      </c>
      <c r="E23" s="17">
        <v>7900000</v>
      </c>
    </row>
    <row r="24" spans="1:5" x14ac:dyDescent="0.3">
      <c r="A24" s="2" t="s">
        <v>87</v>
      </c>
      <c r="B24" s="2" t="s">
        <v>165</v>
      </c>
      <c r="C24" s="2" t="s">
        <v>6</v>
      </c>
      <c r="D24" s="17">
        <v>7800000</v>
      </c>
      <c r="E24" s="17">
        <v>6500000</v>
      </c>
    </row>
    <row r="25" spans="1:5" x14ac:dyDescent="0.3">
      <c r="A25" s="2" t="s">
        <v>88</v>
      </c>
      <c r="B25" s="2" t="s">
        <v>49</v>
      </c>
      <c r="C25" s="2" t="s">
        <v>12</v>
      </c>
      <c r="D25" s="17">
        <v>2100000</v>
      </c>
      <c r="E25" s="17">
        <v>1700000</v>
      </c>
    </row>
    <row r="26" spans="1:5" ht="28.8" x14ac:dyDescent="0.3">
      <c r="A26" s="2" t="s">
        <v>89</v>
      </c>
      <c r="B26" s="2" t="s">
        <v>50</v>
      </c>
      <c r="C26" s="2" t="s">
        <v>12</v>
      </c>
      <c r="D26" s="17">
        <v>3200000</v>
      </c>
      <c r="E26" s="17">
        <v>2600000</v>
      </c>
    </row>
    <row r="27" spans="1:5" ht="28.8" x14ac:dyDescent="0.3">
      <c r="A27" s="2" t="s">
        <v>90</v>
      </c>
      <c r="B27" s="2" t="s">
        <v>10</v>
      </c>
      <c r="C27" s="2" t="s">
        <v>8</v>
      </c>
      <c r="D27" s="17">
        <v>750000</v>
      </c>
      <c r="E27" s="17">
        <v>520000</v>
      </c>
    </row>
    <row r="28" spans="1:5" ht="28.8" x14ac:dyDescent="0.3">
      <c r="A28" s="2" t="s">
        <v>91</v>
      </c>
      <c r="B28" s="2" t="s">
        <v>53</v>
      </c>
      <c r="C28" s="2" t="s">
        <v>8</v>
      </c>
      <c r="D28" s="17">
        <v>250000</v>
      </c>
      <c r="E28" s="17">
        <v>150000</v>
      </c>
    </row>
    <row r="29" spans="1:5" x14ac:dyDescent="0.3">
      <c r="A29" s="2" t="s">
        <v>92</v>
      </c>
      <c r="B29" s="2" t="s">
        <v>55</v>
      </c>
      <c r="C29" s="2" t="s">
        <v>14</v>
      </c>
      <c r="D29" s="17">
        <v>1250000</v>
      </c>
      <c r="E29" s="17">
        <v>980000</v>
      </c>
    </row>
    <row r="30" spans="1:5" ht="28.8" x14ac:dyDescent="0.3">
      <c r="A30" s="2" t="s">
        <v>93</v>
      </c>
      <c r="B30" s="2" t="s">
        <v>57</v>
      </c>
      <c r="C30" s="2" t="s">
        <v>14</v>
      </c>
      <c r="D30" s="17">
        <v>850000</v>
      </c>
      <c r="E30" s="17">
        <v>670000</v>
      </c>
    </row>
    <row r="31" spans="1:5" x14ac:dyDescent="0.3">
      <c r="A31" s="2" t="s">
        <v>94</v>
      </c>
      <c r="B31" s="2" t="s">
        <v>59</v>
      </c>
      <c r="C31" s="2" t="s">
        <v>14</v>
      </c>
      <c r="D31" s="17">
        <v>120000</v>
      </c>
      <c r="E31" s="17">
        <v>80000</v>
      </c>
    </row>
    <row r="32" spans="1:5" ht="28.8" x14ac:dyDescent="0.3">
      <c r="A32" s="2" t="s">
        <v>95</v>
      </c>
      <c r="B32" s="2" t="s">
        <v>166</v>
      </c>
      <c r="C32" s="2" t="s">
        <v>62</v>
      </c>
      <c r="D32" s="17">
        <v>2900000</v>
      </c>
      <c r="E32" s="17">
        <v>2400000</v>
      </c>
    </row>
    <row r="33" spans="1:5" ht="28.8" x14ac:dyDescent="0.3">
      <c r="A33" s="2" t="s">
        <v>96</v>
      </c>
      <c r="B33" s="2" t="s">
        <v>64</v>
      </c>
      <c r="C33" s="2" t="s">
        <v>8</v>
      </c>
      <c r="D33" s="17">
        <v>680000</v>
      </c>
      <c r="E33" s="17">
        <v>520000</v>
      </c>
    </row>
    <row r="34" spans="1:5" x14ac:dyDescent="0.3">
      <c r="A34" s="2" t="s">
        <v>97</v>
      </c>
      <c r="B34" s="2" t="s">
        <v>66</v>
      </c>
      <c r="C34" s="2" t="s">
        <v>8</v>
      </c>
      <c r="D34" s="17">
        <v>890000</v>
      </c>
      <c r="E34" s="17">
        <v>690000</v>
      </c>
    </row>
    <row r="35" spans="1:5" x14ac:dyDescent="0.3">
      <c r="A35" s="2" t="s">
        <v>98</v>
      </c>
      <c r="B35" s="2" t="s">
        <v>68</v>
      </c>
      <c r="C35" s="2" t="s">
        <v>69</v>
      </c>
      <c r="D35" s="17">
        <v>780000</v>
      </c>
      <c r="E35" s="17">
        <v>590000</v>
      </c>
    </row>
    <row r="36" spans="1:5" x14ac:dyDescent="0.3">
      <c r="A36" s="2" t="s">
        <v>99</v>
      </c>
      <c r="B36" s="2" t="s">
        <v>71</v>
      </c>
      <c r="C36" s="2" t="s">
        <v>72</v>
      </c>
      <c r="D36" s="17">
        <v>950000</v>
      </c>
      <c r="E36" s="17">
        <v>760000</v>
      </c>
    </row>
    <row r="37" spans="1:5" x14ac:dyDescent="0.3">
      <c r="A37" s="2" t="s">
        <v>100</v>
      </c>
      <c r="B37" s="2" t="s">
        <v>74</v>
      </c>
      <c r="C37" s="2" t="s">
        <v>75</v>
      </c>
      <c r="D37" s="17">
        <v>670000</v>
      </c>
      <c r="E37" s="17">
        <v>510000</v>
      </c>
    </row>
    <row r="38" spans="1:5" ht="28.8" x14ac:dyDescent="0.3">
      <c r="A38" s="2" t="s">
        <v>101</v>
      </c>
      <c r="B38" s="2" t="s">
        <v>77</v>
      </c>
      <c r="C38" s="2" t="s">
        <v>14</v>
      </c>
      <c r="D38" s="17">
        <v>1650000</v>
      </c>
      <c r="E38" s="17">
        <v>1350000</v>
      </c>
    </row>
    <row r="39" spans="1:5" ht="28.8" x14ac:dyDescent="0.3">
      <c r="A39" s="2" t="s">
        <v>102</v>
      </c>
      <c r="B39" s="2" t="s">
        <v>79</v>
      </c>
      <c r="C39" s="2" t="s">
        <v>80</v>
      </c>
      <c r="D39" s="17">
        <v>980000</v>
      </c>
      <c r="E39" s="17">
        <v>780000</v>
      </c>
    </row>
    <row r="40" spans="1:5" x14ac:dyDescent="0.3">
      <c r="A40" s="2" t="s">
        <v>103</v>
      </c>
      <c r="B40" s="2" t="s">
        <v>82</v>
      </c>
      <c r="C40" s="2" t="s">
        <v>8</v>
      </c>
      <c r="D40" s="17">
        <v>90000</v>
      </c>
      <c r="E40" s="17">
        <v>50000</v>
      </c>
    </row>
    <row r="41" spans="1:5" x14ac:dyDescent="0.3">
      <c r="A41" s="2" t="s">
        <v>104</v>
      </c>
      <c r="B41" s="2" t="s">
        <v>84</v>
      </c>
      <c r="C41" s="2" t="s">
        <v>8</v>
      </c>
      <c r="D41" s="17">
        <v>150000</v>
      </c>
      <c r="E41" s="17">
        <v>90000</v>
      </c>
    </row>
    <row r="42" spans="1:5" ht="28.8" x14ac:dyDescent="0.3">
      <c r="A42" s="2" t="s">
        <v>105</v>
      </c>
      <c r="B42" s="2" t="s">
        <v>46</v>
      </c>
      <c r="C42" s="2" t="s">
        <v>6</v>
      </c>
      <c r="D42" s="17">
        <v>8500000</v>
      </c>
      <c r="E42" s="17">
        <v>7200000</v>
      </c>
    </row>
    <row r="43" spans="1:5" ht="28.8" x14ac:dyDescent="0.3">
      <c r="A43" s="2" t="s">
        <v>106</v>
      </c>
      <c r="B43" s="2" t="s">
        <v>47</v>
      </c>
      <c r="C43" s="2" t="s">
        <v>6</v>
      </c>
      <c r="D43" s="17">
        <v>9200000</v>
      </c>
      <c r="E43" s="17">
        <v>7900000</v>
      </c>
    </row>
    <row r="44" spans="1:5" x14ac:dyDescent="0.3">
      <c r="A44" s="2" t="s">
        <v>107</v>
      </c>
      <c r="B44" s="2" t="s">
        <v>167</v>
      </c>
      <c r="C44" s="2" t="s">
        <v>6</v>
      </c>
      <c r="D44" s="17">
        <v>7800000</v>
      </c>
      <c r="E44" s="17">
        <v>6500000</v>
      </c>
    </row>
    <row r="45" spans="1:5" x14ac:dyDescent="0.3">
      <c r="A45" s="2" t="s">
        <v>108</v>
      </c>
      <c r="B45" s="2" t="s">
        <v>49</v>
      </c>
      <c r="C45" s="2" t="s">
        <v>12</v>
      </c>
      <c r="D45" s="17">
        <v>2100000</v>
      </c>
      <c r="E45" s="17">
        <v>1700000</v>
      </c>
    </row>
    <row r="46" spans="1:5" ht="28.8" x14ac:dyDescent="0.3">
      <c r="A46" s="2" t="s">
        <v>109</v>
      </c>
      <c r="B46" s="2" t="s">
        <v>50</v>
      </c>
      <c r="C46" s="2" t="s">
        <v>12</v>
      </c>
      <c r="D46" s="17">
        <v>3200000</v>
      </c>
      <c r="E46" s="17">
        <v>2600000</v>
      </c>
    </row>
    <row r="47" spans="1:5" ht="28.8" x14ac:dyDescent="0.3">
      <c r="A47" s="2" t="s">
        <v>110</v>
      </c>
      <c r="B47" s="2" t="s">
        <v>10</v>
      </c>
      <c r="C47" s="2" t="s">
        <v>8</v>
      </c>
      <c r="D47" s="17">
        <v>750000</v>
      </c>
      <c r="E47" s="17">
        <v>520000</v>
      </c>
    </row>
    <row r="48" spans="1:5" ht="28.8" x14ac:dyDescent="0.3">
      <c r="A48" s="2" t="s">
        <v>111</v>
      </c>
      <c r="B48" s="2" t="s">
        <v>53</v>
      </c>
      <c r="C48" s="2" t="s">
        <v>8</v>
      </c>
      <c r="D48" s="17">
        <v>250000</v>
      </c>
      <c r="E48" s="17">
        <v>150000</v>
      </c>
    </row>
    <row r="49" spans="1:5" x14ac:dyDescent="0.3">
      <c r="A49" s="2" t="s">
        <v>112</v>
      </c>
      <c r="B49" s="2" t="s">
        <v>55</v>
      </c>
      <c r="C49" s="2" t="s">
        <v>14</v>
      </c>
      <c r="D49" s="17">
        <v>1250000</v>
      </c>
      <c r="E49" s="17">
        <v>980000</v>
      </c>
    </row>
    <row r="50" spans="1:5" ht="28.8" x14ac:dyDescent="0.3">
      <c r="A50" s="2" t="s">
        <v>113</v>
      </c>
      <c r="B50" s="2" t="s">
        <v>57</v>
      </c>
      <c r="C50" s="2" t="s">
        <v>14</v>
      </c>
      <c r="D50" s="17">
        <v>850000</v>
      </c>
      <c r="E50" s="17">
        <v>670000</v>
      </c>
    </row>
    <row r="51" spans="1:5" x14ac:dyDescent="0.3">
      <c r="A51" s="2" t="s">
        <v>114</v>
      </c>
      <c r="B51" s="2" t="s">
        <v>59</v>
      </c>
      <c r="C51" s="2" t="s">
        <v>14</v>
      </c>
      <c r="D51" s="17">
        <v>120000</v>
      </c>
      <c r="E51" s="17">
        <v>80000</v>
      </c>
    </row>
    <row r="52" spans="1:5" ht="28.8" x14ac:dyDescent="0.3">
      <c r="A52" s="2" t="s">
        <v>115</v>
      </c>
      <c r="B52" s="2" t="s">
        <v>168</v>
      </c>
      <c r="C52" s="2" t="s">
        <v>62</v>
      </c>
      <c r="D52" s="17">
        <v>2900000</v>
      </c>
      <c r="E52" s="17">
        <v>2400000</v>
      </c>
    </row>
    <row r="53" spans="1:5" ht="28.8" x14ac:dyDescent="0.3">
      <c r="A53" s="2" t="s">
        <v>116</v>
      </c>
      <c r="B53" s="2" t="s">
        <v>64</v>
      </c>
      <c r="C53" s="2" t="s">
        <v>8</v>
      </c>
      <c r="D53" s="17">
        <v>680000</v>
      </c>
      <c r="E53" s="17">
        <v>520000</v>
      </c>
    </row>
    <row r="54" spans="1:5" x14ac:dyDescent="0.3">
      <c r="A54" s="2" t="s">
        <v>117</v>
      </c>
      <c r="B54" s="2" t="s">
        <v>66</v>
      </c>
      <c r="C54" s="2" t="s">
        <v>8</v>
      </c>
      <c r="D54" s="17">
        <v>890000</v>
      </c>
      <c r="E54" s="17">
        <v>690000</v>
      </c>
    </row>
    <row r="55" spans="1:5" x14ac:dyDescent="0.3">
      <c r="A55" s="2" t="s">
        <v>118</v>
      </c>
      <c r="B55" s="2" t="s">
        <v>68</v>
      </c>
      <c r="C55" s="2" t="s">
        <v>69</v>
      </c>
      <c r="D55" s="17">
        <v>780000</v>
      </c>
      <c r="E55" s="17">
        <v>590000</v>
      </c>
    </row>
    <row r="56" spans="1:5" x14ac:dyDescent="0.3">
      <c r="A56" s="2" t="s">
        <v>119</v>
      </c>
      <c r="B56" s="2" t="s">
        <v>71</v>
      </c>
      <c r="C56" s="2" t="s">
        <v>72</v>
      </c>
      <c r="D56" s="17">
        <v>950000</v>
      </c>
      <c r="E56" s="17">
        <v>760000</v>
      </c>
    </row>
    <row r="57" spans="1:5" x14ac:dyDescent="0.3">
      <c r="A57" s="2" t="s">
        <v>120</v>
      </c>
      <c r="B57" s="2" t="s">
        <v>74</v>
      </c>
      <c r="C57" s="2" t="s">
        <v>75</v>
      </c>
      <c r="D57" s="17">
        <v>670000</v>
      </c>
      <c r="E57" s="17">
        <v>510000</v>
      </c>
    </row>
    <row r="58" spans="1:5" ht="28.8" x14ac:dyDescent="0.3">
      <c r="A58" s="2" t="s">
        <v>121</v>
      </c>
      <c r="B58" s="2" t="s">
        <v>77</v>
      </c>
      <c r="C58" s="2" t="s">
        <v>14</v>
      </c>
      <c r="D58" s="17">
        <v>1650000</v>
      </c>
      <c r="E58" s="17">
        <v>1350000</v>
      </c>
    </row>
    <row r="59" spans="1:5" ht="28.8" x14ac:dyDescent="0.3">
      <c r="A59" s="2" t="s">
        <v>122</v>
      </c>
      <c r="B59" s="2" t="s">
        <v>79</v>
      </c>
      <c r="C59" s="2" t="s">
        <v>80</v>
      </c>
      <c r="D59" s="17">
        <v>980000</v>
      </c>
      <c r="E59" s="17">
        <v>780000</v>
      </c>
    </row>
    <row r="60" spans="1:5" x14ac:dyDescent="0.3">
      <c r="A60" s="2" t="s">
        <v>123</v>
      </c>
      <c r="B60" s="2" t="s">
        <v>82</v>
      </c>
      <c r="C60" s="2" t="s">
        <v>8</v>
      </c>
      <c r="D60" s="17">
        <v>90000</v>
      </c>
      <c r="E60" s="17">
        <v>50000</v>
      </c>
    </row>
    <row r="61" spans="1:5" x14ac:dyDescent="0.3">
      <c r="A61" s="2" t="s">
        <v>124</v>
      </c>
      <c r="B61" s="2" t="s">
        <v>84</v>
      </c>
      <c r="C61" s="2" t="s">
        <v>8</v>
      </c>
      <c r="D61" s="17">
        <v>150000</v>
      </c>
      <c r="E61" s="17">
        <v>90000</v>
      </c>
    </row>
    <row r="62" spans="1:5" ht="28.8" x14ac:dyDescent="0.3">
      <c r="A62" s="2" t="s">
        <v>125</v>
      </c>
      <c r="B62" s="2" t="s">
        <v>46</v>
      </c>
      <c r="C62" s="2" t="s">
        <v>6</v>
      </c>
      <c r="D62" s="17">
        <v>8500000</v>
      </c>
      <c r="E62" s="17">
        <v>7200000</v>
      </c>
    </row>
    <row r="63" spans="1:5" ht="28.8" x14ac:dyDescent="0.3">
      <c r="A63" s="2" t="s">
        <v>126</v>
      </c>
      <c r="B63" s="2" t="s">
        <v>47</v>
      </c>
      <c r="C63" s="2" t="s">
        <v>6</v>
      </c>
      <c r="D63" s="17">
        <v>9200000</v>
      </c>
      <c r="E63" s="17">
        <v>7900000</v>
      </c>
    </row>
    <row r="64" spans="1:5" x14ac:dyDescent="0.3">
      <c r="A64" s="2" t="s">
        <v>127</v>
      </c>
      <c r="B64" s="2" t="s">
        <v>169</v>
      </c>
      <c r="C64" s="2" t="s">
        <v>6</v>
      </c>
      <c r="D64" s="17">
        <v>7800000</v>
      </c>
      <c r="E64" s="17">
        <v>6500000</v>
      </c>
    </row>
    <row r="65" spans="1:5" x14ac:dyDescent="0.3">
      <c r="A65" s="2" t="s">
        <v>128</v>
      </c>
      <c r="B65" s="2" t="s">
        <v>49</v>
      </c>
      <c r="C65" s="2" t="s">
        <v>12</v>
      </c>
      <c r="D65" s="17">
        <v>2100000</v>
      </c>
      <c r="E65" s="17">
        <v>1700000</v>
      </c>
    </row>
    <row r="66" spans="1:5" ht="28.8" x14ac:dyDescent="0.3">
      <c r="A66" s="2" t="s">
        <v>129</v>
      </c>
      <c r="B66" s="2" t="s">
        <v>50</v>
      </c>
      <c r="C66" s="2" t="s">
        <v>12</v>
      </c>
      <c r="D66" s="17">
        <v>3200000</v>
      </c>
      <c r="E66" s="17">
        <v>2600000</v>
      </c>
    </row>
    <row r="67" spans="1:5" ht="28.8" x14ac:dyDescent="0.3">
      <c r="A67" s="2" t="s">
        <v>130</v>
      </c>
      <c r="B67" s="2" t="s">
        <v>10</v>
      </c>
      <c r="C67" s="2" t="s">
        <v>8</v>
      </c>
      <c r="D67" s="17">
        <v>750000</v>
      </c>
      <c r="E67" s="17">
        <v>520000</v>
      </c>
    </row>
    <row r="68" spans="1:5" ht="28.8" x14ac:dyDescent="0.3">
      <c r="A68" s="2" t="s">
        <v>131</v>
      </c>
      <c r="B68" s="2" t="s">
        <v>53</v>
      </c>
      <c r="C68" s="2" t="s">
        <v>8</v>
      </c>
      <c r="D68" s="17">
        <v>250000</v>
      </c>
      <c r="E68" s="17">
        <v>150000</v>
      </c>
    </row>
    <row r="69" spans="1:5" x14ac:dyDescent="0.3">
      <c r="A69" s="2" t="s">
        <v>132</v>
      </c>
      <c r="B69" s="2" t="s">
        <v>55</v>
      </c>
      <c r="C69" s="2" t="s">
        <v>14</v>
      </c>
      <c r="D69" s="17">
        <v>1250000</v>
      </c>
      <c r="E69" s="17">
        <v>980000</v>
      </c>
    </row>
    <row r="70" spans="1:5" ht="28.8" x14ac:dyDescent="0.3">
      <c r="A70" s="2" t="s">
        <v>133</v>
      </c>
      <c r="B70" s="2" t="s">
        <v>57</v>
      </c>
      <c r="C70" s="2" t="s">
        <v>14</v>
      </c>
      <c r="D70" s="17">
        <v>850000</v>
      </c>
      <c r="E70" s="17">
        <v>670000</v>
      </c>
    </row>
    <row r="71" spans="1:5" x14ac:dyDescent="0.3">
      <c r="A71" s="2" t="s">
        <v>134</v>
      </c>
      <c r="B71" s="2" t="s">
        <v>59</v>
      </c>
      <c r="C71" s="2" t="s">
        <v>14</v>
      </c>
      <c r="D71" s="17">
        <v>120000</v>
      </c>
      <c r="E71" s="17">
        <v>80000</v>
      </c>
    </row>
    <row r="72" spans="1:5" ht="28.8" x14ac:dyDescent="0.3">
      <c r="A72" s="2" t="s">
        <v>135</v>
      </c>
      <c r="B72" s="2" t="s">
        <v>170</v>
      </c>
      <c r="C72" s="2" t="s">
        <v>62</v>
      </c>
      <c r="D72" s="17">
        <v>2900000</v>
      </c>
      <c r="E72" s="17">
        <v>2400000</v>
      </c>
    </row>
    <row r="73" spans="1:5" ht="28.8" x14ac:dyDescent="0.3">
      <c r="A73" s="2" t="s">
        <v>136</v>
      </c>
      <c r="B73" s="2" t="s">
        <v>64</v>
      </c>
      <c r="C73" s="2" t="s">
        <v>8</v>
      </c>
      <c r="D73" s="17">
        <v>680000</v>
      </c>
      <c r="E73" s="17">
        <v>520000</v>
      </c>
    </row>
    <row r="74" spans="1:5" x14ac:dyDescent="0.3">
      <c r="A74" s="2" t="s">
        <v>137</v>
      </c>
      <c r="B74" s="2" t="s">
        <v>66</v>
      </c>
      <c r="C74" s="2" t="s">
        <v>8</v>
      </c>
      <c r="D74" s="17">
        <v>890000</v>
      </c>
      <c r="E74" s="17">
        <v>690000</v>
      </c>
    </row>
    <row r="75" spans="1:5" x14ac:dyDescent="0.3">
      <c r="A75" s="2" t="s">
        <v>138</v>
      </c>
      <c r="B75" s="2" t="s">
        <v>68</v>
      </c>
      <c r="C75" s="2" t="s">
        <v>69</v>
      </c>
      <c r="D75" s="17">
        <v>780000</v>
      </c>
      <c r="E75" s="17">
        <v>590000</v>
      </c>
    </row>
    <row r="76" spans="1:5" x14ac:dyDescent="0.3">
      <c r="A76" s="2" t="s">
        <v>139</v>
      </c>
      <c r="B76" s="2" t="s">
        <v>71</v>
      </c>
      <c r="C76" s="2" t="s">
        <v>72</v>
      </c>
      <c r="D76" s="17">
        <v>950000</v>
      </c>
      <c r="E76" s="17">
        <v>760000</v>
      </c>
    </row>
    <row r="77" spans="1:5" x14ac:dyDescent="0.3">
      <c r="A77" s="2" t="s">
        <v>140</v>
      </c>
      <c r="B77" s="2" t="s">
        <v>74</v>
      </c>
      <c r="C77" s="2" t="s">
        <v>75</v>
      </c>
      <c r="D77" s="17">
        <v>670000</v>
      </c>
      <c r="E77" s="17">
        <v>510000</v>
      </c>
    </row>
    <row r="78" spans="1:5" ht="28.8" x14ac:dyDescent="0.3">
      <c r="A78" s="2" t="s">
        <v>141</v>
      </c>
      <c r="B78" s="2" t="s">
        <v>77</v>
      </c>
      <c r="C78" s="2" t="s">
        <v>14</v>
      </c>
      <c r="D78" s="17">
        <v>1650000</v>
      </c>
      <c r="E78" s="17">
        <v>1350000</v>
      </c>
    </row>
    <row r="79" spans="1:5" ht="28.8" x14ac:dyDescent="0.3">
      <c r="A79" s="2" t="s">
        <v>142</v>
      </c>
      <c r="B79" s="2" t="s">
        <v>79</v>
      </c>
      <c r="C79" s="2" t="s">
        <v>80</v>
      </c>
      <c r="D79" s="17">
        <v>980000</v>
      </c>
      <c r="E79" s="17">
        <v>780000</v>
      </c>
    </row>
    <row r="80" spans="1:5" x14ac:dyDescent="0.3">
      <c r="A80" s="2" t="s">
        <v>143</v>
      </c>
      <c r="B80" s="2" t="s">
        <v>82</v>
      </c>
      <c r="C80" s="2" t="s">
        <v>8</v>
      </c>
      <c r="D80" s="17">
        <v>90000</v>
      </c>
      <c r="E80" s="17">
        <v>50000</v>
      </c>
    </row>
    <row r="81" spans="1:5" x14ac:dyDescent="0.3">
      <c r="A81" s="2" t="s">
        <v>144</v>
      </c>
      <c r="B81" s="2" t="s">
        <v>84</v>
      </c>
      <c r="C81" s="2" t="s">
        <v>8</v>
      </c>
      <c r="D81" s="17">
        <v>150000</v>
      </c>
      <c r="E81" s="17">
        <v>90000</v>
      </c>
    </row>
    <row r="82" spans="1:5" ht="28.8" x14ac:dyDescent="0.3">
      <c r="A82" s="2" t="s">
        <v>145</v>
      </c>
      <c r="B82" s="2" t="s">
        <v>46</v>
      </c>
      <c r="C82" s="2" t="s">
        <v>6</v>
      </c>
      <c r="D82" s="17">
        <v>8500000</v>
      </c>
      <c r="E82" s="17">
        <v>7200000</v>
      </c>
    </row>
    <row r="83" spans="1:5" ht="28.8" x14ac:dyDescent="0.3">
      <c r="A83" s="2" t="s">
        <v>146</v>
      </c>
      <c r="B83" s="2" t="s">
        <v>47</v>
      </c>
      <c r="C83" s="2" t="s">
        <v>6</v>
      </c>
      <c r="D83" s="17">
        <v>9200000</v>
      </c>
      <c r="E83" s="17">
        <v>7900000</v>
      </c>
    </row>
    <row r="84" spans="1:5" x14ac:dyDescent="0.3">
      <c r="A84" s="2" t="s">
        <v>147</v>
      </c>
      <c r="B84" s="2" t="s">
        <v>171</v>
      </c>
      <c r="C84" s="2" t="s">
        <v>6</v>
      </c>
      <c r="D84" s="17">
        <v>7800000</v>
      </c>
      <c r="E84" s="17">
        <v>6500000</v>
      </c>
    </row>
    <row r="85" spans="1:5" x14ac:dyDescent="0.3">
      <c r="A85" s="2" t="s">
        <v>148</v>
      </c>
      <c r="B85" s="2" t="s">
        <v>49</v>
      </c>
      <c r="C85" s="2" t="s">
        <v>12</v>
      </c>
      <c r="D85" s="17">
        <v>2100000</v>
      </c>
      <c r="E85" s="17">
        <v>1700000</v>
      </c>
    </row>
    <row r="86" spans="1:5" ht="28.8" x14ac:dyDescent="0.3">
      <c r="A86" s="2" t="s">
        <v>149</v>
      </c>
      <c r="B86" s="2" t="s">
        <v>50</v>
      </c>
      <c r="C86" s="2" t="s">
        <v>12</v>
      </c>
      <c r="D86" s="17">
        <v>3200000</v>
      </c>
      <c r="E86" s="17">
        <v>2600000</v>
      </c>
    </row>
    <row r="87" spans="1:5" ht="28.8" x14ac:dyDescent="0.3">
      <c r="A87" s="2" t="s">
        <v>150</v>
      </c>
      <c r="B87" s="2" t="s">
        <v>10</v>
      </c>
      <c r="C87" s="2" t="s">
        <v>8</v>
      </c>
      <c r="D87" s="17">
        <v>750000</v>
      </c>
      <c r="E87" s="17">
        <v>520000</v>
      </c>
    </row>
    <row r="88" spans="1:5" ht="28.8" x14ac:dyDescent="0.3">
      <c r="A88" s="2" t="s">
        <v>151</v>
      </c>
      <c r="B88" s="2" t="s">
        <v>53</v>
      </c>
      <c r="C88" s="2" t="s">
        <v>8</v>
      </c>
      <c r="D88" s="17">
        <v>250000</v>
      </c>
      <c r="E88" s="17">
        <v>150000</v>
      </c>
    </row>
    <row r="89" spans="1:5" x14ac:dyDescent="0.3">
      <c r="A89" s="2" t="s">
        <v>152</v>
      </c>
      <c r="B89" s="2" t="s">
        <v>55</v>
      </c>
      <c r="C89" s="2" t="s">
        <v>14</v>
      </c>
      <c r="D89" s="17">
        <v>1250000</v>
      </c>
      <c r="E89" s="17">
        <v>980000</v>
      </c>
    </row>
    <row r="90" spans="1:5" ht="28.8" x14ac:dyDescent="0.3">
      <c r="A90" s="2" t="s">
        <v>153</v>
      </c>
      <c r="B90" s="2" t="s">
        <v>57</v>
      </c>
      <c r="C90" s="2" t="s">
        <v>14</v>
      </c>
      <c r="D90" s="17">
        <v>850000</v>
      </c>
      <c r="E90" s="17">
        <v>670000</v>
      </c>
    </row>
    <row r="91" spans="1:5" x14ac:dyDescent="0.3">
      <c r="A91" s="2" t="s">
        <v>154</v>
      </c>
      <c r="B91" s="2" t="s">
        <v>59</v>
      </c>
      <c r="C91" s="2" t="s">
        <v>14</v>
      </c>
      <c r="D91" s="17">
        <v>120000</v>
      </c>
      <c r="E91" s="17">
        <v>80000</v>
      </c>
    </row>
    <row r="92" spans="1:5" ht="28.8" x14ac:dyDescent="0.3">
      <c r="A92" s="2" t="s">
        <v>155</v>
      </c>
      <c r="B92" s="2" t="s">
        <v>172</v>
      </c>
      <c r="C92" s="2" t="s">
        <v>62</v>
      </c>
      <c r="D92" s="17">
        <v>2900000</v>
      </c>
      <c r="E92" s="17">
        <v>2400000</v>
      </c>
    </row>
    <row r="93" spans="1:5" ht="28.8" x14ac:dyDescent="0.3">
      <c r="A93" s="2" t="s">
        <v>156</v>
      </c>
      <c r="B93" s="2" t="s">
        <v>64</v>
      </c>
      <c r="C93" s="2" t="s">
        <v>8</v>
      </c>
      <c r="D93" s="17">
        <v>680000</v>
      </c>
      <c r="E93" s="17">
        <v>520000</v>
      </c>
    </row>
    <row r="94" spans="1:5" x14ac:dyDescent="0.3">
      <c r="A94" s="2" t="s">
        <v>157</v>
      </c>
      <c r="B94" s="2" t="s">
        <v>66</v>
      </c>
      <c r="C94" s="2" t="s">
        <v>8</v>
      </c>
      <c r="D94" s="17">
        <v>890000</v>
      </c>
      <c r="E94" s="17">
        <v>690000</v>
      </c>
    </row>
    <row r="95" spans="1:5" x14ac:dyDescent="0.3">
      <c r="A95" s="2" t="s">
        <v>158</v>
      </c>
      <c r="B95" s="2" t="s">
        <v>68</v>
      </c>
      <c r="C95" s="2" t="s">
        <v>69</v>
      </c>
      <c r="D95" s="17">
        <v>780000</v>
      </c>
      <c r="E95" s="17">
        <v>590000</v>
      </c>
    </row>
    <row r="96" spans="1:5" x14ac:dyDescent="0.3">
      <c r="A96" s="2" t="s">
        <v>159</v>
      </c>
      <c r="B96" s="2" t="s">
        <v>71</v>
      </c>
      <c r="C96" s="2" t="s">
        <v>72</v>
      </c>
      <c r="D96" s="17">
        <v>950000</v>
      </c>
      <c r="E96" s="17">
        <v>760000</v>
      </c>
    </row>
    <row r="97" spans="1:5" x14ac:dyDescent="0.3">
      <c r="A97" s="2" t="s">
        <v>160</v>
      </c>
      <c r="B97" s="2" t="s">
        <v>74</v>
      </c>
      <c r="C97" s="2" t="s">
        <v>75</v>
      </c>
      <c r="D97" s="17">
        <v>670000</v>
      </c>
      <c r="E97" s="17">
        <v>510000</v>
      </c>
    </row>
    <row r="98" spans="1:5" ht="28.8" x14ac:dyDescent="0.3">
      <c r="A98" s="2" t="s">
        <v>161</v>
      </c>
      <c r="B98" s="2" t="s">
        <v>77</v>
      </c>
      <c r="C98" s="2" t="s">
        <v>14</v>
      </c>
      <c r="D98" s="17">
        <v>1650000</v>
      </c>
      <c r="E98" s="17">
        <v>1350000</v>
      </c>
    </row>
    <row r="99" spans="1:5" ht="28.8" x14ac:dyDescent="0.3">
      <c r="A99" s="2" t="s">
        <v>162</v>
      </c>
      <c r="B99" s="2" t="s">
        <v>79</v>
      </c>
      <c r="C99" s="2" t="s">
        <v>80</v>
      </c>
      <c r="D99" s="17">
        <v>980000</v>
      </c>
      <c r="E99" s="17">
        <v>780000</v>
      </c>
    </row>
    <row r="100" spans="1:5" x14ac:dyDescent="0.3">
      <c r="A100" s="2" t="s">
        <v>163</v>
      </c>
      <c r="B100" s="2" t="s">
        <v>82</v>
      </c>
      <c r="C100" s="2" t="s">
        <v>8</v>
      </c>
      <c r="D100" s="17">
        <v>90000</v>
      </c>
      <c r="E100" s="17">
        <v>50000</v>
      </c>
    </row>
    <row r="101" spans="1:5" x14ac:dyDescent="0.3">
      <c r="A101" s="2" t="s">
        <v>164</v>
      </c>
      <c r="B101" s="2" t="s">
        <v>84</v>
      </c>
      <c r="C101" s="2" t="s">
        <v>8</v>
      </c>
      <c r="D101" s="17">
        <v>150000</v>
      </c>
      <c r="E101" s="17">
        <v>90000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F1ED8-54CA-47E8-8D2F-DB201F6BF56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E376-B43E-4F67-93A8-D6070E75F112}">
  <dimension ref="A1:C21"/>
  <sheetViews>
    <sheetView workbookViewId="0">
      <selection activeCell="A2" sqref="A2:C21"/>
    </sheetView>
  </sheetViews>
  <sheetFormatPr defaultRowHeight="14.4" x14ac:dyDescent="0.3"/>
  <cols>
    <col min="1" max="1" width="9.33203125" customWidth="1"/>
    <col min="2" max="2" width="12.88671875" customWidth="1"/>
  </cols>
  <sheetData>
    <row r="1" spans="1:3" x14ac:dyDescent="0.3">
      <c r="A1" s="1" t="s">
        <v>15</v>
      </c>
      <c r="B1" s="1" t="s">
        <v>176</v>
      </c>
      <c r="C1" s="1" t="s">
        <v>16</v>
      </c>
    </row>
    <row r="2" spans="1:3" x14ac:dyDescent="0.3">
      <c r="A2" s="2" t="s">
        <v>17</v>
      </c>
      <c r="B2" s="2" t="s">
        <v>177</v>
      </c>
      <c r="C2" s="2" t="s">
        <v>18</v>
      </c>
    </row>
    <row r="3" spans="1:3" x14ac:dyDescent="0.3">
      <c r="A3" s="2" t="s">
        <v>19</v>
      </c>
      <c r="B3" s="2" t="s">
        <v>178</v>
      </c>
      <c r="C3" s="2" t="s">
        <v>20</v>
      </c>
    </row>
    <row r="4" spans="1:3" x14ac:dyDescent="0.3">
      <c r="A4" s="2" t="s">
        <v>21</v>
      </c>
      <c r="B4" s="2" t="s">
        <v>179</v>
      </c>
      <c r="C4" s="2" t="s">
        <v>22</v>
      </c>
    </row>
    <row r="5" spans="1:3" x14ac:dyDescent="0.3">
      <c r="A5" s="2" t="s">
        <v>23</v>
      </c>
      <c r="B5" s="2" t="s">
        <v>180</v>
      </c>
      <c r="C5" s="2" t="s">
        <v>24</v>
      </c>
    </row>
    <row r="6" spans="1:3" x14ac:dyDescent="0.3">
      <c r="A6" s="2" t="s">
        <v>25</v>
      </c>
      <c r="B6" s="2" t="s">
        <v>181</v>
      </c>
      <c r="C6" s="2" t="s">
        <v>26</v>
      </c>
    </row>
    <row r="7" spans="1:3" ht="28.8" x14ac:dyDescent="0.3">
      <c r="A7" s="2" t="s">
        <v>182</v>
      </c>
      <c r="B7" s="2" t="s">
        <v>183</v>
      </c>
      <c r="C7" s="2" t="s">
        <v>184</v>
      </c>
    </row>
    <row r="8" spans="1:3" ht="28.8" x14ac:dyDescent="0.3">
      <c r="A8" s="2" t="s">
        <v>185</v>
      </c>
      <c r="B8" s="2" t="s">
        <v>186</v>
      </c>
      <c r="C8" s="2" t="s">
        <v>187</v>
      </c>
    </row>
    <row r="9" spans="1:3" x14ac:dyDescent="0.3">
      <c r="A9" s="2" t="s">
        <v>188</v>
      </c>
      <c r="B9" s="2" t="s">
        <v>189</v>
      </c>
      <c r="C9" s="2" t="s">
        <v>190</v>
      </c>
    </row>
    <row r="10" spans="1:3" ht="28.8" x14ac:dyDescent="0.3">
      <c r="A10" s="2" t="s">
        <v>191</v>
      </c>
      <c r="B10" s="2" t="s">
        <v>192</v>
      </c>
      <c r="C10" s="2" t="s">
        <v>193</v>
      </c>
    </row>
    <row r="11" spans="1:3" x14ac:dyDescent="0.3">
      <c r="A11" s="2" t="s">
        <v>194</v>
      </c>
      <c r="B11" s="2" t="s">
        <v>195</v>
      </c>
      <c r="C11" s="2" t="s">
        <v>196</v>
      </c>
    </row>
    <row r="12" spans="1:3" ht="28.8" x14ac:dyDescent="0.3">
      <c r="A12" s="2" t="s">
        <v>197</v>
      </c>
      <c r="B12" s="2" t="s">
        <v>198</v>
      </c>
      <c r="C12" s="2" t="s">
        <v>199</v>
      </c>
    </row>
    <row r="13" spans="1:3" ht="28.8" x14ac:dyDescent="0.3">
      <c r="A13" s="2" t="s">
        <v>200</v>
      </c>
      <c r="B13" s="2" t="s">
        <v>201</v>
      </c>
      <c r="C13" s="2" t="s">
        <v>202</v>
      </c>
    </row>
    <row r="14" spans="1:3" ht="28.8" x14ac:dyDescent="0.3">
      <c r="A14" s="2" t="s">
        <v>203</v>
      </c>
      <c r="B14" s="2" t="s">
        <v>204</v>
      </c>
      <c r="C14" s="2" t="s">
        <v>205</v>
      </c>
    </row>
    <row r="15" spans="1:3" ht="28.8" x14ac:dyDescent="0.3">
      <c r="A15" s="2" t="s">
        <v>206</v>
      </c>
      <c r="B15" s="2" t="s">
        <v>207</v>
      </c>
      <c r="C15" s="2" t="s">
        <v>208</v>
      </c>
    </row>
    <row r="16" spans="1:3" x14ac:dyDescent="0.3">
      <c r="A16" s="2" t="s">
        <v>209</v>
      </c>
      <c r="B16" s="2" t="s">
        <v>210</v>
      </c>
      <c r="C16" s="2" t="s">
        <v>211</v>
      </c>
    </row>
    <row r="17" spans="1:3" ht="28.8" x14ac:dyDescent="0.3">
      <c r="A17" s="2" t="s">
        <v>212</v>
      </c>
      <c r="B17" s="2" t="s">
        <v>213</v>
      </c>
      <c r="C17" s="2" t="s">
        <v>214</v>
      </c>
    </row>
    <row r="18" spans="1:3" ht="28.8" x14ac:dyDescent="0.3">
      <c r="A18" s="2" t="s">
        <v>215</v>
      </c>
      <c r="B18" s="2" t="s">
        <v>216</v>
      </c>
      <c r="C18" s="2" t="s">
        <v>217</v>
      </c>
    </row>
    <row r="19" spans="1:3" ht="28.8" x14ac:dyDescent="0.3">
      <c r="A19" s="2" t="s">
        <v>218</v>
      </c>
      <c r="B19" s="2" t="s">
        <v>219</v>
      </c>
      <c r="C19" s="2" t="s">
        <v>220</v>
      </c>
    </row>
    <row r="20" spans="1:3" ht="28.8" x14ac:dyDescent="0.3">
      <c r="A20" s="2" t="s">
        <v>221</v>
      </c>
      <c r="B20" s="2" t="s">
        <v>222</v>
      </c>
      <c r="C20" s="2" t="s">
        <v>223</v>
      </c>
    </row>
    <row r="21" spans="1:3" x14ac:dyDescent="0.3">
      <c r="A21" s="2" t="s">
        <v>224</v>
      </c>
      <c r="B21" s="2" t="s">
        <v>225</v>
      </c>
      <c r="C21" s="2" t="s">
        <v>226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BFF1F-CF14-4D38-A51C-74221C1F74DB}">
  <dimension ref="A1:Q28"/>
  <sheetViews>
    <sheetView tabSelected="1" zoomScale="85" zoomScaleNormal="85" workbookViewId="0">
      <selection activeCell="I19" sqref="I19"/>
    </sheetView>
  </sheetViews>
  <sheetFormatPr defaultRowHeight="14.4" x14ac:dyDescent="0.3"/>
  <cols>
    <col min="1" max="1" width="21.5546875" bestFit="1" customWidth="1"/>
    <col min="2" max="2" width="14.88671875" bestFit="1" customWidth="1"/>
    <col min="4" max="4" width="15.33203125" customWidth="1"/>
    <col min="5" max="5" width="14.88671875" bestFit="1" customWidth="1"/>
    <col min="7" max="7" width="12.5546875" bestFit="1" customWidth="1"/>
    <col min="8" max="8" width="14.88671875" bestFit="1" customWidth="1"/>
    <col min="10" max="10" width="21.5546875" bestFit="1" customWidth="1"/>
    <col min="11" max="11" width="10.44140625" bestFit="1" customWidth="1"/>
    <col min="13" max="13" width="21.5546875" bestFit="1" customWidth="1"/>
    <col min="14" max="14" width="12.5546875" bestFit="1" customWidth="1"/>
    <col min="16" max="16" width="12.5546875" bestFit="1" customWidth="1"/>
    <col min="17" max="17" width="14.88671875" bestFit="1" customWidth="1"/>
  </cols>
  <sheetData>
    <row r="1" spans="1:17" x14ac:dyDescent="0.3">
      <c r="A1" t="s">
        <v>258</v>
      </c>
      <c r="D1" t="s">
        <v>259</v>
      </c>
      <c r="G1" t="s">
        <v>260</v>
      </c>
      <c r="J1" t="s">
        <v>262</v>
      </c>
      <c r="M1" t="s">
        <v>261</v>
      </c>
      <c r="P1" t="s">
        <v>268</v>
      </c>
    </row>
    <row r="2" spans="1:17" x14ac:dyDescent="0.3">
      <c r="A2" s="5" t="s">
        <v>43</v>
      </c>
      <c r="B2" t="s">
        <v>42</v>
      </c>
      <c r="D2" s="5" t="s">
        <v>43</v>
      </c>
      <c r="E2" t="s">
        <v>42</v>
      </c>
      <c r="G2" s="5" t="s">
        <v>43</v>
      </c>
      <c r="H2" t="s">
        <v>42</v>
      </c>
      <c r="J2" s="5" t="s">
        <v>43</v>
      </c>
      <c r="K2" t="s">
        <v>267</v>
      </c>
      <c r="M2" s="5" t="s">
        <v>43</v>
      </c>
      <c r="N2" t="s">
        <v>45</v>
      </c>
      <c r="P2" s="5" t="s">
        <v>43</v>
      </c>
      <c r="Q2" t="s">
        <v>42</v>
      </c>
    </row>
    <row r="3" spans="1:17" x14ac:dyDescent="0.3">
      <c r="A3" s="6" t="s">
        <v>77</v>
      </c>
      <c r="B3" s="19">
        <v>49500000</v>
      </c>
      <c r="D3" s="6" t="s">
        <v>177</v>
      </c>
      <c r="E3" s="19">
        <v>30660000</v>
      </c>
      <c r="G3" s="6" t="s">
        <v>190</v>
      </c>
      <c r="H3" s="19">
        <v>135900000</v>
      </c>
      <c r="J3" s="6" t="s">
        <v>77</v>
      </c>
      <c r="K3" s="19">
        <v>30</v>
      </c>
      <c r="M3" s="6" t="s">
        <v>77</v>
      </c>
      <c r="N3" s="7">
        <v>9000000</v>
      </c>
      <c r="P3" s="6" t="s">
        <v>264</v>
      </c>
      <c r="Q3" s="19">
        <v>895320000</v>
      </c>
    </row>
    <row r="4" spans="1:17" x14ac:dyDescent="0.3">
      <c r="A4" s="6" t="s">
        <v>59</v>
      </c>
      <c r="B4" s="19">
        <v>3720000</v>
      </c>
      <c r="D4" s="6" t="s">
        <v>178</v>
      </c>
      <c r="E4" s="19">
        <v>6030000</v>
      </c>
      <c r="G4" s="6" t="s">
        <v>20</v>
      </c>
      <c r="H4" s="19">
        <v>6030000</v>
      </c>
      <c r="J4" s="6" t="s">
        <v>59</v>
      </c>
      <c r="K4" s="19">
        <v>31</v>
      </c>
      <c r="M4" s="6" t="s">
        <v>59</v>
      </c>
      <c r="N4" s="7">
        <v>1240000</v>
      </c>
      <c r="P4" s="6" t="s">
        <v>265</v>
      </c>
      <c r="Q4" s="19">
        <v>592280000</v>
      </c>
    </row>
    <row r="5" spans="1:17" x14ac:dyDescent="0.3">
      <c r="A5" s="6" t="s">
        <v>82</v>
      </c>
      <c r="B5" s="19">
        <v>1620000</v>
      </c>
      <c r="D5" s="6" t="s">
        <v>179</v>
      </c>
      <c r="E5" s="19">
        <v>95780000</v>
      </c>
      <c r="G5" s="6" t="s">
        <v>220</v>
      </c>
      <c r="H5" s="19">
        <v>129650000</v>
      </c>
      <c r="J5" s="6" t="s">
        <v>82</v>
      </c>
      <c r="K5" s="19">
        <v>18</v>
      </c>
      <c r="M5" s="6" t="s">
        <v>82</v>
      </c>
      <c r="N5" s="7">
        <v>720000</v>
      </c>
      <c r="P5" s="6" t="s">
        <v>266</v>
      </c>
      <c r="Q5" s="19">
        <v>72140000</v>
      </c>
    </row>
    <row r="6" spans="1:17" x14ac:dyDescent="0.3">
      <c r="A6" s="6" t="s">
        <v>66</v>
      </c>
      <c r="B6" s="19">
        <v>16910000</v>
      </c>
      <c r="D6" s="6" t="s">
        <v>180</v>
      </c>
      <c r="E6" s="19">
        <v>33890000</v>
      </c>
      <c r="G6" s="6" t="s">
        <v>211</v>
      </c>
      <c r="H6" s="19">
        <v>64700000</v>
      </c>
      <c r="J6" s="6" t="s">
        <v>66</v>
      </c>
      <c r="K6" s="19">
        <v>19</v>
      </c>
      <c r="M6" s="6" t="s">
        <v>66</v>
      </c>
      <c r="N6" s="7">
        <v>3800000</v>
      </c>
      <c r="P6" s="6" t="s">
        <v>269</v>
      </c>
      <c r="Q6" s="19">
        <v>20700000</v>
      </c>
    </row>
    <row r="7" spans="1:17" x14ac:dyDescent="0.3">
      <c r="A7" s="6" t="s">
        <v>46</v>
      </c>
      <c r="B7" s="19">
        <v>357000000</v>
      </c>
      <c r="D7" s="6" t="s">
        <v>181</v>
      </c>
      <c r="E7" s="19">
        <v>176900000</v>
      </c>
      <c r="G7" s="6" t="s">
        <v>196</v>
      </c>
      <c r="H7" s="19">
        <v>32050000</v>
      </c>
      <c r="J7" s="6" t="s">
        <v>46</v>
      </c>
      <c r="K7" s="19">
        <v>42</v>
      </c>
      <c r="M7" s="6" t="s">
        <v>46</v>
      </c>
      <c r="N7" s="7">
        <v>54600000</v>
      </c>
      <c r="P7" s="6" t="s">
        <v>44</v>
      </c>
      <c r="Q7" s="19">
        <v>1580440000</v>
      </c>
    </row>
    <row r="8" spans="1:17" x14ac:dyDescent="0.3">
      <c r="A8" s="6" t="s">
        <v>48</v>
      </c>
      <c r="B8" s="19">
        <v>23400000</v>
      </c>
      <c r="D8" s="6" t="s">
        <v>183</v>
      </c>
      <c r="E8" s="19">
        <v>74590000</v>
      </c>
      <c r="G8" s="6" t="s">
        <v>205</v>
      </c>
      <c r="H8" s="19">
        <v>4690000</v>
      </c>
      <c r="J8" s="6" t="s">
        <v>48</v>
      </c>
      <c r="K8" s="19">
        <v>3</v>
      </c>
      <c r="M8" s="6" t="s">
        <v>48</v>
      </c>
      <c r="N8" s="7">
        <v>3900000</v>
      </c>
    </row>
    <row r="9" spans="1:17" x14ac:dyDescent="0.3">
      <c r="A9" s="6" t="s">
        <v>167</v>
      </c>
      <c r="B9" s="19">
        <v>39000000</v>
      </c>
      <c r="D9" s="6" t="s">
        <v>186</v>
      </c>
      <c r="E9" s="19">
        <v>172250000</v>
      </c>
      <c r="G9" s="6" t="s">
        <v>226</v>
      </c>
      <c r="H9" s="19">
        <v>13940000</v>
      </c>
      <c r="J9" s="6" t="s">
        <v>165</v>
      </c>
      <c r="K9" s="19">
        <v>5</v>
      </c>
      <c r="M9" s="6" t="s">
        <v>165</v>
      </c>
      <c r="N9" s="7">
        <v>6500000</v>
      </c>
    </row>
    <row r="10" spans="1:17" x14ac:dyDescent="0.3">
      <c r="A10" s="6" t="s">
        <v>169</v>
      </c>
      <c r="B10" s="19">
        <v>15600000</v>
      </c>
      <c r="D10" s="6" t="s">
        <v>189</v>
      </c>
      <c r="E10" s="19">
        <v>135900000</v>
      </c>
      <c r="G10" s="6" t="s">
        <v>202</v>
      </c>
      <c r="H10" s="19">
        <v>67550000</v>
      </c>
      <c r="J10" s="6" t="s">
        <v>167</v>
      </c>
      <c r="K10" s="19">
        <v>5</v>
      </c>
      <c r="M10" s="6" t="s">
        <v>167</v>
      </c>
      <c r="N10" s="7">
        <v>6500000</v>
      </c>
    </row>
    <row r="11" spans="1:17" x14ac:dyDescent="0.3">
      <c r="A11" s="6" t="s">
        <v>47</v>
      </c>
      <c r="B11" s="19">
        <v>690000000</v>
      </c>
      <c r="D11" s="6" t="s">
        <v>192</v>
      </c>
      <c r="E11" s="19">
        <v>77220000</v>
      </c>
      <c r="G11" s="6" t="s">
        <v>18</v>
      </c>
      <c r="H11" s="19">
        <v>30660000</v>
      </c>
      <c r="J11" s="6" t="s">
        <v>169</v>
      </c>
      <c r="K11" s="19">
        <v>2</v>
      </c>
      <c r="M11" s="6" t="s">
        <v>169</v>
      </c>
      <c r="N11" s="7">
        <v>2600000</v>
      </c>
    </row>
    <row r="12" spans="1:17" x14ac:dyDescent="0.3">
      <c r="A12" s="6" t="s">
        <v>10</v>
      </c>
      <c r="B12" s="19">
        <v>13500000</v>
      </c>
      <c r="D12" s="6" t="s">
        <v>195</v>
      </c>
      <c r="E12" s="19">
        <v>32050000</v>
      </c>
      <c r="G12" s="6" t="s">
        <v>26</v>
      </c>
      <c r="H12" s="19">
        <v>176900000</v>
      </c>
      <c r="J12" s="6" t="s">
        <v>171</v>
      </c>
      <c r="K12" s="19">
        <v>3</v>
      </c>
      <c r="M12" s="6" t="s">
        <v>171</v>
      </c>
      <c r="N12" s="7">
        <v>3900000</v>
      </c>
    </row>
    <row r="13" spans="1:17" x14ac:dyDescent="0.3">
      <c r="A13" s="6" t="s">
        <v>49</v>
      </c>
      <c r="B13" s="19">
        <v>75600000</v>
      </c>
      <c r="D13" s="6" t="s">
        <v>198</v>
      </c>
      <c r="E13" s="19">
        <v>19700000</v>
      </c>
      <c r="G13" s="6" t="s">
        <v>208</v>
      </c>
      <c r="H13" s="19">
        <v>92690000</v>
      </c>
      <c r="J13" s="6" t="s">
        <v>47</v>
      </c>
      <c r="K13" s="19">
        <v>75</v>
      </c>
      <c r="M13" s="6" t="s">
        <v>47</v>
      </c>
      <c r="N13" s="7">
        <v>97500000</v>
      </c>
    </row>
    <row r="14" spans="1:17" x14ac:dyDescent="0.3">
      <c r="A14" s="6" t="s">
        <v>50</v>
      </c>
      <c r="B14" s="19">
        <v>44800000</v>
      </c>
      <c r="D14" s="6" t="s">
        <v>201</v>
      </c>
      <c r="E14" s="19">
        <v>67550000</v>
      </c>
      <c r="G14" s="6" t="s">
        <v>24</v>
      </c>
      <c r="H14" s="19">
        <v>33890000</v>
      </c>
      <c r="J14" s="6" t="s">
        <v>10</v>
      </c>
      <c r="K14" s="19">
        <v>18</v>
      </c>
      <c r="M14" s="6" t="s">
        <v>10</v>
      </c>
      <c r="N14" s="7">
        <v>4140000</v>
      </c>
    </row>
    <row r="15" spans="1:17" x14ac:dyDescent="0.3">
      <c r="A15" s="6" t="s">
        <v>170</v>
      </c>
      <c r="B15" s="19">
        <v>11600000</v>
      </c>
      <c r="D15" s="6" t="s">
        <v>204</v>
      </c>
      <c r="E15" s="19">
        <v>4690000</v>
      </c>
      <c r="G15" s="6" t="s">
        <v>193</v>
      </c>
      <c r="H15" s="19">
        <v>77220000</v>
      </c>
      <c r="J15" s="6" t="s">
        <v>49</v>
      </c>
      <c r="K15" s="19">
        <v>36</v>
      </c>
      <c r="M15" s="6" t="s">
        <v>49</v>
      </c>
      <c r="N15" s="7">
        <v>14400000</v>
      </c>
    </row>
    <row r="16" spans="1:17" x14ac:dyDescent="0.3">
      <c r="A16" s="6" t="s">
        <v>172</v>
      </c>
      <c r="B16" s="19">
        <v>2900000</v>
      </c>
      <c r="D16" s="6" t="s">
        <v>207</v>
      </c>
      <c r="E16" s="19">
        <v>92690000</v>
      </c>
      <c r="G16" s="6" t="s">
        <v>214</v>
      </c>
      <c r="H16" s="19">
        <v>88390000</v>
      </c>
      <c r="J16" s="6" t="s">
        <v>50</v>
      </c>
      <c r="K16" s="19">
        <v>14</v>
      </c>
      <c r="M16" s="6" t="s">
        <v>50</v>
      </c>
      <c r="N16" s="7">
        <v>8400000</v>
      </c>
    </row>
    <row r="17" spans="1:14" x14ac:dyDescent="0.3">
      <c r="A17" s="6" t="s">
        <v>74</v>
      </c>
      <c r="B17" s="19">
        <v>34840000</v>
      </c>
      <c r="D17" s="6" t="s">
        <v>210</v>
      </c>
      <c r="E17" s="19">
        <v>64700000</v>
      </c>
      <c r="G17" s="6" t="s">
        <v>217</v>
      </c>
      <c r="H17" s="19">
        <v>188060000</v>
      </c>
      <c r="J17" s="6" t="s">
        <v>168</v>
      </c>
      <c r="K17" s="19">
        <v>1</v>
      </c>
      <c r="M17" s="6" t="s">
        <v>168</v>
      </c>
      <c r="N17" s="7">
        <v>500000</v>
      </c>
    </row>
    <row r="18" spans="1:14" x14ac:dyDescent="0.3">
      <c r="A18" s="6" t="s">
        <v>68</v>
      </c>
      <c r="B18" s="19">
        <v>19500000</v>
      </c>
      <c r="D18" s="6" t="s">
        <v>213</v>
      </c>
      <c r="E18" s="19">
        <v>88390000</v>
      </c>
      <c r="G18" s="6" t="s">
        <v>184</v>
      </c>
      <c r="H18" s="19">
        <v>74590000</v>
      </c>
      <c r="J18" s="6" t="s">
        <v>170</v>
      </c>
      <c r="K18" s="19">
        <v>4</v>
      </c>
      <c r="M18" s="6" t="s">
        <v>170</v>
      </c>
      <c r="N18" s="7">
        <v>2000000</v>
      </c>
    </row>
    <row r="19" spans="1:14" x14ac:dyDescent="0.3">
      <c r="A19" s="6" t="s">
        <v>55</v>
      </c>
      <c r="B19" s="19">
        <v>40000000</v>
      </c>
      <c r="D19" s="6" t="s">
        <v>216</v>
      </c>
      <c r="E19" s="19">
        <v>188060000</v>
      </c>
      <c r="G19" s="6" t="s">
        <v>223</v>
      </c>
      <c r="H19" s="19">
        <v>75800000</v>
      </c>
      <c r="J19" s="6" t="s">
        <v>172</v>
      </c>
      <c r="K19" s="19">
        <v>1</v>
      </c>
      <c r="M19" s="6" t="s">
        <v>172</v>
      </c>
      <c r="N19" s="7">
        <v>500000</v>
      </c>
    </row>
    <row r="20" spans="1:14" x14ac:dyDescent="0.3">
      <c r="A20" s="6" t="s">
        <v>57</v>
      </c>
      <c r="B20" s="19">
        <v>8500000</v>
      </c>
      <c r="D20" s="6" t="s">
        <v>219</v>
      </c>
      <c r="E20" s="19">
        <v>129650000</v>
      </c>
      <c r="G20" s="6" t="s">
        <v>22</v>
      </c>
      <c r="H20" s="19">
        <v>95780000</v>
      </c>
      <c r="J20" s="6" t="s">
        <v>74</v>
      </c>
      <c r="K20" s="19">
        <v>52</v>
      </c>
      <c r="M20" s="6" t="s">
        <v>74</v>
      </c>
      <c r="N20" s="7">
        <v>8320000</v>
      </c>
    </row>
    <row r="21" spans="1:14" x14ac:dyDescent="0.3">
      <c r="A21" s="6" t="s">
        <v>71</v>
      </c>
      <c r="B21" s="19">
        <v>16150000</v>
      </c>
      <c r="D21" s="6" t="s">
        <v>222</v>
      </c>
      <c r="E21" s="19">
        <v>75800000</v>
      </c>
      <c r="G21" s="6" t="s">
        <v>199</v>
      </c>
      <c r="H21" s="19">
        <v>19700000</v>
      </c>
      <c r="J21" s="6" t="s">
        <v>68</v>
      </c>
      <c r="K21" s="19">
        <v>25</v>
      </c>
      <c r="M21" s="6" t="s">
        <v>68</v>
      </c>
      <c r="N21" s="7">
        <v>4750000</v>
      </c>
    </row>
    <row r="22" spans="1:14" x14ac:dyDescent="0.3">
      <c r="A22" s="6" t="s">
        <v>84</v>
      </c>
      <c r="B22" s="19">
        <v>3600000</v>
      </c>
      <c r="D22" s="6" t="s">
        <v>225</v>
      </c>
      <c r="E22" s="19">
        <v>13940000</v>
      </c>
      <c r="G22" s="6" t="s">
        <v>187</v>
      </c>
      <c r="H22" s="19">
        <v>172250000</v>
      </c>
      <c r="J22" s="6" t="s">
        <v>55</v>
      </c>
      <c r="K22" s="19">
        <v>32</v>
      </c>
      <c r="M22" s="6" t="s">
        <v>55</v>
      </c>
      <c r="N22" s="7">
        <v>8640000</v>
      </c>
    </row>
    <row r="23" spans="1:14" x14ac:dyDescent="0.3">
      <c r="A23" s="6" t="s">
        <v>64</v>
      </c>
      <c r="B23" s="19">
        <v>37400000</v>
      </c>
      <c r="D23" s="6" t="s">
        <v>44</v>
      </c>
      <c r="E23" s="19">
        <v>1580440000</v>
      </c>
      <c r="G23" s="6" t="s">
        <v>44</v>
      </c>
      <c r="H23" s="19">
        <v>1580440000</v>
      </c>
      <c r="J23" s="6" t="s">
        <v>57</v>
      </c>
      <c r="K23" s="19">
        <v>10</v>
      </c>
      <c r="M23" s="6" t="s">
        <v>57</v>
      </c>
      <c r="N23" s="7">
        <v>1800000</v>
      </c>
    </row>
    <row r="24" spans="1:14" x14ac:dyDescent="0.3">
      <c r="A24" s="6" t="s">
        <v>53</v>
      </c>
      <c r="B24" s="19">
        <v>10000000</v>
      </c>
      <c r="J24" s="6" t="s">
        <v>71</v>
      </c>
      <c r="K24" s="19">
        <v>17</v>
      </c>
      <c r="M24" s="6" t="s">
        <v>71</v>
      </c>
      <c r="N24" s="7">
        <v>3230000</v>
      </c>
    </row>
    <row r="25" spans="1:14" x14ac:dyDescent="0.3">
      <c r="A25" s="6" t="s">
        <v>168</v>
      </c>
      <c r="B25" s="19">
        <v>2900000</v>
      </c>
      <c r="J25" s="6" t="s">
        <v>84</v>
      </c>
      <c r="K25" s="19">
        <v>24</v>
      </c>
      <c r="M25" s="6" t="s">
        <v>84</v>
      </c>
      <c r="N25" s="7">
        <v>1440000</v>
      </c>
    </row>
    <row r="26" spans="1:14" x14ac:dyDescent="0.3">
      <c r="A26" s="6" t="s">
        <v>165</v>
      </c>
      <c r="B26" s="19">
        <v>39000000</v>
      </c>
      <c r="J26" s="6" t="s">
        <v>64</v>
      </c>
      <c r="K26" s="19">
        <v>55</v>
      </c>
      <c r="M26" s="6" t="s">
        <v>64</v>
      </c>
      <c r="N26" s="7">
        <v>8800000</v>
      </c>
    </row>
    <row r="27" spans="1:14" x14ac:dyDescent="0.3">
      <c r="A27" s="6" t="s">
        <v>171</v>
      </c>
      <c r="B27" s="19">
        <v>23400000</v>
      </c>
      <c r="J27" s="6" t="s">
        <v>53</v>
      </c>
      <c r="K27" s="19">
        <v>40</v>
      </c>
      <c r="M27" s="6" t="s">
        <v>53</v>
      </c>
      <c r="N27" s="7">
        <v>4000000</v>
      </c>
    </row>
    <row r="28" spans="1:14" x14ac:dyDescent="0.3">
      <c r="A28" s="6" t="s">
        <v>44</v>
      </c>
      <c r="B28" s="19">
        <v>1580440000</v>
      </c>
      <c r="J28" s="6" t="s">
        <v>44</v>
      </c>
      <c r="K28" s="19">
        <v>562</v>
      </c>
      <c r="M28" s="6" t="s">
        <v>44</v>
      </c>
      <c r="N28" s="7">
        <v>261180000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49FC-75DF-44D6-9E86-920FC9466C43}">
  <dimension ref="A1:C21"/>
  <sheetViews>
    <sheetView workbookViewId="0">
      <selection activeCell="B2" sqref="B1:B1048576"/>
    </sheetView>
  </sheetViews>
  <sheetFormatPr defaultRowHeight="14.4" x14ac:dyDescent="0.3"/>
  <cols>
    <col min="1" max="1" width="13.21875" customWidth="1"/>
    <col min="2" max="2" width="16.44140625" customWidth="1"/>
  </cols>
  <sheetData>
    <row r="1" spans="1:3" x14ac:dyDescent="0.3">
      <c r="A1" s="1" t="s">
        <v>27</v>
      </c>
      <c r="B1" s="1" t="s">
        <v>28</v>
      </c>
      <c r="C1" s="1" t="s">
        <v>29</v>
      </c>
    </row>
    <row r="2" spans="1:3" x14ac:dyDescent="0.3">
      <c r="A2" s="2" t="s">
        <v>30</v>
      </c>
      <c r="B2" s="2" t="s">
        <v>31</v>
      </c>
      <c r="C2" s="2" t="s">
        <v>18</v>
      </c>
    </row>
    <row r="3" spans="1:3" ht="28.8" x14ac:dyDescent="0.3">
      <c r="A3" s="2" t="s">
        <v>32</v>
      </c>
      <c r="B3" s="2" t="s">
        <v>227</v>
      </c>
      <c r="C3" s="2" t="s">
        <v>20</v>
      </c>
    </row>
    <row r="4" spans="1:3" x14ac:dyDescent="0.3">
      <c r="A4" s="2" t="s">
        <v>33</v>
      </c>
      <c r="B4" s="2" t="s">
        <v>228</v>
      </c>
      <c r="C4" s="2" t="s">
        <v>22</v>
      </c>
    </row>
    <row r="5" spans="1:3" x14ac:dyDescent="0.3">
      <c r="A5" s="2" t="s">
        <v>34</v>
      </c>
      <c r="B5" s="2" t="s">
        <v>229</v>
      </c>
      <c r="C5" s="2" t="s">
        <v>24</v>
      </c>
    </row>
    <row r="6" spans="1:3" ht="28.8" x14ac:dyDescent="0.3">
      <c r="A6" s="2" t="s">
        <v>35</v>
      </c>
      <c r="B6" s="2" t="s">
        <v>230</v>
      </c>
      <c r="C6" s="2" t="s">
        <v>26</v>
      </c>
    </row>
    <row r="7" spans="1:3" ht="28.8" x14ac:dyDescent="0.3">
      <c r="A7" s="2" t="s">
        <v>173</v>
      </c>
      <c r="B7" s="2" t="s">
        <v>231</v>
      </c>
      <c r="C7" s="2" t="s">
        <v>184</v>
      </c>
    </row>
    <row r="8" spans="1:3" ht="28.8" x14ac:dyDescent="0.3">
      <c r="A8" s="2" t="s">
        <v>174</v>
      </c>
      <c r="B8" s="2" t="s">
        <v>232</v>
      </c>
      <c r="C8" s="2" t="s">
        <v>187</v>
      </c>
    </row>
    <row r="9" spans="1:3" x14ac:dyDescent="0.3">
      <c r="A9" s="2" t="s">
        <v>175</v>
      </c>
      <c r="B9" s="2" t="s">
        <v>233</v>
      </c>
      <c r="C9" s="2" t="s">
        <v>190</v>
      </c>
    </row>
    <row r="10" spans="1:3" ht="28.8" x14ac:dyDescent="0.3">
      <c r="A10" s="2" t="s">
        <v>234</v>
      </c>
      <c r="B10" s="2" t="s">
        <v>235</v>
      </c>
      <c r="C10" s="2" t="s">
        <v>193</v>
      </c>
    </row>
    <row r="11" spans="1:3" x14ac:dyDescent="0.3">
      <c r="A11" s="2" t="s">
        <v>236</v>
      </c>
      <c r="B11" s="2" t="s">
        <v>237</v>
      </c>
      <c r="C11" s="2" t="s">
        <v>196</v>
      </c>
    </row>
    <row r="12" spans="1:3" ht="28.8" x14ac:dyDescent="0.3">
      <c r="A12" s="2" t="s">
        <v>238</v>
      </c>
      <c r="B12" s="2" t="s">
        <v>239</v>
      </c>
      <c r="C12" s="2" t="s">
        <v>199</v>
      </c>
    </row>
    <row r="13" spans="1:3" x14ac:dyDescent="0.3">
      <c r="A13" s="2" t="s">
        <v>240</v>
      </c>
      <c r="B13" s="2" t="s">
        <v>241</v>
      </c>
      <c r="C13" s="2" t="s">
        <v>202</v>
      </c>
    </row>
    <row r="14" spans="1:3" ht="28.8" x14ac:dyDescent="0.3">
      <c r="A14" s="2" t="s">
        <v>242</v>
      </c>
      <c r="B14" s="2" t="s">
        <v>243</v>
      </c>
      <c r="C14" s="2" t="s">
        <v>205</v>
      </c>
    </row>
    <row r="15" spans="1:3" x14ac:dyDescent="0.3">
      <c r="A15" s="2" t="s">
        <v>244</v>
      </c>
      <c r="B15" s="2" t="s">
        <v>245</v>
      </c>
      <c r="C15" s="2" t="s">
        <v>208</v>
      </c>
    </row>
    <row r="16" spans="1:3" x14ac:dyDescent="0.3">
      <c r="A16" s="2" t="s">
        <v>246</v>
      </c>
      <c r="B16" s="2" t="s">
        <v>247</v>
      </c>
      <c r="C16" s="2" t="s">
        <v>211</v>
      </c>
    </row>
    <row r="17" spans="1:3" ht="28.8" x14ac:dyDescent="0.3">
      <c r="A17" s="2" t="s">
        <v>248</v>
      </c>
      <c r="B17" s="2" t="s">
        <v>249</v>
      </c>
      <c r="C17" s="2" t="s">
        <v>214</v>
      </c>
    </row>
    <row r="18" spans="1:3" ht="28.8" x14ac:dyDescent="0.3">
      <c r="A18" s="2" t="s">
        <v>250</v>
      </c>
      <c r="B18" s="2" t="s">
        <v>251</v>
      </c>
      <c r="C18" s="2" t="s">
        <v>217</v>
      </c>
    </row>
    <row r="19" spans="1:3" ht="28.8" x14ac:dyDescent="0.3">
      <c r="A19" s="2" t="s">
        <v>252</v>
      </c>
      <c r="B19" s="2" t="s">
        <v>253</v>
      </c>
      <c r="C19" s="2" t="s">
        <v>220</v>
      </c>
    </row>
    <row r="20" spans="1:3" x14ac:dyDescent="0.3">
      <c r="A20" s="2" t="s">
        <v>254</v>
      </c>
      <c r="B20" s="2" t="s">
        <v>255</v>
      </c>
      <c r="C20" s="2" t="s">
        <v>223</v>
      </c>
    </row>
    <row r="21" spans="1:3" x14ac:dyDescent="0.3">
      <c r="A21" s="2" t="s">
        <v>256</v>
      </c>
      <c r="B21" s="2" t="s">
        <v>257</v>
      </c>
      <c r="C21" s="2" t="s">
        <v>226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30C82C-6B9E-4519-BE90-17DA3ED68A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Readme</vt:lpstr>
      <vt:lpstr>Orders</vt:lpstr>
      <vt:lpstr>Products</vt:lpstr>
      <vt:lpstr>Dashboard</vt:lpstr>
      <vt:lpstr>SalesPerson</vt:lpstr>
      <vt:lpstr>Pivot</vt:lpstr>
      <vt:lpstr>Customers</vt:lpstr>
      <vt:lpstr>tblCustomers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akhmal novanda</dc:creator>
  <cp:lastModifiedBy>akhmal novanda</cp:lastModifiedBy>
  <dcterms:created xsi:type="dcterms:W3CDTF">2015-06-05T18:17:20Z</dcterms:created>
  <dcterms:modified xsi:type="dcterms:W3CDTF">2026-07-26T17:47:18Z</dcterms:modified>
</cp:coreProperties>
</file>