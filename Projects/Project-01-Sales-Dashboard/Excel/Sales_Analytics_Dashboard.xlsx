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areer-Rebuild\Project\Project-01-Sales-Dashboard\Excel\"/>
    </mc:Choice>
  </mc:AlternateContent>
  <xr:revisionPtr revIDLastSave="0" documentId="13_ncr:1_{257FBA2C-CEFF-4AA7-8DF9-0E0DD03B8CA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adme" sheetId="1" r:id="rId1"/>
    <sheet name="Orders" sheetId="2" r:id="rId2"/>
    <sheet name="Products" sheetId="3" r:id="rId3"/>
    <sheet name="Dashboard" sheetId="6" r:id="rId4"/>
    <sheet name="SalesPerson" sheetId="4" r:id="rId5"/>
    <sheet name="Customers" sheetId="5" r:id="rId6"/>
  </sheets>
  <calcPr calcId="191029"/>
  <pivotCaches>
    <pivotCache cacheId="3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L2" i="2"/>
  <c r="L3" i="2"/>
  <c r="L4" i="2"/>
  <c r="H2" i="2"/>
  <c r="J2" i="2" s="1"/>
  <c r="H3" i="2"/>
  <c r="J3" i="2" s="1"/>
  <c r="H4" i="2"/>
  <c r="J4" i="2" s="1"/>
  <c r="G2" i="2"/>
  <c r="I2" i="2" s="1"/>
  <c r="G3" i="2"/>
  <c r="I3" i="2" s="1"/>
  <c r="G4" i="2"/>
  <c r="I4" i="2" s="1"/>
  <c r="K4" i="2" l="1"/>
  <c r="K3" i="2"/>
  <c r="K2" i="2"/>
</calcChain>
</file>

<file path=xl/sharedStrings.xml><?xml version="1.0" encoding="utf-8"?>
<sst xmlns="http://schemas.openxmlformats.org/spreadsheetml/2006/main" count="106" uniqueCount="64">
  <si>
    <t>Product ID</t>
  </si>
  <si>
    <t>Product Name</t>
  </si>
  <si>
    <t>Category</t>
  </si>
  <si>
    <t>Price</t>
  </si>
  <si>
    <t>Cost</t>
  </si>
  <si>
    <t>P001</t>
  </si>
  <si>
    <t>Laptop A</t>
  </si>
  <si>
    <t>Laptop</t>
  </si>
  <si>
    <t>P002</t>
  </si>
  <si>
    <t>Mouse Wireless</t>
  </si>
  <si>
    <t>Accessories</t>
  </si>
  <si>
    <t>P003</t>
  </si>
  <si>
    <t>Mechanical Keyboard</t>
  </si>
  <si>
    <t>P004</t>
  </si>
  <si>
    <t>Monitor 24"</t>
  </si>
  <si>
    <t>Monitor</t>
  </si>
  <si>
    <t>P005</t>
  </si>
  <si>
    <t>SSD 1TB</t>
  </si>
  <si>
    <t>Storage</t>
  </si>
  <si>
    <t>Sales ID</t>
  </si>
  <si>
    <t>Salesperson</t>
  </si>
  <si>
    <t>Region</t>
  </si>
  <si>
    <t>S001</t>
  </si>
  <si>
    <t>Andi</t>
  </si>
  <si>
    <t>Jakarta</t>
  </si>
  <si>
    <t>S002</t>
  </si>
  <si>
    <t>Budi</t>
  </si>
  <si>
    <t>Bandung</t>
  </si>
  <si>
    <t>S003</t>
  </si>
  <si>
    <t>Citra</t>
  </si>
  <si>
    <t>Surabaya</t>
  </si>
  <si>
    <t>S004</t>
  </si>
  <si>
    <t>Dimas</t>
  </si>
  <si>
    <t>Medan</t>
  </si>
  <si>
    <t>S005</t>
  </si>
  <si>
    <t>Eka</t>
  </si>
  <si>
    <t>Makassar</t>
  </si>
  <si>
    <t>Customer ID</t>
  </si>
  <si>
    <t>Customer Name</t>
  </si>
  <si>
    <t>City</t>
  </si>
  <si>
    <t>C001</t>
  </si>
  <si>
    <t>PT Maju Jaya</t>
  </si>
  <si>
    <t>C002</t>
  </si>
  <si>
    <t>CV Nusantara</t>
  </si>
  <si>
    <t>C003</t>
  </si>
  <si>
    <t>PT Sejahtera</t>
  </si>
  <si>
    <t>C004</t>
  </si>
  <si>
    <t>PT Digital</t>
  </si>
  <si>
    <t>C005</t>
  </si>
  <si>
    <t>UD Makmur</t>
  </si>
  <si>
    <t>Order ID</t>
  </si>
  <si>
    <t>Date</t>
  </si>
  <si>
    <t>Qty</t>
  </si>
  <si>
    <t>O001</t>
  </si>
  <si>
    <t>O002</t>
  </si>
  <si>
    <t>O003</t>
  </si>
  <si>
    <t>Revenue</t>
  </si>
  <si>
    <t>Total Cost</t>
  </si>
  <si>
    <t>Profit</t>
  </si>
  <si>
    <t>Sum of Revenue</t>
  </si>
  <si>
    <t>Row Labels</t>
  </si>
  <si>
    <t>Grand Total</t>
  </si>
  <si>
    <t>Sum of Profit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</si>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</sst>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 applyBorder="1" applyAlignment="1"/>
    <xf numFmtId="0" fontId="0" fillId="2" borderId="0" xfId="0" applyFill="1" applyBorder="1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</cellXfs>
  <cellStyles count="1">
    <cellStyle name="Normal" xfId="0" builtinId="0"/>
  </cellStyles>
  <dxfs count="72"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68" formatCode="&quot;Rp&quot;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alignment wrapText="0"/>
    </dxf>
    <dxf>
      <alignment wrapText="0"/>
    </dxf>
    <dxf>
      <alignment wrapText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numFmt numFmtId="2" formatCode="0.0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998220</xdr:colOff>
      <xdr:row>0</xdr:row>
      <xdr:rowOff>350520</xdr:rowOff>
    </xdr:from>
    <xdr:to>
      <xdr:col>17</xdr:col>
      <xdr:colOff>30480</xdr:colOff>
      <xdr:row>2</xdr:row>
      <xdr:rowOff>533400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06333E-8109-755B-29FA-42C0FC16AFDA}"/>
            </a:ext>
          </a:extLst>
        </xdr:cNvPr>
        <xdr:cNvSpPr txBox="1"/>
      </xdr:nvSpPr>
      <xdr:spPr>
        <a:xfrm>
          <a:off x="11498580" y="350520"/>
          <a:ext cx="2133600" cy="73152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b="1"/>
            <a:t>Latihan 1 Pertanyaan</a:t>
          </a:r>
        </a:p>
        <a:p>
          <a:r>
            <a:rPr lang="en-ID"/>
            <a:t>Berapa total penjualan?</a:t>
          </a:r>
        </a:p>
        <a:p>
          <a:endParaRPr lang="en-ID" sz="1100"/>
        </a:p>
      </xdr:txBody>
    </xdr:sp>
    <xdr:clientData/>
  </xdr:twoCellAnchor>
  <xdr:twoCellAnchor>
    <xdr:from>
      <xdr:col>18</xdr:col>
      <xdr:colOff>7620</xdr:colOff>
      <xdr:row>1</xdr:row>
      <xdr:rowOff>0</xdr:rowOff>
    </xdr:from>
    <xdr:to>
      <xdr:col>23</xdr:col>
      <xdr:colOff>0</xdr:colOff>
      <xdr:row>2</xdr:row>
      <xdr:rowOff>541020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932187-9956-4AD9-BC99-60A1A3150BC1}"/>
            </a:ext>
          </a:extLst>
        </xdr:cNvPr>
        <xdr:cNvSpPr txBox="1"/>
      </xdr:nvSpPr>
      <xdr:spPr>
        <a:xfrm>
          <a:off x="14630400" y="365760"/>
          <a:ext cx="3040380" cy="723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b="1"/>
            <a:t>Latihan 2</a:t>
          </a:r>
          <a:r>
            <a:rPr lang="en-ID" b="1" baseline="0"/>
            <a:t> </a:t>
          </a:r>
          <a:r>
            <a:rPr lang="en-ID" b="1"/>
            <a:t>Pertanyaan</a:t>
          </a:r>
        </a:p>
        <a:p>
          <a:r>
            <a:rPr lang="en-ID"/>
            <a:t>Produk mana yang paling banyak menghasilkan penjualan?</a:t>
          </a:r>
        </a:p>
        <a:p>
          <a:endParaRPr lang="en-ID" sz="1100"/>
        </a:p>
      </xdr:txBody>
    </xdr:sp>
    <xdr:clientData/>
  </xdr:twoCellAnchor>
  <xdr:twoCellAnchor>
    <xdr:from>
      <xdr:col>13</xdr:col>
      <xdr:colOff>990600</xdr:colOff>
      <xdr:row>9</xdr:row>
      <xdr:rowOff>175260</xdr:rowOff>
    </xdr:from>
    <xdr:to>
      <xdr:col>17</xdr:col>
      <xdr:colOff>15240</xdr:colOff>
      <xdr:row>12</xdr:row>
      <xdr:rowOff>76200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EECC67A-8FA2-B2C8-1C1B-816B715BFF96}"/>
            </a:ext>
          </a:extLst>
        </xdr:cNvPr>
        <xdr:cNvSpPr txBox="1"/>
      </xdr:nvSpPr>
      <xdr:spPr>
        <a:xfrm>
          <a:off x="11490960" y="2004060"/>
          <a:ext cx="2125980" cy="44958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b="1"/>
            <a:t>Latihan 3</a:t>
          </a:r>
        </a:p>
        <a:p>
          <a:r>
            <a:rPr lang="en-ID"/>
            <a:t>Sales mana yang terbaik?</a:t>
          </a:r>
        </a:p>
        <a:p>
          <a:endParaRPr lang="en-ID"/>
        </a:p>
        <a:p>
          <a:endParaRPr lang="en-ID" sz="1100"/>
        </a:p>
      </xdr:txBody>
    </xdr:sp>
    <xdr:clientData/>
  </xdr:twoCellAnchor>
  <xdr:twoCellAnchor>
    <xdr:from>
      <xdr:col>18</xdr:col>
      <xdr:colOff>7620</xdr:colOff>
      <xdr:row>9</xdr:row>
      <xdr:rowOff>160020</xdr:rowOff>
    </xdr:from>
    <xdr:to>
      <xdr:col>23</xdr:col>
      <xdr:colOff>0</xdr:colOff>
      <xdr:row>12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43BB96-435C-3382-8DE8-4C8A8C5E0D33}"/>
            </a:ext>
          </a:extLst>
        </xdr:cNvPr>
        <xdr:cNvSpPr txBox="1"/>
      </xdr:nvSpPr>
      <xdr:spPr>
        <a:xfrm>
          <a:off x="14630400" y="1988820"/>
          <a:ext cx="3040380" cy="50292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b="1"/>
            <a:t>Latihan 4</a:t>
          </a:r>
        </a:p>
        <a:p>
          <a:r>
            <a:rPr lang="en-ID"/>
            <a:t>Profit setiap produk</a:t>
          </a:r>
        </a:p>
        <a:p>
          <a:endParaRPr lang="en-ID" sz="1100"/>
        </a:p>
      </xdr:txBody>
    </xdr:sp>
    <xdr:clientData/>
  </xdr:twoCellAnchor>
  <xdr:twoCellAnchor>
    <xdr:from>
      <xdr:col>13</xdr:col>
      <xdr:colOff>1005840</xdr:colOff>
      <xdr:row>19</xdr:row>
      <xdr:rowOff>7620</xdr:rowOff>
    </xdr:from>
    <xdr:to>
      <xdr:col>15</xdr:col>
      <xdr:colOff>708660</xdr:colOff>
      <xdr:row>20</xdr:row>
      <xdr:rowOff>45720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9EEE0C-3699-237B-D08F-DB23B23E598F}"/>
            </a:ext>
          </a:extLst>
        </xdr:cNvPr>
        <xdr:cNvSpPr txBox="1"/>
      </xdr:nvSpPr>
      <xdr:spPr>
        <a:xfrm>
          <a:off x="11506200" y="4030980"/>
          <a:ext cx="1584960" cy="22098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b="1"/>
            <a:t>Latihan 5</a:t>
          </a:r>
          <a:r>
            <a:rPr lang="en-ID" b="1" baseline="0"/>
            <a:t> </a:t>
          </a:r>
          <a:r>
            <a:rPr lang="en-ID"/>
            <a:t>Total Qty</a:t>
          </a:r>
        </a:p>
        <a:p>
          <a:endParaRPr lang="en-ID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mal Novanda" refreshedDate="46228.648590509256" createdVersion="8" refreshedVersion="8" minRefreshableVersion="3" recordCount="3" xr:uid="{E648602E-B4B0-41B3-957A-C1F11D3C4BBC}">
  <cacheSource type="worksheet">
    <worksheetSource name="Table6"/>
  </cacheSource>
  <cacheFields count="13">
    <cacheField name="Order ID" numFmtId="0">
      <sharedItems/>
    </cacheField>
    <cacheField name="Date" numFmtId="14">
      <sharedItems containsSemiMixedTypes="0" containsNonDate="0" containsDate="1" containsString="0" minDate="2026-01-01T00:00:00" maxDate="2026-01-03T00:00:00"/>
    </cacheField>
    <cacheField name="Customer ID" numFmtId="0">
      <sharedItems/>
    </cacheField>
    <cacheField name="Product ID" numFmtId="0">
      <sharedItems count="3">
        <s v="P001"/>
        <s v="P003"/>
        <s v="P005"/>
      </sharedItems>
    </cacheField>
    <cacheField name="Sales ID" numFmtId="0">
      <sharedItems count="3">
        <s v="S001"/>
        <s v="S002"/>
        <s v="S003"/>
      </sharedItems>
    </cacheField>
    <cacheField name="Qty" numFmtId="0">
      <sharedItems containsSemiMixedTypes="0" containsString="0" containsNumber="1" containsInteger="1" minValue="2" maxValue="5" count="3">
        <n v="2"/>
        <n v="5"/>
        <n v="3"/>
      </sharedItems>
    </cacheField>
    <cacheField name="Price" numFmtId="0">
      <sharedItems containsSemiMixedTypes="0" containsString="0" containsNumber="1" containsInteger="1" minValue="750000" maxValue="8500000"/>
    </cacheField>
    <cacheField name="Cost" numFmtId="0">
      <sharedItems containsSemiMixedTypes="0" containsString="0" containsNumber="1" containsInteger="1" minValue="520000" maxValue="7200000"/>
    </cacheField>
    <cacheField name="Revenue" numFmtId="0">
      <sharedItems containsSemiMixedTypes="0" containsString="0" containsNumber="1" containsInteger="1" minValue="3750000" maxValue="17000000"/>
    </cacheField>
    <cacheField name="Total Cost" numFmtId="0">
      <sharedItems containsSemiMixedTypes="0" containsString="0" containsNumber="1" containsInteger="1" minValue="2600000" maxValue="14400000"/>
    </cacheField>
    <cacheField name="Profit" numFmtId="2">
      <sharedItems containsSemiMixedTypes="0" containsString="0" containsNumber="1" containsInteger="1" minValue="810000" maxValue="2600000"/>
    </cacheField>
    <cacheField name="Product Name" numFmtId="0">
      <sharedItems count="3">
        <s v="Laptop A"/>
        <s v="Mechanical Keyboard"/>
        <s v="SSD 1TB"/>
      </sharedItems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O001"/>
    <d v="2026-01-01T00:00:00"/>
    <s v="C001"/>
    <x v="0"/>
    <x v="0"/>
    <x v="0"/>
    <n v="8500000"/>
    <n v="7200000"/>
    <n v="17000000"/>
    <n v="14400000"/>
    <n v="2600000"/>
    <x v="0"/>
    <s v="Laptop"/>
  </r>
  <r>
    <s v="O002"/>
    <d v="2026-01-01T00:00:00"/>
    <s v="C002"/>
    <x v="1"/>
    <x v="1"/>
    <x v="1"/>
    <n v="750000"/>
    <n v="520000"/>
    <n v="3750000"/>
    <n v="2600000"/>
    <n v="1150000"/>
    <x v="1"/>
    <s v="Accessories"/>
  </r>
  <r>
    <s v="O003"/>
    <d v="2026-01-02T00:00:00"/>
    <s v="C003"/>
    <x v="2"/>
    <x v="2"/>
    <x v="2"/>
    <n v="1250000"/>
    <n v="980000"/>
    <n v="3750000"/>
    <n v="2940000"/>
    <n v="810000"/>
    <x v="2"/>
    <s v="Stor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E7E5-3CCD-4025-85E3-7162BD33AA81}" name="PivotTable1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2:P26" firstHeaderRow="1" firstDataRow="1" firstDataCol="1"/>
  <pivotFields count="13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76114-03CF-43B7-93E2-EE8F85E07860}" name="PivotTable1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4:T18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D7CCB-8BBF-485E-B1D6-1CE8285EEB53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4:P18" firstHeaderRow="1" firstDataRow="1" firstDataCol="1"/>
  <pivotFields count="13">
    <pivotField showAll="0"/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numFmtId="2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E8A20-6D91-40EF-9099-00BAF99B7C62}" name="PivotTable10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T9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BCA9C-3BDD-4BCA-A9E8-70E0BEC71D59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O6" firstHeaderRow="1" firstDataRow="1" firstDataCol="0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" showAll="0"/>
    <pivotField showAll="0"/>
    <pivotField showAll="0"/>
  </pivotFields>
  <rowItems count="1">
    <i/>
  </rowItems>
  <colItems count="1">
    <i/>
  </colItems>
  <dataFields count="1">
    <dataField name="Sum of Revenue" fld="8" baseField="0" baseItem="0"/>
  </dataFields>
  <formats count="9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832CA9-701F-44BA-B0F8-6DEB1E7395AF}" name="Table6" displayName="Table6" ref="A1:M4" totalsRowShown="0" headerRowDxfId="54" dataDxfId="53">
  <autoFilter ref="A1:M4" xr:uid="{7A832CA9-701F-44BA-B0F8-6DEB1E7395AF}"/>
  <tableColumns count="13">
    <tableColumn id="1" xr3:uid="{98361605-DE70-4708-B0AB-CC848394ED9B}" name="Order ID" dataDxfId="52"/>
    <tableColumn id="2" xr3:uid="{9003C933-F0AE-4027-AC16-E4F299AEA6B9}" name="Date" dataDxfId="51"/>
    <tableColumn id="3" xr3:uid="{FDB87234-2A5C-4F9F-9135-77BB2435ECA0}" name="Customer ID" dataDxfId="50"/>
    <tableColumn id="4" xr3:uid="{7C1E9647-A6B4-4D63-B775-96A166263D80}" name="Product ID" dataDxfId="49"/>
    <tableColumn id="5" xr3:uid="{41D22120-130B-4543-841B-166BAEA34D85}" name="Sales ID" dataDxfId="48"/>
    <tableColumn id="6" xr3:uid="{E54F871F-DAD0-42ED-9855-0C9018C913FC}" name="Qty" dataDxfId="47"/>
    <tableColumn id="7" xr3:uid="{5DE57668-0492-41E6-931B-97E155DAB989}" name="Price" dataDxfId="46">
      <calculatedColumnFormula>_xlfn.XLOOKUP(D2,Products!A:A,Products!D:D)</calculatedColumnFormula>
    </tableColumn>
    <tableColumn id="8" xr3:uid="{61B07905-25EE-4399-B736-3883BDDB1D02}" name="Cost" dataDxfId="45">
      <calculatedColumnFormula>_xlfn.XLOOKUP(D2,Products!A:A,Products!E:E)</calculatedColumnFormula>
    </tableColumn>
    <tableColumn id="9" xr3:uid="{232FBD64-ED53-4CF0-8D1D-4B508EF30491}" name="Revenue" dataDxfId="44">
      <calculatedColumnFormula>F2*G2</calculatedColumnFormula>
    </tableColumn>
    <tableColumn id="10" xr3:uid="{646CAADC-49EC-407D-8A75-4A3513756923}" name="Total Cost" dataDxfId="43">
      <calculatedColumnFormula>F2*H2</calculatedColumnFormula>
    </tableColumn>
    <tableColumn id="11" xr3:uid="{62DA7905-3FC4-4855-89B9-0480A85E3E74}" name="Profit" dataDxfId="42">
      <calculatedColumnFormula>I2-J2</calculatedColumnFormula>
    </tableColumn>
    <tableColumn id="12" xr3:uid="{8C30C6A1-3F80-4BFF-A76E-0F9C6671DCB1}" name="Product Name" dataDxfId="13">
      <calculatedColumnFormula>_xlfn.XLOOKUP(D2,Products!A:A,Products!B:B)</calculatedColumnFormula>
    </tableColumn>
    <tableColumn id="15" xr3:uid="{26A0D525-8AB8-4B80-935E-CEEA8D45C2B8}" name="Category" dataDxfId="12">
      <calculatedColumnFormula>_xlfn.XLOOKUP(D2,Products!A:A,Products!C:C)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FFB8EB-2F13-4D67-A957-B4C76629AC58}" name="Table2" displayName="Table2" ref="A1:E6" totalsRowShown="0" headerRowDxfId="65" dataDxfId="66">
  <autoFilter ref="A1:E6" xr:uid="{EFFFB8EB-2F13-4D67-A957-B4C76629AC58}"/>
  <tableColumns count="5">
    <tableColumn id="1" xr3:uid="{E31F6C0A-1122-4B6F-BF40-6371A6FF95DF}" name="Product ID" dataDxfId="71"/>
    <tableColumn id="2" xr3:uid="{FC3A3FD8-C15B-4EB5-B463-CB4C97C934B1}" name="Product Name" dataDxfId="70"/>
    <tableColumn id="3" xr3:uid="{48C870E2-7245-4F0D-ADF6-D40DAED1897B}" name="Category" dataDxfId="69"/>
    <tableColumn id="4" xr3:uid="{A74C867D-2125-4F24-8B10-D645ACD32E18}" name="Price" dataDxfId="68"/>
    <tableColumn id="5" xr3:uid="{34924D69-5B1C-492A-929D-11FC0FD71758}" name="Cost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AC29A8-743B-4514-9658-21F70C585A9E}" name="Table4" displayName="Table4" ref="A1:C6" totalsRowShown="0" headerRowDxfId="60" dataDxfId="61">
  <autoFilter ref="A1:C6" xr:uid="{6EAC29A8-743B-4514-9658-21F70C585A9E}"/>
  <tableColumns count="3">
    <tableColumn id="1" xr3:uid="{6E7E40FD-67D3-441E-9A1F-089F129F1275}" name="Sales ID" dataDxfId="64"/>
    <tableColumn id="2" xr3:uid="{5AF3E9F1-B7FF-4B7E-81B6-B5188F9F1028}" name="Salesperson" dataDxfId="63"/>
    <tableColumn id="3" xr3:uid="{CD2845CF-B063-4A5E-B8A3-6DA442309526}" name="Region" dataDxfId="6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B0BD43-DFF6-402C-B089-56D01C08AFE0}" name="Table5" displayName="Table5" ref="A1:C6" totalsRowShown="0" headerRowDxfId="55" dataDxfId="56">
  <autoFilter ref="A1:C6" xr:uid="{B3B0BD43-DFF6-402C-B089-56D01C08AFE0}"/>
  <tableColumns count="3">
    <tableColumn id="1" xr3:uid="{08EC3504-4300-461C-8FE7-4B2FC2F470C2}" name="Customer ID" dataDxfId="59"/>
    <tableColumn id="2" xr3:uid="{CB05A135-D77E-49C9-AD92-7F1079792053}" name="Customer Name" dataDxfId="58"/>
    <tableColumn id="3" xr3:uid="{2CD8D519-8ED6-4808-9CBE-157F285DBF92}" name="City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7C4A-0DD0-4B57-8D4A-0CF7333454A0}">
  <dimension ref="A1:T26"/>
  <sheetViews>
    <sheetView tabSelected="1" topLeftCell="F1" zoomScaleNormal="100" workbookViewId="0">
      <selection activeCell="O32" sqref="O32"/>
    </sheetView>
  </sheetViews>
  <sheetFormatPr defaultRowHeight="14.4" x14ac:dyDescent="0.3"/>
  <cols>
    <col min="1" max="1" width="9.88671875" customWidth="1"/>
    <col min="2" max="2" width="10.5546875" bestFit="1" customWidth="1"/>
    <col min="3" max="3" width="13.21875" customWidth="1"/>
    <col min="4" max="4" width="11.77734375" customWidth="1"/>
    <col min="5" max="5" width="9.33203125" customWidth="1"/>
    <col min="7" max="7" width="9.5546875" bestFit="1" customWidth="1"/>
    <col min="8" max="8" width="9.109375" bestFit="1" customWidth="1"/>
    <col min="9" max="10" width="12.77734375" bestFit="1" customWidth="1"/>
    <col min="11" max="11" width="18.6640625" bestFit="1" customWidth="1"/>
    <col min="13" max="13" width="17.6640625" bestFit="1" customWidth="1"/>
    <col min="14" max="14" width="14.88671875" bestFit="1" customWidth="1"/>
    <col min="15" max="15" width="12.5546875" bestFit="1" customWidth="1"/>
    <col min="16" max="16" width="10.44140625" bestFit="1" customWidth="1"/>
    <col min="17" max="17" width="12.5546875" bestFit="1" customWidth="1"/>
    <col min="18" max="18" width="14.88671875" bestFit="1" customWidth="1"/>
    <col min="19" max="19" width="18.6640625" bestFit="1" customWidth="1"/>
    <col min="20" max="20" width="12.109375" bestFit="1" customWidth="1"/>
  </cols>
  <sheetData>
    <row r="1" spans="1:20" ht="28.8" x14ac:dyDescent="0.3">
      <c r="A1" s="1" t="s">
        <v>50</v>
      </c>
      <c r="B1" s="1" t="s">
        <v>51</v>
      </c>
      <c r="C1" s="1" t="s">
        <v>37</v>
      </c>
      <c r="D1" s="1" t="s">
        <v>0</v>
      </c>
      <c r="E1" s="1" t="s">
        <v>19</v>
      </c>
      <c r="F1" s="1" t="s">
        <v>52</v>
      </c>
      <c r="G1" s="1" t="s">
        <v>3</v>
      </c>
      <c r="H1" s="1" t="s">
        <v>4</v>
      </c>
      <c r="I1" s="1" t="s">
        <v>56</v>
      </c>
      <c r="J1" s="1" t="s">
        <v>57</v>
      </c>
      <c r="K1" s="1" t="s">
        <v>58</v>
      </c>
      <c r="L1" s="1" t="s">
        <v>1</v>
      </c>
      <c r="M1" s="1" t="s">
        <v>2</v>
      </c>
    </row>
    <row r="2" spans="1:20" x14ac:dyDescent="0.3">
      <c r="A2" s="2" t="s">
        <v>53</v>
      </c>
      <c r="B2" s="3">
        <v>46023</v>
      </c>
      <c r="C2" s="2" t="s">
        <v>40</v>
      </c>
      <c r="D2" s="2" t="s">
        <v>5</v>
      </c>
      <c r="E2" s="2" t="s">
        <v>22</v>
      </c>
      <c r="F2" s="2">
        <v>2</v>
      </c>
      <c r="G2" s="2">
        <f>_xlfn.XLOOKUP(D2,Products!A:A,Products!D:D)</f>
        <v>8500000</v>
      </c>
      <c r="H2" s="2">
        <f>_xlfn.XLOOKUP(D2,Products!A:A,Products!E:E)</f>
        <v>7200000</v>
      </c>
      <c r="I2" s="2">
        <f t="shared" ref="I2:I4" si="0">F2*G2</f>
        <v>17000000</v>
      </c>
      <c r="J2" s="4">
        <f t="shared" ref="J2:J4" si="1">F2*H2</f>
        <v>14400000</v>
      </c>
      <c r="K2" s="5">
        <f t="shared" ref="K2:K4" si="2">I2-J2</f>
        <v>2600000</v>
      </c>
      <c r="L2" s="4" t="str">
        <f>_xlfn.XLOOKUP(D2,Products!A:A,Products!B:B)</f>
        <v>Laptop A</v>
      </c>
      <c r="M2" s="4" t="str">
        <f>_xlfn.XLOOKUP(D2,Products!A:A,Products!C:C)</f>
        <v>Laptop</v>
      </c>
    </row>
    <row r="3" spans="1:20" ht="43.2" x14ac:dyDescent="0.3">
      <c r="A3" s="2" t="s">
        <v>54</v>
      </c>
      <c r="B3" s="3">
        <v>46023</v>
      </c>
      <c r="C3" s="2" t="s">
        <v>42</v>
      </c>
      <c r="D3" s="2" t="s">
        <v>11</v>
      </c>
      <c r="E3" s="2" t="s">
        <v>25</v>
      </c>
      <c r="F3" s="2">
        <v>5</v>
      </c>
      <c r="G3" s="2">
        <f>_xlfn.XLOOKUP(D3,Products!A:A,Products!D:D)</f>
        <v>750000</v>
      </c>
      <c r="H3" s="2">
        <f>_xlfn.XLOOKUP(D3,Products!A:A,Products!E:E)</f>
        <v>520000</v>
      </c>
      <c r="I3" s="2">
        <f t="shared" si="0"/>
        <v>3750000</v>
      </c>
      <c r="J3" s="4">
        <f t="shared" si="1"/>
        <v>2600000</v>
      </c>
      <c r="K3" s="5">
        <f t="shared" si="2"/>
        <v>1150000</v>
      </c>
      <c r="L3" s="4" t="str">
        <f>_xlfn.XLOOKUP(D3,Products!A:A,Products!B:B)</f>
        <v>Mechanical Keyboard</v>
      </c>
      <c r="M3" s="4" t="str">
        <f>_xlfn.XLOOKUP(D3,Products!A:A,Products!C:C)</f>
        <v>Accessories</v>
      </c>
    </row>
    <row r="4" spans="1:20" x14ac:dyDescent="0.3">
      <c r="A4" s="2" t="s">
        <v>55</v>
      </c>
      <c r="B4" s="3">
        <v>46024</v>
      </c>
      <c r="C4" s="2" t="s">
        <v>44</v>
      </c>
      <c r="D4" s="2" t="s">
        <v>16</v>
      </c>
      <c r="E4" s="2" t="s">
        <v>28</v>
      </c>
      <c r="F4" s="2">
        <v>3</v>
      </c>
      <c r="G4" s="2">
        <f>_xlfn.XLOOKUP(D4,Products!A:A,Products!D:D)</f>
        <v>1250000</v>
      </c>
      <c r="H4" s="2">
        <f>_xlfn.XLOOKUP(D4,Products!A:A,Products!E:E)</f>
        <v>980000</v>
      </c>
      <c r="I4" s="2">
        <f t="shared" si="0"/>
        <v>3750000</v>
      </c>
      <c r="J4" s="4">
        <f t="shared" si="1"/>
        <v>2940000</v>
      </c>
      <c r="K4" s="5">
        <f t="shared" si="2"/>
        <v>810000</v>
      </c>
      <c r="L4" s="4" t="str">
        <f>_xlfn.XLOOKUP(D4,Products!A:A,Products!B:B)</f>
        <v>SSD 1TB</v>
      </c>
      <c r="M4" s="4" t="str">
        <f>_xlfn.XLOOKUP(D4,Products!A:A,Products!C:C)</f>
        <v>Storage</v>
      </c>
      <c r="O4" s="17"/>
      <c r="P4" s="18"/>
      <c r="Q4" s="19"/>
    </row>
    <row r="5" spans="1:20" x14ac:dyDescent="0.3">
      <c r="O5" s="20" t="s">
        <v>59</v>
      </c>
      <c r="P5" s="13"/>
      <c r="Q5" s="15"/>
      <c r="S5" s="7" t="s">
        <v>60</v>
      </c>
      <c r="T5" t="s">
        <v>59</v>
      </c>
    </row>
    <row r="6" spans="1:20" x14ac:dyDescent="0.3">
      <c r="M6" s="10"/>
      <c r="N6" s="11"/>
      <c r="O6" s="21">
        <v>24500000</v>
      </c>
      <c r="P6" s="14"/>
      <c r="Q6" s="16"/>
      <c r="S6" s="8" t="s">
        <v>6</v>
      </c>
      <c r="T6" s="6">
        <v>17000000</v>
      </c>
    </row>
    <row r="7" spans="1:20" x14ac:dyDescent="0.3">
      <c r="M7" s="12"/>
      <c r="N7" s="11"/>
      <c r="S7" s="8" t="s">
        <v>12</v>
      </c>
      <c r="T7" s="6">
        <v>3750000</v>
      </c>
    </row>
    <row r="8" spans="1:20" x14ac:dyDescent="0.3">
      <c r="M8" s="12"/>
      <c r="N8" s="11"/>
      <c r="S8" s="8" t="s">
        <v>17</v>
      </c>
      <c r="T8" s="6">
        <v>3750000</v>
      </c>
    </row>
    <row r="9" spans="1:20" x14ac:dyDescent="0.3">
      <c r="S9" s="8" t="s">
        <v>61</v>
      </c>
      <c r="T9" s="6">
        <v>24500000</v>
      </c>
    </row>
    <row r="14" spans="1:20" x14ac:dyDescent="0.3">
      <c r="O14" s="7" t="s">
        <v>60</v>
      </c>
      <c r="P14" t="s">
        <v>59</v>
      </c>
      <c r="S14" s="7" t="s">
        <v>60</v>
      </c>
      <c r="T14" t="s">
        <v>62</v>
      </c>
    </row>
    <row r="15" spans="1:20" x14ac:dyDescent="0.3">
      <c r="O15" s="8" t="s">
        <v>22</v>
      </c>
      <c r="P15" s="6">
        <v>17000000</v>
      </c>
      <c r="S15" s="8" t="s">
        <v>6</v>
      </c>
      <c r="T15" s="9">
        <v>2600000</v>
      </c>
    </row>
    <row r="16" spans="1:20" x14ac:dyDescent="0.3">
      <c r="O16" s="8" t="s">
        <v>25</v>
      </c>
      <c r="P16" s="6">
        <v>3750000</v>
      </c>
      <c r="S16" s="8" t="s">
        <v>12</v>
      </c>
      <c r="T16" s="9">
        <v>1150000</v>
      </c>
    </row>
    <row r="17" spans="15:20" x14ac:dyDescent="0.3">
      <c r="O17" s="8" t="s">
        <v>28</v>
      </c>
      <c r="P17" s="6">
        <v>3750000</v>
      </c>
      <c r="S17" s="8" t="s">
        <v>17</v>
      </c>
      <c r="T17" s="9">
        <v>810000</v>
      </c>
    </row>
    <row r="18" spans="15:20" x14ac:dyDescent="0.3">
      <c r="O18" s="8" t="s">
        <v>61</v>
      </c>
      <c r="P18" s="6">
        <v>24500000</v>
      </c>
      <c r="S18" s="8" t="s">
        <v>61</v>
      </c>
      <c r="T18" s="9">
        <v>4560000</v>
      </c>
    </row>
    <row r="22" spans="15:20" x14ac:dyDescent="0.3">
      <c r="O22" s="7" t="s">
        <v>60</v>
      </c>
      <c r="P22" t="s">
        <v>63</v>
      </c>
    </row>
    <row r="23" spans="15:20" x14ac:dyDescent="0.3">
      <c r="O23" s="8" t="s">
        <v>5</v>
      </c>
      <c r="P23" s="6">
        <v>2</v>
      </c>
    </row>
    <row r="24" spans="15:20" x14ac:dyDescent="0.3">
      <c r="O24" s="8" t="s">
        <v>11</v>
      </c>
      <c r="P24" s="6">
        <v>5</v>
      </c>
    </row>
    <row r="25" spans="15:20" x14ac:dyDescent="0.3">
      <c r="O25" s="8" t="s">
        <v>16</v>
      </c>
      <c r="P25" s="6">
        <v>3</v>
      </c>
    </row>
    <row r="26" spans="15:20" x14ac:dyDescent="0.3">
      <c r="O26" s="8" t="s">
        <v>61</v>
      </c>
      <c r="P26" s="6">
        <v>10</v>
      </c>
    </row>
  </sheetData>
  <pageMargins left="0.7" right="0.7" top="0.75" bottom="0.75" header="0.3" footer="0.3"/>
  <drawing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4574-42C2-429B-BCF7-E2DAA91E14EC}">
  <dimension ref="A1:E6"/>
  <sheetViews>
    <sheetView workbookViewId="0">
      <selection activeCell="A2" sqref="A2:E2"/>
    </sheetView>
  </sheetViews>
  <sheetFormatPr defaultRowHeight="14.4" x14ac:dyDescent="0.3"/>
  <cols>
    <col min="1" max="1" width="11.77734375" customWidth="1"/>
    <col min="2" max="2" width="15" customWidth="1"/>
    <col min="3" max="3" width="10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8500000</v>
      </c>
      <c r="E2" s="2">
        <v>7200000</v>
      </c>
    </row>
    <row r="3" spans="1:5" ht="28.8" x14ac:dyDescent="0.3">
      <c r="A3" s="2" t="s">
        <v>8</v>
      </c>
      <c r="B3" s="2" t="s">
        <v>9</v>
      </c>
      <c r="C3" s="2" t="s">
        <v>10</v>
      </c>
      <c r="D3" s="2">
        <v>150000</v>
      </c>
      <c r="E3" s="2">
        <v>90000</v>
      </c>
    </row>
    <row r="4" spans="1:5" ht="43.2" x14ac:dyDescent="0.3">
      <c r="A4" s="2" t="s">
        <v>11</v>
      </c>
      <c r="B4" s="2" t="s">
        <v>12</v>
      </c>
      <c r="C4" s="2" t="s">
        <v>10</v>
      </c>
      <c r="D4" s="2">
        <v>750000</v>
      </c>
      <c r="E4" s="2">
        <v>520000</v>
      </c>
    </row>
    <row r="5" spans="1:5" ht="28.8" x14ac:dyDescent="0.3">
      <c r="A5" s="2" t="s">
        <v>13</v>
      </c>
      <c r="B5" s="2" t="s">
        <v>14</v>
      </c>
      <c r="C5" s="2" t="s">
        <v>15</v>
      </c>
      <c r="D5" s="2">
        <v>2100000</v>
      </c>
      <c r="E5" s="2">
        <v>1700000</v>
      </c>
    </row>
    <row r="6" spans="1:5" x14ac:dyDescent="0.3">
      <c r="A6" s="2" t="s">
        <v>16</v>
      </c>
      <c r="B6" s="2" t="s">
        <v>17</v>
      </c>
      <c r="C6" s="2" t="s">
        <v>18</v>
      </c>
      <c r="D6" s="2">
        <v>1250000</v>
      </c>
      <c r="E6" s="2">
        <v>980000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ED8-54CA-47E8-8D2F-DB201F6BF5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E376-B43E-4F67-93A8-D6070E75F112}">
  <dimension ref="A1:C6"/>
  <sheetViews>
    <sheetView workbookViewId="0">
      <selection activeCell="D12" sqref="D12"/>
    </sheetView>
  </sheetViews>
  <sheetFormatPr defaultRowHeight="14.4" x14ac:dyDescent="0.3"/>
  <cols>
    <col min="1" max="1" width="9.33203125" customWidth="1"/>
    <col min="2" max="2" width="12.88671875" customWidth="1"/>
  </cols>
  <sheetData>
    <row r="1" spans="1:3" ht="28.8" x14ac:dyDescent="0.3">
      <c r="A1" s="1" t="s">
        <v>19</v>
      </c>
      <c r="B1" s="1" t="s">
        <v>20</v>
      </c>
      <c r="C1" s="1" t="s">
        <v>21</v>
      </c>
    </row>
    <row r="2" spans="1:3" x14ac:dyDescent="0.3">
      <c r="A2" s="2" t="s">
        <v>22</v>
      </c>
      <c r="B2" s="2" t="s">
        <v>23</v>
      </c>
      <c r="C2" s="2" t="s">
        <v>24</v>
      </c>
    </row>
    <row r="3" spans="1:3" x14ac:dyDescent="0.3">
      <c r="A3" s="2" t="s">
        <v>25</v>
      </c>
      <c r="B3" s="2" t="s">
        <v>26</v>
      </c>
      <c r="C3" s="2" t="s">
        <v>27</v>
      </c>
    </row>
    <row r="4" spans="1:3" x14ac:dyDescent="0.3">
      <c r="A4" s="2" t="s">
        <v>28</v>
      </c>
      <c r="B4" s="2" t="s">
        <v>29</v>
      </c>
      <c r="C4" s="2" t="s">
        <v>30</v>
      </c>
    </row>
    <row r="5" spans="1:3" x14ac:dyDescent="0.3">
      <c r="A5" s="2" t="s">
        <v>31</v>
      </c>
      <c r="B5" s="2" t="s">
        <v>32</v>
      </c>
      <c r="C5" s="2" t="s">
        <v>33</v>
      </c>
    </row>
    <row r="6" spans="1:3" x14ac:dyDescent="0.3">
      <c r="A6" s="2" t="s">
        <v>34</v>
      </c>
      <c r="B6" s="2" t="s">
        <v>35</v>
      </c>
      <c r="C6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49FC-75DF-44D6-9E86-920FC9466C43}">
  <dimension ref="A1:C6"/>
  <sheetViews>
    <sheetView workbookViewId="0">
      <selection activeCell="F6" sqref="F6"/>
    </sheetView>
  </sheetViews>
  <sheetFormatPr defaultRowHeight="14.4" x14ac:dyDescent="0.3"/>
  <cols>
    <col min="1" max="1" width="13.21875" customWidth="1"/>
    <col min="2" max="2" width="16.44140625" customWidth="1"/>
  </cols>
  <sheetData>
    <row r="1" spans="1:3" ht="28.8" x14ac:dyDescent="0.3">
      <c r="A1" s="1" t="s">
        <v>37</v>
      </c>
      <c r="B1" s="1" t="s">
        <v>38</v>
      </c>
      <c r="C1" s="1" t="s">
        <v>39</v>
      </c>
    </row>
    <row r="2" spans="1:3" ht="28.8" x14ac:dyDescent="0.3">
      <c r="A2" s="2" t="s">
        <v>40</v>
      </c>
      <c r="B2" s="2" t="s">
        <v>41</v>
      </c>
      <c r="C2" s="2" t="s">
        <v>24</v>
      </c>
    </row>
    <row r="3" spans="1:3" ht="43.2" x14ac:dyDescent="0.3">
      <c r="A3" s="2" t="s">
        <v>42</v>
      </c>
      <c r="B3" s="2" t="s">
        <v>43</v>
      </c>
      <c r="C3" s="2" t="s">
        <v>27</v>
      </c>
    </row>
    <row r="4" spans="1:3" ht="28.8" x14ac:dyDescent="0.3">
      <c r="A4" s="2" t="s">
        <v>44</v>
      </c>
      <c r="B4" s="2" t="s">
        <v>45</v>
      </c>
      <c r="C4" s="2" t="s">
        <v>30</v>
      </c>
    </row>
    <row r="5" spans="1:3" x14ac:dyDescent="0.3">
      <c r="A5" s="2" t="s">
        <v>46</v>
      </c>
      <c r="B5" s="2" t="s">
        <v>47</v>
      </c>
      <c r="C5" s="2" t="s">
        <v>33</v>
      </c>
    </row>
    <row r="6" spans="1:3" ht="28.8" x14ac:dyDescent="0.3">
      <c r="A6" s="2" t="s">
        <v>48</v>
      </c>
      <c r="B6" s="2" t="s">
        <v>49</v>
      </c>
      <c r="C6" s="2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30C82C-6B9E-4519-BE90-17DA3ED68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Orders</vt:lpstr>
      <vt:lpstr>Products</vt:lpstr>
      <vt:lpstr>Dashboard</vt:lpstr>
      <vt:lpstr>SalesPerson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akhmal novanda</dc:creator>
  <cp:lastModifiedBy>akhmal novanda</cp:lastModifiedBy>
  <dcterms:created xsi:type="dcterms:W3CDTF">2015-06-05T18:17:20Z</dcterms:created>
  <dcterms:modified xsi:type="dcterms:W3CDTF">2026-07-25T08:43:12Z</dcterms:modified>
</cp:coreProperties>
</file>