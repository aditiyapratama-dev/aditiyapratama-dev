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hmal Novanda\Downloads\"/>
    </mc:Choice>
  </mc:AlternateContent>
  <xr:revisionPtr revIDLastSave="0" documentId="13_ncr:1_{52A828AE-C9CB-4CDA-AF6D-0232F0EC6C9D}" xr6:coauthVersionLast="47" xr6:coauthVersionMax="47" xr10:uidLastSave="{00000000-0000-0000-0000-000000000000}"/>
  <bookViews>
    <workbookView xWindow="-108" yWindow="-108" windowWidth="23256" windowHeight="13176" tabRatio="878" xr2:uid="{00000000-000D-0000-FFFF-FFFF00000000}"/>
  </bookViews>
  <sheets>
    <sheet name="Dashboard" sheetId="1" r:id="rId1"/>
    <sheet name="Inventory_Summary" sheetId="2" r:id="rId2"/>
    <sheet name="Master_Product" sheetId="3" r:id="rId3"/>
    <sheet name="Master_Category" sheetId="4" r:id="rId4"/>
    <sheet name="Master_Supplier" sheetId="5" r:id="rId5"/>
    <sheet name="Master_Customer" sheetId="6" r:id="rId6"/>
    <sheet name="Stock_In" sheetId="7" r:id="rId7"/>
    <sheet name="Stock_Out" sheetId="8" r:id="rId8"/>
    <sheet name="PivotData" sheetId="9" r:id="rId9"/>
  </sheets>
  <definedNames>
    <definedName name="_xlnm._FilterDatabase" localSheetId="2" hidden="1">Master_Product!$A$1:$H$17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2" i="7"/>
  <c r="D3" i="7"/>
  <c r="D4" i="7"/>
  <c r="D5" i="7"/>
  <c r="D6" i="7"/>
  <c r="D7" i="7"/>
  <c r="D8" i="7"/>
  <c r="D9" i="7"/>
  <c r="D10" i="7"/>
  <c r="D11" i="7"/>
  <c r="D2" i="7"/>
  <c r="E3" i="8"/>
  <c r="E4" i="8"/>
  <c r="E5" i="8"/>
  <c r="E6" i="8"/>
  <c r="E7" i="8"/>
  <c r="E8" i="8"/>
  <c r="E9" i="8"/>
  <c r="E10" i="8"/>
  <c r="E11" i="8"/>
  <c r="E2" i="8"/>
  <c r="D3" i="8"/>
  <c r="D4" i="8"/>
  <c r="D5" i="8"/>
  <c r="D6" i="8"/>
  <c r="D7" i="8"/>
  <c r="D8" i="8"/>
  <c r="D9" i="8"/>
  <c r="D10" i="8"/>
  <c r="D11" i="8"/>
  <c r="D2" i="8"/>
  <c r="B2" i="9"/>
  <c r="H11" i="8"/>
  <c r="H10" i="8"/>
  <c r="H9" i="8"/>
  <c r="H8" i="8"/>
  <c r="H7" i="8"/>
  <c r="H6" i="8"/>
  <c r="H5" i="8"/>
  <c r="H4" i="8"/>
  <c r="H3" i="8"/>
  <c r="H2" i="8"/>
  <c r="H11" i="7"/>
  <c r="H10" i="7"/>
  <c r="H9" i="7"/>
  <c r="H8" i="7"/>
  <c r="H7" i="7"/>
  <c r="H6" i="7"/>
  <c r="H5" i="7"/>
  <c r="H4" i="7"/>
  <c r="H3" i="7"/>
  <c r="H2" i="7"/>
  <c r="I17" i="2"/>
  <c r="E17" i="2"/>
  <c r="D17" i="2"/>
  <c r="C17" i="2"/>
  <c r="B17" i="2"/>
  <c r="A17" i="2"/>
  <c r="G17" i="2" s="1"/>
  <c r="I16" i="2"/>
  <c r="E16" i="2"/>
  <c r="D16" i="2"/>
  <c r="C16" i="2"/>
  <c r="B16" i="2"/>
  <c r="A16" i="2"/>
  <c r="F16" i="2" s="1"/>
  <c r="I15" i="2"/>
  <c r="E15" i="2"/>
  <c r="D15" i="2"/>
  <c r="C15" i="2"/>
  <c r="B15" i="2"/>
  <c r="A15" i="2"/>
  <c r="G15" i="2" s="1"/>
  <c r="I14" i="2"/>
  <c r="E14" i="2"/>
  <c r="D14" i="2"/>
  <c r="C14" i="2"/>
  <c r="B14" i="2"/>
  <c r="A14" i="2"/>
  <c r="F14" i="2" s="1"/>
  <c r="I13" i="2"/>
  <c r="E13" i="2"/>
  <c r="D13" i="2"/>
  <c r="C13" i="2"/>
  <c r="B13" i="2"/>
  <c r="A13" i="2"/>
  <c r="G13" i="2" s="1"/>
  <c r="I12" i="2"/>
  <c r="E12" i="2"/>
  <c r="D12" i="2"/>
  <c r="C12" i="2"/>
  <c r="B12" i="2"/>
  <c r="A12" i="2"/>
  <c r="G12" i="2" s="1"/>
  <c r="I11" i="2"/>
  <c r="E11" i="2"/>
  <c r="D11" i="2"/>
  <c r="C11" i="2"/>
  <c r="B11" i="2"/>
  <c r="A11" i="2"/>
  <c r="F11" i="2" s="1"/>
  <c r="I10" i="2"/>
  <c r="E10" i="2"/>
  <c r="D10" i="2"/>
  <c r="C10" i="2"/>
  <c r="B10" i="2"/>
  <c r="A10" i="2"/>
  <c r="G10" i="2" s="1"/>
  <c r="I9" i="2"/>
  <c r="E9" i="2"/>
  <c r="D9" i="2"/>
  <c r="C9" i="2"/>
  <c r="B9" i="2"/>
  <c r="A9" i="2"/>
  <c r="F9" i="2" s="1"/>
  <c r="I8" i="2"/>
  <c r="E8" i="2"/>
  <c r="D8" i="2"/>
  <c r="C8" i="2"/>
  <c r="B8" i="2"/>
  <c r="A8" i="2"/>
  <c r="G8" i="2" s="1"/>
  <c r="I7" i="2"/>
  <c r="E7" i="2"/>
  <c r="E14" i="1" s="1"/>
  <c r="D7" i="2"/>
  <c r="C7" i="2"/>
  <c r="C14" i="1" s="1"/>
  <c r="B7" i="2"/>
  <c r="B14" i="1" s="1"/>
  <c r="A7" i="2"/>
  <c r="G7" i="2" s="1"/>
  <c r="I6" i="2"/>
  <c r="E6" i="2"/>
  <c r="D6" i="2"/>
  <c r="C6" i="2"/>
  <c r="B6" i="2"/>
  <c r="A6" i="2"/>
  <c r="G6" i="2" s="1"/>
  <c r="I5" i="2"/>
  <c r="E5" i="2"/>
  <c r="E12" i="1" s="1"/>
  <c r="D5" i="2"/>
  <c r="C5" i="2"/>
  <c r="C12" i="1" s="1"/>
  <c r="B5" i="2"/>
  <c r="B12" i="1" s="1"/>
  <c r="A5" i="2"/>
  <c r="F5" i="2" s="1"/>
  <c r="I4" i="2"/>
  <c r="E4" i="2"/>
  <c r="D4" i="2"/>
  <c r="C4" i="2"/>
  <c r="B4" i="2"/>
  <c r="A4" i="2"/>
  <c r="G4" i="2" s="1"/>
  <c r="I3" i="2"/>
  <c r="E3" i="2"/>
  <c r="E10" i="1" s="1"/>
  <c r="D3" i="2"/>
  <c r="C3" i="2"/>
  <c r="C10" i="1" s="1"/>
  <c r="B3" i="2"/>
  <c r="B10" i="1" s="1"/>
  <c r="A3" i="2"/>
  <c r="A10" i="1" s="1"/>
  <c r="I2" i="2"/>
  <c r="E2" i="2"/>
  <c r="D2" i="2"/>
  <c r="C2" i="2"/>
  <c r="B2" i="2"/>
  <c r="A2" i="2"/>
  <c r="G2" i="2" s="1"/>
  <c r="E13" i="1"/>
  <c r="C13" i="1"/>
  <c r="B13" i="1"/>
  <c r="A13" i="1"/>
  <c r="E11" i="1"/>
  <c r="C11" i="1"/>
  <c r="B11" i="1"/>
  <c r="A11" i="1"/>
  <c r="E9" i="1"/>
  <c r="C9" i="1"/>
  <c r="B9" i="1"/>
  <c r="A9" i="1"/>
  <c r="A5" i="1"/>
  <c r="H16" i="2" l="1"/>
  <c r="F2" i="2"/>
  <c r="H2" i="2" s="1"/>
  <c r="F4" i="2"/>
  <c r="H4" i="2" s="1"/>
  <c r="F7" i="2"/>
  <c r="H7" i="2" s="1"/>
  <c r="F10" i="2"/>
  <c r="H10" i="2" s="1"/>
  <c r="F13" i="2"/>
  <c r="H13" i="2" s="1"/>
  <c r="F17" i="2"/>
  <c r="H17" i="2" s="1"/>
  <c r="A14" i="1"/>
  <c r="G3" i="2"/>
  <c r="G5" i="2"/>
  <c r="H5" i="2" s="1"/>
  <c r="G9" i="2"/>
  <c r="H9" i="2" s="1"/>
  <c r="G11" i="2"/>
  <c r="H11" i="2" s="1"/>
  <c r="G14" i="2"/>
  <c r="H14" i="2" s="1"/>
  <c r="B6" i="9"/>
  <c r="F3" i="2"/>
  <c r="H3" i="2" s="1"/>
  <c r="F6" i="2"/>
  <c r="H6" i="2" s="1"/>
  <c r="F8" i="2"/>
  <c r="H8" i="2" s="1"/>
  <c r="F15" i="2"/>
  <c r="H15" i="2" s="1"/>
  <c r="A12" i="1"/>
  <c r="G16" i="2"/>
  <c r="B5" i="9"/>
  <c r="B7" i="9"/>
  <c r="B3" i="9"/>
  <c r="B4" i="9"/>
  <c r="F12" i="2"/>
  <c r="H12" i="2" s="1"/>
  <c r="L11" i="2" l="1"/>
  <c r="K11" i="2"/>
  <c r="J11" i="2"/>
  <c r="L9" i="2"/>
  <c r="K9" i="2"/>
  <c r="J9" i="2"/>
  <c r="L5" i="2"/>
  <c r="K5" i="2"/>
  <c r="F12" i="1" s="1"/>
  <c r="J5" i="2"/>
  <c r="D12" i="1"/>
  <c r="L14" i="2"/>
  <c r="K14" i="2"/>
  <c r="J14" i="2"/>
  <c r="L6" i="2"/>
  <c r="K6" i="2"/>
  <c r="F13" i="1" s="1"/>
  <c r="J6" i="2"/>
  <c r="D13" i="1"/>
  <c r="L13" i="2"/>
  <c r="K13" i="2"/>
  <c r="J13" i="2"/>
  <c r="C6" i="9" s="1"/>
  <c r="L3" i="2"/>
  <c r="K3" i="2"/>
  <c r="F10" i="1" s="1"/>
  <c r="J3" i="2"/>
  <c r="D10" i="1"/>
  <c r="L10" i="2"/>
  <c r="K10" i="2"/>
  <c r="J10" i="2"/>
  <c r="L12" i="2"/>
  <c r="K12" i="2"/>
  <c r="J12" i="2"/>
  <c r="L7" i="2"/>
  <c r="K7" i="2"/>
  <c r="F14" i="1" s="1"/>
  <c r="J7" i="2"/>
  <c r="C4" i="9" s="1"/>
  <c r="D14" i="1"/>
  <c r="L4" i="2"/>
  <c r="K4" i="2"/>
  <c r="F11" i="1" s="1"/>
  <c r="D11" i="1"/>
  <c r="J4" i="2"/>
  <c r="L2" i="2"/>
  <c r="D9" i="1"/>
  <c r="K2" i="2"/>
  <c r="J2" i="2"/>
  <c r="L16" i="2"/>
  <c r="K16" i="2"/>
  <c r="J16" i="2"/>
  <c r="L15" i="2"/>
  <c r="K15" i="2"/>
  <c r="J15" i="2"/>
  <c r="C7" i="9" s="1"/>
  <c r="L8" i="2"/>
  <c r="K8" i="2"/>
  <c r="J8" i="2"/>
  <c r="L17" i="2"/>
  <c r="K17" i="2"/>
  <c r="J17" i="2"/>
  <c r="D5" i="1" l="1"/>
  <c r="C2" i="9"/>
  <c r="G5" i="1"/>
  <c r="F9" i="1"/>
  <c r="C5" i="9"/>
  <c r="C3" i="9"/>
</calcChain>
</file>

<file path=xl/sharedStrings.xml><?xml version="1.0" encoding="utf-8"?>
<sst xmlns="http://schemas.openxmlformats.org/spreadsheetml/2006/main" count="328" uniqueCount="194">
  <si>
    <t>CAFE INVENTORY MANAGEMENT DASHBOARD</t>
  </si>
  <si>
    <t>Sistem Monitoring Stok Real-time, Nilai Inventaris, dan Peringatan Restock Otomatis</t>
  </si>
  <si>
    <t>TOTAL PRODUCT SKUs</t>
  </si>
  <si>
    <t>TOTAL INVENTORY VALUE</t>
  </si>
  <si>
    <t>ITEMS TO RESTOCK</t>
  </si>
  <si>
    <t>CRITICAL LOW STOCK ALERT (PERLU RESTOCK)</t>
  </si>
  <si>
    <t>Product ID</t>
  </si>
  <si>
    <t>Product Name</t>
  </si>
  <si>
    <t>Category</t>
  </si>
  <si>
    <t>Current Stock</t>
  </si>
  <si>
    <t>Min Stock</t>
  </si>
  <si>
    <t>Status</t>
  </si>
  <si>
    <t>Unit</t>
  </si>
  <si>
    <t>Total Stock In</t>
  </si>
  <si>
    <t>Total Stock Out</t>
  </si>
  <si>
    <t>Unit Cost (Rp)</t>
  </si>
  <si>
    <t>Total Value (Rp)</t>
  </si>
  <si>
    <t>Stock Status</t>
  </si>
  <si>
    <t>Reorder Qty Target</t>
  </si>
  <si>
    <t>Selling Price (Rp)</t>
  </si>
  <si>
    <t>Min Stock Level</t>
  </si>
  <si>
    <t>Supplier ID</t>
  </si>
  <si>
    <t>PRD-001</t>
  </si>
  <si>
    <t>Espresso Blend House 1kg</t>
  </si>
  <si>
    <t>Coffee Beans</t>
  </si>
  <si>
    <t>Kg</t>
  </si>
  <si>
    <t>SUP-001</t>
  </si>
  <si>
    <t>PRD-002</t>
  </si>
  <si>
    <t>Arabica Single Origin Aceh 1kg</t>
  </si>
  <si>
    <t>PRD-003</t>
  </si>
  <si>
    <t>Susu UHT Full Cream 1L</t>
  </si>
  <si>
    <t>Dairy &amp; Fresh</t>
  </si>
  <si>
    <t>Liter</t>
  </si>
  <si>
    <t>SUP-002</t>
  </si>
  <si>
    <t>PRD-004</t>
  </si>
  <si>
    <t>Fresh Milk Pasteurisasi 1L</t>
  </si>
  <si>
    <t>PRD-005</t>
  </si>
  <si>
    <t>Whipped Cream Spray 500g</t>
  </si>
  <si>
    <t>Can</t>
  </si>
  <si>
    <t>PRD-006</t>
  </si>
  <si>
    <t>Sirup Vanilla 760ml</t>
  </si>
  <si>
    <t>Syrups &amp; Flavors</t>
  </si>
  <si>
    <t>Botol</t>
  </si>
  <si>
    <t>SUP-003</t>
  </si>
  <si>
    <t>PRD-007</t>
  </si>
  <si>
    <t>Sirup Hazelnut 760ml</t>
  </si>
  <si>
    <t>PRD-008</t>
  </si>
  <si>
    <t>Sirup Caramel 760ml</t>
  </si>
  <si>
    <t>PRD-009</t>
  </si>
  <si>
    <t>Matcha Powder Premium 1kg</t>
  </si>
  <si>
    <t>Beverage Base</t>
  </si>
  <si>
    <t>PRD-010</t>
  </si>
  <si>
    <t>Chocolate Powder Pure 1kg</t>
  </si>
  <si>
    <t>PRD-011</t>
  </si>
  <si>
    <t>Teh Earl Grey Loose 500g</t>
  </si>
  <si>
    <t>Pack</t>
  </si>
  <si>
    <t>PRD-012</t>
  </si>
  <si>
    <t>Butter Croissant (Frozen)</t>
  </si>
  <si>
    <t>Bakery &amp; Pastry</t>
  </si>
  <si>
    <t>Pcs</t>
  </si>
  <si>
    <t>SUP-005</t>
  </si>
  <si>
    <t>PRD-013</t>
  </si>
  <si>
    <t>Pain Au Chocolat (Frozen)</t>
  </si>
  <si>
    <t>PRD-014</t>
  </si>
  <si>
    <t>Paper Cup Hot 8oz + Lid</t>
  </si>
  <si>
    <t>Packaging</t>
  </si>
  <si>
    <t>SUP-004</t>
  </si>
  <si>
    <t>PRD-015</t>
  </si>
  <si>
    <t>Plastic Cup Cold 16oz + Lid</t>
  </si>
  <si>
    <t>PRD-016</t>
  </si>
  <si>
    <t>Paper Straw Bio 100s</t>
  </si>
  <si>
    <t>Category ID</t>
  </si>
  <si>
    <t>Category Name</t>
  </si>
  <si>
    <t>Description</t>
  </si>
  <si>
    <t>CAT-001</t>
  </si>
  <si>
    <t>Biji kopi espresso blend dan single origin</t>
  </si>
  <si>
    <t>CAT-002</t>
  </si>
  <si>
    <t>Susu segar, UHT, whipped cream, dan mentega</t>
  </si>
  <si>
    <t>CAT-003</t>
  </si>
  <si>
    <t>Sirup rasa, saus karamel, rasa buah</t>
  </si>
  <si>
    <t>CAT-004</t>
  </si>
  <si>
    <t>Bubuk matcha, cokelat, taro, dan teh</t>
  </si>
  <si>
    <t>CAT-005</t>
  </si>
  <si>
    <t>Croissant, muffin, dan cake mentah/jadi</t>
  </si>
  <si>
    <t>CAT-006</t>
  </si>
  <si>
    <t>Paper cup, plastic cup, sedotan, lid, &amp; take away bag</t>
  </si>
  <si>
    <t>Supplier Name</t>
  </si>
  <si>
    <t>Contact Person</t>
  </si>
  <si>
    <t>Phone</t>
  </si>
  <si>
    <t>Email</t>
  </si>
  <si>
    <t>City</t>
  </si>
  <si>
    <t>PT Kopi Nusantara Jaya</t>
  </si>
  <si>
    <t>Budi Santoso</t>
  </si>
  <si>
    <t>081122334455</t>
  </si>
  <si>
    <t>budi@kopinusantara.co.id</t>
  </si>
  <si>
    <t>Bandung</t>
  </si>
  <si>
    <t>CV Susu Segar Utama</t>
  </si>
  <si>
    <t>Siti Rahma</t>
  </si>
  <si>
    <t>081299887766</t>
  </si>
  <si>
    <t>sales@sususegar.com</t>
  </si>
  <si>
    <t>Bogor</t>
  </si>
  <si>
    <t>PT Flavor Gourmet Indonesia</t>
  </si>
  <si>
    <t>Rian Hidayat</t>
  </si>
  <si>
    <t>081377665544</t>
  </si>
  <si>
    <t>order@flavorgourmet.id</t>
  </si>
  <si>
    <t>Jakarta</t>
  </si>
  <si>
    <t>PT Kemasan Mandiri Pack</t>
  </si>
  <si>
    <t>Dewi Lestari</t>
  </si>
  <si>
    <t>081511223344</t>
  </si>
  <si>
    <t>info@kemasanmandiri.com</t>
  </si>
  <si>
    <t>Tangerang</t>
  </si>
  <si>
    <t>CV Pastry Lezat Bakes</t>
  </si>
  <si>
    <t>Chef Andi</t>
  </si>
  <si>
    <t>081844332211</t>
  </si>
  <si>
    <t>andi@pastrylezat.com</t>
  </si>
  <si>
    <t>Depok</t>
  </si>
  <si>
    <t>Customer ID</t>
  </si>
  <si>
    <t>Customer Name</t>
  </si>
  <si>
    <t>Customer Type</t>
  </si>
  <si>
    <t>Notes</t>
  </si>
  <si>
    <t>CUST-001</t>
  </si>
  <si>
    <t>Walk-in Retail Customer</t>
  </si>
  <si>
    <t>Direct Sale</t>
  </si>
  <si>
    <t>-</t>
  </si>
  <si>
    <t>Penjualan harian kasir toko</t>
  </si>
  <si>
    <t>CUST-002</t>
  </si>
  <si>
    <t>GoFood / GrabFood / ShopeeFood</t>
  </si>
  <si>
    <t>Online Delivery</t>
  </si>
  <si>
    <t>Penjualan via platform online</t>
  </si>
  <si>
    <t>CUST-003</t>
  </si>
  <si>
    <t>Office Catering - PT Teknologi Maju</t>
  </si>
  <si>
    <t>B2B Corporate</t>
  </si>
  <si>
    <t>081900112233</t>
  </si>
  <si>
    <t>Pesanan rutin bulanan event kantor</t>
  </si>
  <si>
    <t>CUST-004</t>
  </si>
  <si>
    <t>Event Organizer Wedding Ceria</t>
  </si>
  <si>
    <t>B2B Event</t>
  </si>
  <si>
    <t>081766554433</t>
  </si>
  <si>
    <t>Pesanan booth coffee bar event</t>
  </si>
  <si>
    <t>CUST-005</t>
  </si>
  <si>
    <t>Reseller Pastry &amp; Botolan</t>
  </si>
  <si>
    <t>Wholesale</t>
  </si>
  <si>
    <t>081233445566</t>
  </si>
  <si>
    <t>Pengambilan mingguan botol kopi &amp; croissant</t>
  </si>
  <si>
    <t>Txn ID</t>
  </si>
  <si>
    <t>Date</t>
  </si>
  <si>
    <t>Qty In</t>
  </si>
  <si>
    <t>Total Cost (Rp)</t>
  </si>
  <si>
    <t>IN-2026-001</t>
  </si>
  <si>
    <t>2026-08-01</t>
  </si>
  <si>
    <t>Restock awal bulan</t>
  </si>
  <si>
    <t>IN-2026-002</t>
  </si>
  <si>
    <t>Pengiriman mingguan</t>
  </si>
  <si>
    <t>IN-2026-003</t>
  </si>
  <si>
    <t>Stok bulanan sirup</t>
  </si>
  <si>
    <t>IN-2026-004</t>
  </si>
  <si>
    <t>2026-08-02</t>
  </si>
  <si>
    <t>Pengadaan cup hot</t>
  </si>
  <si>
    <t>IN-2026-005</t>
  </si>
  <si>
    <t>Pengadaan cup cold</t>
  </si>
  <si>
    <t>IN-2026-006</t>
  </si>
  <si>
    <t>2026-08-03</t>
  </si>
  <si>
    <t>Stock pastry frozen</t>
  </si>
  <si>
    <t>IN-2026-007</t>
  </si>
  <si>
    <t>IN-2026-008</t>
  </si>
  <si>
    <t>2026-08-04</t>
  </si>
  <si>
    <t>Susu segar batch 2</t>
  </si>
  <si>
    <t>IN-2026-009</t>
  </si>
  <si>
    <t>2026-08-05</t>
  </si>
  <si>
    <t>Powder matcha extra</t>
  </si>
  <si>
    <t>IN-2026-010</t>
  </si>
  <si>
    <t>Powder cokelat</t>
  </si>
  <si>
    <t>Qty Out</t>
  </si>
  <si>
    <t>Unit Price (Rp)</t>
  </si>
  <si>
    <t>Total Amount (Rp)</t>
  </si>
  <si>
    <t>OUT-2026-001</t>
  </si>
  <si>
    <t>Pemakaian bar harian</t>
  </si>
  <si>
    <t>OUT-2026-002</t>
  </si>
  <si>
    <t>OUT-2026-003</t>
  </si>
  <si>
    <t>Terjual ke pelanggan</t>
  </si>
  <si>
    <t>OUT-2026-004</t>
  </si>
  <si>
    <t>Terjual online order</t>
  </si>
  <si>
    <t>OUT-2026-005</t>
  </si>
  <si>
    <t>Baking harian</t>
  </si>
  <si>
    <t>OUT-2026-006</t>
  </si>
  <si>
    <t>OUT-2026-007</t>
  </si>
  <si>
    <t>Event catering kantor</t>
  </si>
  <si>
    <t>OUT-2026-008</t>
  </si>
  <si>
    <t>OUT-2026-009</t>
  </si>
  <si>
    <t>Pemakaian sirup bar</t>
  </si>
  <si>
    <t>OUT-2026-010</t>
  </si>
  <si>
    <t>Pemakaian susu segar</t>
  </si>
  <si>
    <t>Total Items</t>
  </si>
  <si>
    <t>Total Stock Value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</si>
</sst>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4A5568"/>
      <name val="Calibri"/>
    </font>
    <font>
      <b/>
      <sz val="9"/>
      <color rgb="FF4A5568"/>
      <name val="Calibri"/>
    </font>
    <font>
      <b/>
      <sz val="18"/>
      <color rgb="FF1B365D"/>
      <name val="Calibri"/>
    </font>
    <font>
      <b/>
      <sz val="18"/>
      <color rgb="FFC53030"/>
      <name val="Calibri"/>
    </font>
    <font>
      <b/>
      <sz val="12"/>
      <color rgb="FF9B2C2C"/>
      <name val="Calibri"/>
    </font>
    <font>
      <b/>
      <sz val="11"/>
      <color rgb="FFFFFFFF"/>
      <name val="Calibri"/>
    </font>
    <font>
      <sz val="11"/>
      <color rgb="FF1A202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DF2F7"/>
        <bgColor rgb="FFEDF2F7"/>
      </patternFill>
    </fill>
    <fill>
      <patternFill patternType="solid">
        <fgColor rgb="FF9B2C2C"/>
        <bgColor rgb="FF9B2C2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 vertical="center" indent="1"/>
    </xf>
    <xf numFmtId="0" fontId="0" fillId="0" borderId="0" xfId="0"/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Nilai Inventaris Per Kategori (Rp)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PivotData!$C$1</c:f>
              <c:strCache>
                <c:ptCount val="1"/>
                <c:pt idx="0">
                  <c:v>Total Stock Value (Rp)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PivotData!$A$2:$A$7</c:f>
              <c:strCache>
                <c:ptCount val="6"/>
                <c:pt idx="0">
                  <c:v>Coffee Beans</c:v>
                </c:pt>
                <c:pt idx="1">
                  <c:v>Dairy &amp; Fresh</c:v>
                </c:pt>
                <c:pt idx="2">
                  <c:v>Syrups &amp; Flavors</c:v>
                </c:pt>
                <c:pt idx="3">
                  <c:v>Beverage Base</c:v>
                </c:pt>
                <c:pt idx="4">
                  <c:v>Bakery &amp; Pastry</c:v>
                </c:pt>
                <c:pt idx="5">
                  <c:v>Packaging</c:v>
                </c:pt>
              </c:strCache>
            </c:strRef>
          </c:cat>
          <c:val>
            <c:numRef>
              <c:f>PivotData!$C$2:$C$7</c:f>
              <c:numCache>
                <c:formatCode>"Rp "#,##0</c:formatCode>
                <c:ptCount val="6"/>
                <c:pt idx="0">
                  <c:v>740000</c:v>
                </c:pt>
                <c:pt idx="1">
                  <c:v>541500</c:v>
                </c:pt>
                <c:pt idx="2">
                  <c:v>270000</c:v>
                </c:pt>
                <c:pt idx="3">
                  <c:v>2680000</c:v>
                </c:pt>
                <c:pt idx="4">
                  <c:v>1360000</c:v>
                </c:pt>
                <c:pt idx="5">
                  <c:v>1847500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0-488C-A382-ACF33F201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Kategori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Total Nilai (Rp)</a:t>
                </a:r>
              </a:p>
            </c:rich>
          </c:tx>
          <c:overlay val="0"/>
        </c:title>
        <c:numFmt formatCode="&quot;Rp 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15</xdr:row>
      <xdr:rowOff>45720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tabSelected="1" topLeftCell="A36" workbookViewId="0">
      <selection activeCell="F19" sqref="F19"/>
    </sheetView>
  </sheetViews>
  <sheetFormatPr defaultColWidth="0" defaultRowHeight="14.4" x14ac:dyDescent="0.3"/>
  <cols>
    <col min="1" max="1" width="16" customWidth="1"/>
    <col min="2" max="2" width="32" customWidth="1"/>
    <col min="3" max="3" width="22" customWidth="1"/>
    <col min="4" max="6" width="16" customWidth="1"/>
    <col min="7" max="8" width="18" customWidth="1"/>
    <col min="9" max="9" width="12" customWidth="1"/>
    <col min="10" max="10" width="1.33203125" customWidth="1"/>
    <col min="11" max="16384" width="8.88671875" hidden="1"/>
  </cols>
  <sheetData>
    <row r="1" spans="1:9" ht="40.049999999999997" customHeight="1" x14ac:dyDescent="0.3">
      <c r="A1" s="15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9.95" customHeigh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</row>
    <row r="4" spans="1:9" x14ac:dyDescent="0.3">
      <c r="A4" s="9" t="s">
        <v>2</v>
      </c>
      <c r="B4" s="10"/>
      <c r="D4" s="9" t="s">
        <v>3</v>
      </c>
      <c r="E4" s="10"/>
      <c r="G4" s="9" t="s">
        <v>4</v>
      </c>
      <c r="H4" s="10"/>
    </row>
    <row r="5" spans="1:9" ht="23.4" x14ac:dyDescent="0.3">
      <c r="A5" s="14">
        <f>COUNTA(Master_Product!A2:A100)</f>
        <v>16</v>
      </c>
      <c r="B5" s="10"/>
      <c r="D5" s="13">
        <f>SUM(Inventory_Summary!J2:J100)</f>
        <v>7439000</v>
      </c>
      <c r="E5" s="10"/>
      <c r="G5" s="16">
        <f>COUNTIF(Inventory_Summary!K2:K100, "RESTOCK NOW")</f>
        <v>10</v>
      </c>
      <c r="H5" s="10"/>
    </row>
    <row r="7" spans="1:9" ht="15.6" x14ac:dyDescent="0.3">
      <c r="A7" s="1" t="s">
        <v>5</v>
      </c>
    </row>
    <row r="8" spans="1:9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9" x14ac:dyDescent="0.3">
      <c r="A9" s="3" t="str">
        <f>Inventory_Summary!A2</f>
        <v>PRD-001</v>
      </c>
      <c r="B9" s="4" t="str">
        <f>Inventory_Summary!B2</f>
        <v>Espresso Blend House 1kg</v>
      </c>
      <c r="C9" s="4" t="str">
        <f>Inventory_Summary!C2</f>
        <v>Coffee Beans</v>
      </c>
      <c r="D9" s="3">
        <f>Inventory_Summary!H2</f>
        <v>4</v>
      </c>
      <c r="E9" s="3">
        <f>Inventory_Summary!E2</f>
        <v>5</v>
      </c>
      <c r="F9" s="3" t="str">
        <f>Inventory_Summary!K2</f>
        <v>RESTOCK NOW</v>
      </c>
    </row>
    <row r="10" spans="1:9" x14ac:dyDescent="0.3">
      <c r="A10" s="3" t="str">
        <f>Inventory_Summary!A3</f>
        <v>PRD-002</v>
      </c>
      <c r="B10" s="4" t="str">
        <f>Inventory_Summary!B3</f>
        <v>Arabica Single Origin Aceh 1kg</v>
      </c>
      <c r="C10" s="4" t="str">
        <f>Inventory_Summary!C3</f>
        <v>Coffee Beans</v>
      </c>
      <c r="D10" s="3">
        <f>Inventory_Summary!H3</f>
        <v>0</v>
      </c>
      <c r="E10" s="3">
        <f>Inventory_Summary!E3</f>
        <v>3</v>
      </c>
      <c r="F10" s="3" t="str">
        <f>Inventory_Summary!K3</f>
        <v>RESTOCK NOW</v>
      </c>
    </row>
    <row r="11" spans="1:9" x14ac:dyDescent="0.3">
      <c r="A11" s="3" t="str">
        <f>Inventory_Summary!A4</f>
        <v>PRD-003</v>
      </c>
      <c r="B11" s="4" t="str">
        <f>Inventory_Summary!B4</f>
        <v>Susu UHT Full Cream 1L</v>
      </c>
      <c r="C11" s="4" t="str">
        <f>Inventory_Summary!C4</f>
        <v>Dairy &amp; Fresh</v>
      </c>
      <c r="D11" s="3">
        <f>Inventory_Summary!H4</f>
        <v>15</v>
      </c>
      <c r="E11" s="3">
        <f>Inventory_Summary!E4</f>
        <v>24</v>
      </c>
      <c r="F11" s="3" t="str">
        <f>Inventory_Summary!K4</f>
        <v>RESTOCK NOW</v>
      </c>
    </row>
    <row r="12" spans="1:9" x14ac:dyDescent="0.3">
      <c r="A12" s="3" t="str">
        <f>Inventory_Summary!A5</f>
        <v>PRD-004</v>
      </c>
      <c r="B12" s="4" t="str">
        <f>Inventory_Summary!B5</f>
        <v>Fresh Milk Pasteurisasi 1L</v>
      </c>
      <c r="C12" s="4" t="str">
        <f>Inventory_Summary!C5</f>
        <v>Dairy &amp; Fresh</v>
      </c>
      <c r="D12" s="3">
        <f>Inventory_Summary!H5</f>
        <v>12</v>
      </c>
      <c r="E12" s="3">
        <f>Inventory_Summary!E5</f>
        <v>15</v>
      </c>
      <c r="F12" s="3" t="str">
        <f>Inventory_Summary!K5</f>
        <v>RESTOCK NOW</v>
      </c>
    </row>
    <row r="13" spans="1:9" x14ac:dyDescent="0.3">
      <c r="A13" s="3" t="str">
        <f>Inventory_Summary!A6</f>
        <v>PRD-005</v>
      </c>
      <c r="B13" s="4" t="str">
        <f>Inventory_Summary!B6</f>
        <v>Whipped Cream Spray 500g</v>
      </c>
      <c r="C13" s="4" t="str">
        <f>Inventory_Summary!C6</f>
        <v>Dairy &amp; Fresh</v>
      </c>
      <c r="D13" s="3">
        <f>Inventory_Summary!H6</f>
        <v>0</v>
      </c>
      <c r="E13" s="3">
        <f>Inventory_Summary!E6</f>
        <v>4</v>
      </c>
      <c r="F13" s="3" t="str">
        <f>Inventory_Summary!K6</f>
        <v>RESTOCK NOW</v>
      </c>
    </row>
    <row r="14" spans="1:9" x14ac:dyDescent="0.3">
      <c r="A14" s="3" t="str">
        <f>Inventory_Summary!A7</f>
        <v>PRD-006</v>
      </c>
      <c r="B14" s="4" t="str">
        <f>Inventory_Summary!B7</f>
        <v>Sirup Vanilla 760ml</v>
      </c>
      <c r="C14" s="4" t="str">
        <f>Inventory_Summary!C7</f>
        <v>Syrups &amp; Flavors</v>
      </c>
      <c r="D14" s="3">
        <f>Inventory_Summary!H7</f>
        <v>2</v>
      </c>
      <c r="E14" s="3">
        <f>Inventory_Summary!E7</f>
        <v>3</v>
      </c>
      <c r="F14" s="3" t="str">
        <f>Inventory_Summary!K7</f>
        <v>RESTOCK NOW</v>
      </c>
    </row>
  </sheetData>
  <mergeCells count="8">
    <mergeCell ref="A1:I1"/>
    <mergeCell ref="G5:H5"/>
    <mergeCell ref="D4:E4"/>
    <mergeCell ref="A4:B4"/>
    <mergeCell ref="G4:H4"/>
    <mergeCell ref="A2:I2"/>
    <mergeCell ref="D5:E5"/>
    <mergeCell ref="A5:B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ySplit="1" topLeftCell="A2" activePane="bottomLeft" state="frozen"/>
      <selection pane="bottomLeft" activeCell="A30" sqref="A30"/>
    </sheetView>
  </sheetViews>
  <sheetFormatPr defaultRowHeight="14.4" x14ac:dyDescent="0.3"/>
  <cols>
    <col min="1" max="5" width="23" customWidth="1"/>
    <col min="6" max="6" width="43" customWidth="1"/>
    <col min="7" max="7" width="45" customWidth="1"/>
    <col min="8" max="8" width="17" customWidth="1"/>
    <col min="9" max="9" width="38" customWidth="1"/>
    <col min="10" max="10" width="27" customWidth="1"/>
    <col min="11" max="11" width="40" customWidth="1"/>
    <col min="12" max="12" width="33" customWidth="1"/>
  </cols>
  <sheetData>
    <row r="1" spans="1:12" x14ac:dyDescent="0.3">
      <c r="A1" s="5" t="s">
        <v>6</v>
      </c>
      <c r="B1" s="5" t="s">
        <v>7</v>
      </c>
      <c r="C1" s="5" t="s">
        <v>8</v>
      </c>
      <c r="D1" s="5" t="s">
        <v>12</v>
      </c>
      <c r="E1" s="5" t="s">
        <v>10</v>
      </c>
      <c r="F1" s="5" t="s">
        <v>13</v>
      </c>
      <c r="G1" s="5" t="s">
        <v>14</v>
      </c>
      <c r="H1" s="5" t="s">
        <v>9</v>
      </c>
      <c r="I1" s="5" t="s">
        <v>15</v>
      </c>
      <c r="J1" s="5" t="s">
        <v>16</v>
      </c>
      <c r="K1" s="5" t="s">
        <v>17</v>
      </c>
      <c r="L1" s="5" t="s">
        <v>18</v>
      </c>
    </row>
    <row r="2" spans="1:12" x14ac:dyDescent="0.3">
      <c r="A2" s="6" t="str">
        <f>Master_Product!A2</f>
        <v>PRD-001</v>
      </c>
      <c r="B2" s="7" t="str">
        <f>Master_Product!B2</f>
        <v>Espresso Blend House 1kg</v>
      </c>
      <c r="C2" s="7" t="str">
        <f>Master_Product!C2</f>
        <v>Coffee Beans</v>
      </c>
      <c r="D2" s="6" t="str">
        <f>Master_Product!D2</f>
        <v>Kg</v>
      </c>
      <c r="E2" s="6">
        <f>Master_Product!G2</f>
        <v>5</v>
      </c>
      <c r="F2" s="6">
        <f>SUMIF(Stock_In!C:C, A2, Stock_In!F:F)</f>
        <v>20</v>
      </c>
      <c r="G2" s="6">
        <f>SUMIF(Stock_Out!C:C, A2, Stock_Out!F:F)</f>
        <v>16</v>
      </c>
      <c r="H2" s="6">
        <f t="shared" ref="H2:H17" si="0">F2-G2</f>
        <v>4</v>
      </c>
      <c r="I2" s="8">
        <f>Master_Product!E2</f>
        <v>185000</v>
      </c>
      <c r="J2" s="8">
        <f t="shared" ref="J2:J17" si="1">H2*I2</f>
        <v>740000</v>
      </c>
      <c r="K2" s="6" t="str">
        <f t="shared" ref="K2:K17" si="2">IF(H2&lt;=E2, "RESTOCK NOW", "SAFE")</f>
        <v>RESTOCK NOW</v>
      </c>
      <c r="L2" s="6">
        <f t="shared" ref="L2:L17" si="3">IF(H2&lt;=E2, (E2*2)-H2, 0)</f>
        <v>6</v>
      </c>
    </row>
    <row r="3" spans="1:12" x14ac:dyDescent="0.3">
      <c r="A3" s="6" t="str">
        <f>Master_Product!A3</f>
        <v>PRD-002</v>
      </c>
      <c r="B3" s="7" t="str">
        <f>Master_Product!B3</f>
        <v>Arabica Single Origin Aceh 1kg</v>
      </c>
      <c r="C3" s="7" t="str">
        <f>Master_Product!C3</f>
        <v>Coffee Beans</v>
      </c>
      <c r="D3" s="6" t="str">
        <f>Master_Product!D3</f>
        <v>Kg</v>
      </c>
      <c r="E3" s="6">
        <f>Master_Product!G3</f>
        <v>3</v>
      </c>
      <c r="F3" s="6">
        <f>SUMIF(Stock_In!C:C, A3, Stock_In!F:F)</f>
        <v>0</v>
      </c>
      <c r="G3" s="6">
        <f>SUMIF(Stock_Out!C:C, A3, Stock_Out!F:F)</f>
        <v>0</v>
      </c>
      <c r="H3" s="6">
        <f t="shared" si="0"/>
        <v>0</v>
      </c>
      <c r="I3" s="8">
        <f>Master_Product!E3</f>
        <v>220000</v>
      </c>
      <c r="J3" s="8">
        <f t="shared" si="1"/>
        <v>0</v>
      </c>
      <c r="K3" s="6" t="str">
        <f t="shared" si="2"/>
        <v>RESTOCK NOW</v>
      </c>
      <c r="L3" s="6">
        <f t="shared" si="3"/>
        <v>6</v>
      </c>
    </row>
    <row r="4" spans="1:12" x14ac:dyDescent="0.3">
      <c r="A4" s="6" t="str">
        <f>Master_Product!A4</f>
        <v>PRD-003</v>
      </c>
      <c r="B4" s="7" t="str">
        <f>Master_Product!B4</f>
        <v>Susu UHT Full Cream 1L</v>
      </c>
      <c r="C4" s="7" t="str">
        <f>Master_Product!C4</f>
        <v>Dairy &amp; Fresh</v>
      </c>
      <c r="D4" s="6" t="str">
        <f>Master_Product!D4</f>
        <v>Liter</v>
      </c>
      <c r="E4" s="6">
        <f>Master_Product!G4</f>
        <v>24</v>
      </c>
      <c r="F4" s="6">
        <f>SUMIF(Stock_In!C:C, A4, Stock_In!F:F)</f>
        <v>100</v>
      </c>
      <c r="G4" s="6">
        <f>SUMIF(Stock_Out!C:C, A4, Stock_Out!F:F)</f>
        <v>85</v>
      </c>
      <c r="H4" s="6">
        <f t="shared" si="0"/>
        <v>15</v>
      </c>
      <c r="I4" s="8">
        <f>Master_Product!E4</f>
        <v>18500</v>
      </c>
      <c r="J4" s="8">
        <f t="shared" si="1"/>
        <v>277500</v>
      </c>
      <c r="K4" s="6" t="str">
        <f t="shared" si="2"/>
        <v>RESTOCK NOW</v>
      </c>
      <c r="L4" s="6">
        <f t="shared" si="3"/>
        <v>33</v>
      </c>
    </row>
    <row r="5" spans="1:12" x14ac:dyDescent="0.3">
      <c r="A5" s="6" t="str">
        <f>Master_Product!A5</f>
        <v>PRD-004</v>
      </c>
      <c r="B5" s="7" t="str">
        <f>Master_Product!B5</f>
        <v>Fresh Milk Pasteurisasi 1L</v>
      </c>
      <c r="C5" s="7" t="str">
        <f>Master_Product!C5</f>
        <v>Dairy &amp; Fresh</v>
      </c>
      <c r="D5" s="6" t="str">
        <f>Master_Product!D5</f>
        <v>Liter</v>
      </c>
      <c r="E5" s="6">
        <f>Master_Product!G5</f>
        <v>15</v>
      </c>
      <c r="F5" s="6">
        <f>SUMIF(Stock_In!C:C, A5, Stock_In!F:F)</f>
        <v>50</v>
      </c>
      <c r="G5" s="6">
        <f>SUMIF(Stock_Out!C:C, A5, Stock_Out!F:F)</f>
        <v>38</v>
      </c>
      <c r="H5" s="6">
        <f t="shared" si="0"/>
        <v>12</v>
      </c>
      <c r="I5" s="8">
        <f>Master_Product!E5</f>
        <v>22000</v>
      </c>
      <c r="J5" s="8">
        <f t="shared" si="1"/>
        <v>264000</v>
      </c>
      <c r="K5" s="6" t="str">
        <f t="shared" si="2"/>
        <v>RESTOCK NOW</v>
      </c>
      <c r="L5" s="6">
        <f t="shared" si="3"/>
        <v>18</v>
      </c>
    </row>
    <row r="6" spans="1:12" x14ac:dyDescent="0.3">
      <c r="A6" s="6" t="str">
        <f>Master_Product!A6</f>
        <v>PRD-005</v>
      </c>
      <c r="B6" s="7" t="str">
        <f>Master_Product!B6</f>
        <v>Whipped Cream Spray 500g</v>
      </c>
      <c r="C6" s="7" t="str">
        <f>Master_Product!C6</f>
        <v>Dairy &amp; Fresh</v>
      </c>
      <c r="D6" s="6" t="str">
        <f>Master_Product!D6</f>
        <v>Can</v>
      </c>
      <c r="E6" s="6">
        <f>Master_Product!G6</f>
        <v>4</v>
      </c>
      <c r="F6" s="6">
        <f>SUMIF(Stock_In!C:C, A6, Stock_In!F:F)</f>
        <v>0</v>
      </c>
      <c r="G6" s="6">
        <f>SUMIF(Stock_Out!C:C, A6, Stock_Out!F:F)</f>
        <v>0</v>
      </c>
      <c r="H6" s="6">
        <f t="shared" si="0"/>
        <v>0</v>
      </c>
      <c r="I6" s="8">
        <f>Master_Product!E6</f>
        <v>65000</v>
      </c>
      <c r="J6" s="8">
        <f t="shared" si="1"/>
        <v>0</v>
      </c>
      <c r="K6" s="6" t="str">
        <f t="shared" si="2"/>
        <v>RESTOCK NOW</v>
      </c>
      <c r="L6" s="6">
        <f t="shared" si="3"/>
        <v>8</v>
      </c>
    </row>
    <row r="7" spans="1:12" x14ac:dyDescent="0.3">
      <c r="A7" s="6" t="str">
        <f>Master_Product!A7</f>
        <v>PRD-006</v>
      </c>
      <c r="B7" s="7" t="str">
        <f>Master_Product!B7</f>
        <v>Sirup Vanilla 760ml</v>
      </c>
      <c r="C7" s="7" t="str">
        <f>Master_Product!C7</f>
        <v>Syrups &amp; Flavors</v>
      </c>
      <c r="D7" s="6" t="str">
        <f>Master_Product!D7</f>
        <v>Botol</v>
      </c>
      <c r="E7" s="6">
        <f>Master_Product!G7</f>
        <v>3</v>
      </c>
      <c r="F7" s="6">
        <f>SUMIF(Stock_In!C:C, A7, Stock_In!F:F)</f>
        <v>6</v>
      </c>
      <c r="G7" s="6">
        <f>SUMIF(Stock_Out!C:C, A7, Stock_Out!F:F)</f>
        <v>4</v>
      </c>
      <c r="H7" s="6">
        <f t="shared" si="0"/>
        <v>2</v>
      </c>
      <c r="I7" s="8">
        <f>Master_Product!E7</f>
        <v>135000</v>
      </c>
      <c r="J7" s="8">
        <f t="shared" si="1"/>
        <v>270000</v>
      </c>
      <c r="K7" s="6" t="str">
        <f t="shared" si="2"/>
        <v>RESTOCK NOW</v>
      </c>
      <c r="L7" s="6">
        <f t="shared" si="3"/>
        <v>4</v>
      </c>
    </row>
    <row r="8" spans="1:12" x14ac:dyDescent="0.3">
      <c r="A8" s="6" t="str">
        <f>Master_Product!A8</f>
        <v>PRD-007</v>
      </c>
      <c r="B8" s="7" t="str">
        <f>Master_Product!B8</f>
        <v>Sirup Hazelnut 760ml</v>
      </c>
      <c r="C8" s="7" t="str">
        <f>Master_Product!C8</f>
        <v>Syrups &amp; Flavors</v>
      </c>
      <c r="D8" s="6" t="str">
        <f>Master_Product!D8</f>
        <v>Botol</v>
      </c>
      <c r="E8" s="6">
        <f>Master_Product!G8</f>
        <v>3</v>
      </c>
      <c r="F8" s="6">
        <f>SUMIF(Stock_In!C:C, A8, Stock_In!F:F)</f>
        <v>0</v>
      </c>
      <c r="G8" s="6">
        <f>SUMIF(Stock_Out!C:C, A8, Stock_Out!F:F)</f>
        <v>0</v>
      </c>
      <c r="H8" s="6">
        <f t="shared" si="0"/>
        <v>0</v>
      </c>
      <c r="I8" s="8">
        <f>Master_Product!E8</f>
        <v>135000</v>
      </c>
      <c r="J8" s="8">
        <f t="shared" si="1"/>
        <v>0</v>
      </c>
      <c r="K8" s="6" t="str">
        <f t="shared" si="2"/>
        <v>RESTOCK NOW</v>
      </c>
      <c r="L8" s="6">
        <f t="shared" si="3"/>
        <v>6</v>
      </c>
    </row>
    <row r="9" spans="1:12" x14ac:dyDescent="0.3">
      <c r="A9" s="6" t="str">
        <f>Master_Product!A9</f>
        <v>PRD-008</v>
      </c>
      <c r="B9" s="7" t="str">
        <f>Master_Product!B9</f>
        <v>Sirup Caramel 760ml</v>
      </c>
      <c r="C9" s="7" t="str">
        <f>Master_Product!C9</f>
        <v>Syrups &amp; Flavors</v>
      </c>
      <c r="D9" s="6" t="str">
        <f>Master_Product!D9</f>
        <v>Botol</v>
      </c>
      <c r="E9" s="6">
        <f>Master_Product!G9</f>
        <v>3</v>
      </c>
      <c r="F9" s="6">
        <f>SUMIF(Stock_In!C:C, A9, Stock_In!F:F)</f>
        <v>0</v>
      </c>
      <c r="G9" s="6">
        <f>SUMIF(Stock_Out!C:C, A9, Stock_Out!F:F)</f>
        <v>0</v>
      </c>
      <c r="H9" s="6">
        <f t="shared" si="0"/>
        <v>0</v>
      </c>
      <c r="I9" s="8">
        <f>Master_Product!E9</f>
        <v>135000</v>
      </c>
      <c r="J9" s="8">
        <f t="shared" si="1"/>
        <v>0</v>
      </c>
      <c r="K9" s="6" t="str">
        <f t="shared" si="2"/>
        <v>RESTOCK NOW</v>
      </c>
      <c r="L9" s="6">
        <f t="shared" si="3"/>
        <v>6</v>
      </c>
    </row>
    <row r="10" spans="1:12" x14ac:dyDescent="0.3">
      <c r="A10" s="6" t="str">
        <f>Master_Product!A10</f>
        <v>PRD-009</v>
      </c>
      <c r="B10" s="7" t="str">
        <f>Master_Product!B10</f>
        <v>Matcha Powder Premium 1kg</v>
      </c>
      <c r="C10" s="7" t="str">
        <f>Master_Product!C10</f>
        <v>Beverage Base</v>
      </c>
      <c r="D10" s="6" t="str">
        <f>Master_Product!D10</f>
        <v>Kg</v>
      </c>
      <c r="E10" s="6">
        <f>Master_Product!G10</f>
        <v>2</v>
      </c>
      <c r="F10" s="6">
        <f>SUMIF(Stock_In!C:C, A10, Stock_In!F:F)</f>
        <v>5</v>
      </c>
      <c r="G10" s="6">
        <f>SUMIF(Stock_Out!C:C, A10, Stock_Out!F:F)</f>
        <v>0</v>
      </c>
      <c r="H10" s="6">
        <f t="shared" si="0"/>
        <v>5</v>
      </c>
      <c r="I10" s="8">
        <f>Master_Product!E10</f>
        <v>280000</v>
      </c>
      <c r="J10" s="8">
        <f t="shared" si="1"/>
        <v>1400000</v>
      </c>
      <c r="K10" s="6" t="str">
        <f t="shared" si="2"/>
        <v>SAFE</v>
      </c>
      <c r="L10" s="6">
        <f t="shared" si="3"/>
        <v>0</v>
      </c>
    </row>
    <row r="11" spans="1:12" x14ac:dyDescent="0.3">
      <c r="A11" s="6" t="str">
        <f>Master_Product!A11</f>
        <v>PRD-010</v>
      </c>
      <c r="B11" s="7" t="str">
        <f>Master_Product!B11</f>
        <v>Chocolate Powder Pure 1kg</v>
      </c>
      <c r="C11" s="7" t="str">
        <f>Master_Product!C11</f>
        <v>Beverage Base</v>
      </c>
      <c r="D11" s="6" t="str">
        <f>Master_Product!D11</f>
        <v>Kg</v>
      </c>
      <c r="E11" s="6">
        <f>Master_Product!G11</f>
        <v>3</v>
      </c>
      <c r="F11" s="6">
        <f>SUMIF(Stock_In!C:C, A11, Stock_In!F:F)</f>
        <v>8</v>
      </c>
      <c r="G11" s="6">
        <f>SUMIF(Stock_Out!C:C, A11, Stock_Out!F:F)</f>
        <v>0</v>
      </c>
      <c r="H11" s="6">
        <f t="shared" si="0"/>
        <v>8</v>
      </c>
      <c r="I11" s="8">
        <f>Master_Product!E11</f>
        <v>160000</v>
      </c>
      <c r="J11" s="8">
        <f t="shared" si="1"/>
        <v>1280000</v>
      </c>
      <c r="K11" s="6" t="str">
        <f t="shared" si="2"/>
        <v>SAFE</v>
      </c>
      <c r="L11" s="6">
        <f t="shared" si="3"/>
        <v>0</v>
      </c>
    </row>
    <row r="12" spans="1:12" x14ac:dyDescent="0.3">
      <c r="A12" s="6" t="str">
        <f>Master_Product!A12</f>
        <v>PRD-011</v>
      </c>
      <c r="B12" s="7" t="str">
        <f>Master_Product!B12</f>
        <v>Teh Earl Grey Loose 500g</v>
      </c>
      <c r="C12" s="7" t="str">
        <f>Master_Product!C12</f>
        <v>Beverage Base</v>
      </c>
      <c r="D12" s="6" t="str">
        <f>Master_Product!D12</f>
        <v>Pack</v>
      </c>
      <c r="E12" s="6">
        <f>Master_Product!G12</f>
        <v>2</v>
      </c>
      <c r="F12" s="6">
        <f>SUMIF(Stock_In!C:C, A12, Stock_In!F:F)</f>
        <v>0</v>
      </c>
      <c r="G12" s="6">
        <f>SUMIF(Stock_Out!C:C, A12, Stock_Out!F:F)</f>
        <v>0</v>
      </c>
      <c r="H12" s="6">
        <f t="shared" si="0"/>
        <v>0</v>
      </c>
      <c r="I12" s="8">
        <f>Master_Product!E12</f>
        <v>95000</v>
      </c>
      <c r="J12" s="8">
        <f t="shared" si="1"/>
        <v>0</v>
      </c>
      <c r="K12" s="6" t="str">
        <f t="shared" si="2"/>
        <v>RESTOCK NOW</v>
      </c>
      <c r="L12" s="6">
        <f t="shared" si="3"/>
        <v>4</v>
      </c>
    </row>
    <row r="13" spans="1:12" x14ac:dyDescent="0.3">
      <c r="A13" s="6" t="str">
        <f>Master_Product!A13</f>
        <v>PRD-012</v>
      </c>
      <c r="B13" s="7" t="str">
        <f>Master_Product!B13</f>
        <v>Butter Croissant (Frozen)</v>
      </c>
      <c r="C13" s="7" t="str">
        <f>Master_Product!C13</f>
        <v>Bakery &amp; Pastry</v>
      </c>
      <c r="D13" s="6" t="str">
        <f>Master_Product!D13</f>
        <v>Pcs</v>
      </c>
      <c r="E13" s="6">
        <f>Master_Product!G13</f>
        <v>30</v>
      </c>
      <c r="F13" s="6">
        <f>SUMIF(Stock_In!C:C, A13, Stock_In!F:F)</f>
        <v>100</v>
      </c>
      <c r="G13" s="6">
        <f>SUMIF(Stock_Out!C:C, A13, Stock_Out!F:F)</f>
        <v>45</v>
      </c>
      <c r="H13" s="6">
        <f t="shared" si="0"/>
        <v>55</v>
      </c>
      <c r="I13" s="8">
        <f>Master_Product!E13</f>
        <v>12000</v>
      </c>
      <c r="J13" s="8">
        <f t="shared" si="1"/>
        <v>660000</v>
      </c>
      <c r="K13" s="6" t="str">
        <f t="shared" si="2"/>
        <v>SAFE</v>
      </c>
      <c r="L13" s="6">
        <f t="shared" si="3"/>
        <v>0</v>
      </c>
    </row>
    <row r="14" spans="1:12" x14ac:dyDescent="0.3">
      <c r="A14" s="6" t="str">
        <f>Master_Product!A14</f>
        <v>PRD-013</v>
      </c>
      <c r="B14" s="7" t="str">
        <f>Master_Product!B14</f>
        <v>Pain Au Chocolat (Frozen)</v>
      </c>
      <c r="C14" s="7" t="str">
        <f>Master_Product!C14</f>
        <v>Bakery &amp; Pastry</v>
      </c>
      <c r="D14" s="6" t="str">
        <f>Master_Product!D14</f>
        <v>Pcs</v>
      </c>
      <c r="E14" s="6">
        <f>Master_Product!G14</f>
        <v>25</v>
      </c>
      <c r="F14" s="6">
        <f>SUMIF(Stock_In!C:C, A14, Stock_In!F:F)</f>
        <v>80</v>
      </c>
      <c r="G14" s="6">
        <f>SUMIF(Stock_Out!C:C, A14, Stock_Out!F:F)</f>
        <v>30</v>
      </c>
      <c r="H14" s="6">
        <f t="shared" si="0"/>
        <v>50</v>
      </c>
      <c r="I14" s="8">
        <f>Master_Product!E14</f>
        <v>14000</v>
      </c>
      <c r="J14" s="8">
        <f t="shared" si="1"/>
        <v>700000</v>
      </c>
      <c r="K14" s="6" t="str">
        <f t="shared" si="2"/>
        <v>SAFE</v>
      </c>
      <c r="L14" s="6">
        <f t="shared" si="3"/>
        <v>0</v>
      </c>
    </row>
    <row r="15" spans="1:12" x14ac:dyDescent="0.3">
      <c r="A15" s="6" t="str">
        <f>Master_Product!A15</f>
        <v>PRD-014</v>
      </c>
      <c r="B15" s="7" t="str">
        <f>Master_Product!B15</f>
        <v>Paper Cup Hot 8oz + Lid</v>
      </c>
      <c r="C15" s="7" t="str">
        <f>Master_Product!C15</f>
        <v>Packaging</v>
      </c>
      <c r="D15" s="6" t="str">
        <f>Master_Product!D15</f>
        <v>Pcs</v>
      </c>
      <c r="E15" s="6">
        <f>Master_Product!G15</f>
        <v>200</v>
      </c>
      <c r="F15" s="6">
        <f>SUMIF(Stock_In!C:C, A15, Stock_In!F:F)</f>
        <v>1000</v>
      </c>
      <c r="G15" s="6">
        <f>SUMIF(Stock_Out!C:C, A15, Stock_Out!F:F)</f>
        <v>250</v>
      </c>
      <c r="H15" s="6">
        <f t="shared" si="0"/>
        <v>750</v>
      </c>
      <c r="I15" s="8">
        <f>Master_Product!E15</f>
        <v>850</v>
      </c>
      <c r="J15" s="8">
        <f t="shared" si="1"/>
        <v>637500</v>
      </c>
      <c r="K15" s="6" t="str">
        <f t="shared" si="2"/>
        <v>SAFE</v>
      </c>
      <c r="L15" s="6">
        <f t="shared" si="3"/>
        <v>0</v>
      </c>
    </row>
    <row r="16" spans="1:12" x14ac:dyDescent="0.3">
      <c r="A16" s="6" t="str">
        <f>Master_Product!A16</f>
        <v>PRD-015</v>
      </c>
      <c r="B16" s="7" t="str">
        <f>Master_Product!B16</f>
        <v>Plastic Cup Cold 16oz + Lid</v>
      </c>
      <c r="C16" s="7" t="str">
        <f>Master_Product!C16</f>
        <v>Packaging</v>
      </c>
      <c r="D16" s="6" t="str">
        <f>Master_Product!D16</f>
        <v>Pcs</v>
      </c>
      <c r="E16" s="6">
        <f>Master_Product!G16</f>
        <v>300</v>
      </c>
      <c r="F16" s="6">
        <f>SUMIF(Stock_In!C:C, A16, Stock_In!F:F)</f>
        <v>1500</v>
      </c>
      <c r="G16" s="6">
        <f>SUMIF(Stock_Out!C:C, A16, Stock_Out!F:F)</f>
        <v>400</v>
      </c>
      <c r="H16" s="6">
        <f t="shared" si="0"/>
        <v>1100</v>
      </c>
      <c r="I16" s="8">
        <f>Master_Product!E16</f>
        <v>1100</v>
      </c>
      <c r="J16" s="8">
        <f t="shared" si="1"/>
        <v>1210000</v>
      </c>
      <c r="K16" s="6" t="str">
        <f t="shared" si="2"/>
        <v>SAFE</v>
      </c>
      <c r="L16" s="6">
        <f t="shared" si="3"/>
        <v>0</v>
      </c>
    </row>
    <row r="17" spans="1:12" x14ac:dyDescent="0.3">
      <c r="A17" s="6" t="str">
        <f>Master_Product!A17</f>
        <v>PRD-016</v>
      </c>
      <c r="B17" s="7" t="str">
        <f>Master_Product!B17</f>
        <v>Paper Straw Bio 100s</v>
      </c>
      <c r="C17" s="7" t="str">
        <f>Master_Product!C17</f>
        <v>Packaging</v>
      </c>
      <c r="D17" s="6" t="str">
        <f>Master_Product!D17</f>
        <v>Pack</v>
      </c>
      <c r="E17" s="6">
        <f>Master_Product!G17</f>
        <v>10</v>
      </c>
      <c r="F17" s="6">
        <f>SUMIF(Stock_In!C:C, A17, Stock_In!F:F)</f>
        <v>0</v>
      </c>
      <c r="G17" s="6">
        <f>SUMIF(Stock_Out!C:C, A17, Stock_Out!F:F)</f>
        <v>0</v>
      </c>
      <c r="H17" s="6">
        <f t="shared" si="0"/>
        <v>0</v>
      </c>
      <c r="I17" s="8">
        <f>Master_Product!E17</f>
        <v>15000</v>
      </c>
      <c r="J17" s="8">
        <f t="shared" si="1"/>
        <v>0</v>
      </c>
      <c r="K17" s="6" t="str">
        <f t="shared" si="2"/>
        <v>RESTOCK NOW</v>
      </c>
      <c r="L17" s="6">
        <f t="shared" si="3"/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4" customWidth="1"/>
    <col min="2" max="2" width="34" customWidth="1"/>
    <col min="3" max="3" width="20" customWidth="1"/>
    <col min="4" max="4" width="12" customWidth="1"/>
    <col min="5" max="6" width="25" customWidth="1"/>
    <col min="7" max="7" width="19" customWidth="1"/>
    <col min="8" max="8" width="15" customWidth="1"/>
  </cols>
  <sheetData>
    <row r="1" spans="1:8" x14ac:dyDescent="0.3">
      <c r="A1" s="5" t="s">
        <v>6</v>
      </c>
      <c r="B1" s="5" t="s">
        <v>7</v>
      </c>
      <c r="C1" s="5" t="s">
        <v>8</v>
      </c>
      <c r="D1" s="5" t="s">
        <v>12</v>
      </c>
      <c r="E1" s="5" t="s">
        <v>15</v>
      </c>
      <c r="F1" s="5" t="s">
        <v>19</v>
      </c>
      <c r="G1" s="5" t="s">
        <v>20</v>
      </c>
      <c r="H1" s="5" t="s">
        <v>21</v>
      </c>
    </row>
    <row r="2" spans="1:8" x14ac:dyDescent="0.3">
      <c r="A2" s="6" t="s">
        <v>22</v>
      </c>
      <c r="B2" s="7" t="s">
        <v>23</v>
      </c>
      <c r="C2" s="7" t="s">
        <v>24</v>
      </c>
      <c r="D2" s="6" t="s">
        <v>25</v>
      </c>
      <c r="E2" s="8">
        <v>185000</v>
      </c>
      <c r="F2" s="8">
        <v>320000</v>
      </c>
      <c r="G2" s="6">
        <v>5</v>
      </c>
      <c r="H2" s="6" t="s">
        <v>26</v>
      </c>
    </row>
    <row r="3" spans="1:8" x14ac:dyDescent="0.3">
      <c r="A3" s="6" t="s">
        <v>27</v>
      </c>
      <c r="B3" s="7" t="s">
        <v>28</v>
      </c>
      <c r="C3" s="7" t="s">
        <v>24</v>
      </c>
      <c r="D3" s="6" t="s">
        <v>25</v>
      </c>
      <c r="E3" s="8">
        <v>220000</v>
      </c>
      <c r="F3" s="8">
        <v>380000</v>
      </c>
      <c r="G3" s="6">
        <v>3</v>
      </c>
      <c r="H3" s="6" t="s">
        <v>26</v>
      </c>
    </row>
    <row r="4" spans="1:8" x14ac:dyDescent="0.3">
      <c r="A4" s="6" t="s">
        <v>29</v>
      </c>
      <c r="B4" s="7" t="s">
        <v>30</v>
      </c>
      <c r="C4" s="7" t="s">
        <v>31</v>
      </c>
      <c r="D4" s="6" t="s">
        <v>32</v>
      </c>
      <c r="E4" s="8">
        <v>18500</v>
      </c>
      <c r="F4" s="8">
        <v>25000</v>
      </c>
      <c r="G4" s="6">
        <v>24</v>
      </c>
      <c r="H4" s="6" t="s">
        <v>33</v>
      </c>
    </row>
    <row r="5" spans="1:8" x14ac:dyDescent="0.3">
      <c r="A5" s="6" t="s">
        <v>34</v>
      </c>
      <c r="B5" s="7" t="s">
        <v>35</v>
      </c>
      <c r="C5" s="7" t="s">
        <v>31</v>
      </c>
      <c r="D5" s="6" t="s">
        <v>32</v>
      </c>
      <c r="E5" s="8">
        <v>22000</v>
      </c>
      <c r="F5" s="8">
        <v>30000</v>
      </c>
      <c r="G5" s="6">
        <v>15</v>
      </c>
      <c r="H5" s="6" t="s">
        <v>33</v>
      </c>
    </row>
    <row r="6" spans="1:8" x14ac:dyDescent="0.3">
      <c r="A6" s="6" t="s">
        <v>36</v>
      </c>
      <c r="B6" s="7" t="s">
        <v>37</v>
      </c>
      <c r="C6" s="7" t="s">
        <v>31</v>
      </c>
      <c r="D6" s="6" t="s">
        <v>38</v>
      </c>
      <c r="E6" s="8">
        <v>65000</v>
      </c>
      <c r="F6" s="8">
        <v>90000</v>
      </c>
      <c r="G6" s="6">
        <v>4</v>
      </c>
      <c r="H6" s="6" t="s">
        <v>33</v>
      </c>
    </row>
    <row r="7" spans="1:8" x14ac:dyDescent="0.3">
      <c r="A7" s="6" t="s">
        <v>39</v>
      </c>
      <c r="B7" s="7" t="s">
        <v>40</v>
      </c>
      <c r="C7" s="7" t="s">
        <v>41</v>
      </c>
      <c r="D7" s="6" t="s">
        <v>42</v>
      </c>
      <c r="E7" s="8">
        <v>135000</v>
      </c>
      <c r="F7" s="8">
        <v>180000</v>
      </c>
      <c r="G7" s="6">
        <v>3</v>
      </c>
      <c r="H7" s="6" t="s">
        <v>43</v>
      </c>
    </row>
    <row r="8" spans="1:8" x14ac:dyDescent="0.3">
      <c r="A8" s="6" t="s">
        <v>44</v>
      </c>
      <c r="B8" s="7" t="s">
        <v>45</v>
      </c>
      <c r="C8" s="7" t="s">
        <v>41</v>
      </c>
      <c r="D8" s="6" t="s">
        <v>42</v>
      </c>
      <c r="E8" s="8">
        <v>135000</v>
      </c>
      <c r="F8" s="8">
        <v>180000</v>
      </c>
      <c r="G8" s="6">
        <v>3</v>
      </c>
      <c r="H8" s="6" t="s">
        <v>43</v>
      </c>
    </row>
    <row r="9" spans="1:8" x14ac:dyDescent="0.3">
      <c r="A9" s="6" t="s">
        <v>46</v>
      </c>
      <c r="B9" s="7" t="s">
        <v>47</v>
      </c>
      <c r="C9" s="7" t="s">
        <v>41</v>
      </c>
      <c r="D9" s="6" t="s">
        <v>42</v>
      </c>
      <c r="E9" s="8">
        <v>135000</v>
      </c>
      <c r="F9" s="8">
        <v>180000</v>
      </c>
      <c r="G9" s="6">
        <v>3</v>
      </c>
      <c r="H9" s="6" t="s">
        <v>43</v>
      </c>
    </row>
    <row r="10" spans="1:8" x14ac:dyDescent="0.3">
      <c r="A10" s="6" t="s">
        <v>48</v>
      </c>
      <c r="B10" s="7" t="s">
        <v>49</v>
      </c>
      <c r="C10" s="7" t="s">
        <v>50</v>
      </c>
      <c r="D10" s="6" t="s">
        <v>25</v>
      </c>
      <c r="E10" s="8">
        <v>280000</v>
      </c>
      <c r="F10" s="8">
        <v>420000</v>
      </c>
      <c r="G10" s="6">
        <v>2</v>
      </c>
      <c r="H10" s="6" t="s">
        <v>43</v>
      </c>
    </row>
    <row r="11" spans="1:8" x14ac:dyDescent="0.3">
      <c r="A11" s="6" t="s">
        <v>51</v>
      </c>
      <c r="B11" s="7" t="s">
        <v>52</v>
      </c>
      <c r="C11" s="7" t="s">
        <v>50</v>
      </c>
      <c r="D11" s="6" t="s">
        <v>25</v>
      </c>
      <c r="E11" s="8">
        <v>160000</v>
      </c>
      <c r="F11" s="8">
        <v>250000</v>
      </c>
      <c r="G11" s="6">
        <v>3</v>
      </c>
      <c r="H11" s="6" t="s">
        <v>43</v>
      </c>
    </row>
    <row r="12" spans="1:8" x14ac:dyDescent="0.3">
      <c r="A12" s="6" t="s">
        <v>53</v>
      </c>
      <c r="B12" s="7" t="s">
        <v>54</v>
      </c>
      <c r="C12" s="7" t="s">
        <v>50</v>
      </c>
      <c r="D12" s="6" t="s">
        <v>55</v>
      </c>
      <c r="E12" s="8">
        <v>95000</v>
      </c>
      <c r="F12" s="8">
        <v>150000</v>
      </c>
      <c r="G12" s="6">
        <v>2</v>
      </c>
      <c r="H12" s="6" t="s">
        <v>43</v>
      </c>
    </row>
    <row r="13" spans="1:8" x14ac:dyDescent="0.3">
      <c r="A13" s="6" t="s">
        <v>56</v>
      </c>
      <c r="B13" s="7" t="s">
        <v>57</v>
      </c>
      <c r="C13" s="7" t="s">
        <v>58</v>
      </c>
      <c r="D13" s="6" t="s">
        <v>59</v>
      </c>
      <c r="E13" s="8">
        <v>12000</v>
      </c>
      <c r="F13" s="8">
        <v>28000</v>
      </c>
      <c r="G13" s="6">
        <v>30</v>
      </c>
      <c r="H13" s="6" t="s">
        <v>60</v>
      </c>
    </row>
    <row r="14" spans="1:8" x14ac:dyDescent="0.3">
      <c r="A14" s="6" t="s">
        <v>61</v>
      </c>
      <c r="B14" s="7" t="s">
        <v>62</v>
      </c>
      <c r="C14" s="7" t="s">
        <v>58</v>
      </c>
      <c r="D14" s="6" t="s">
        <v>59</v>
      </c>
      <c r="E14" s="8">
        <v>14000</v>
      </c>
      <c r="F14" s="8">
        <v>32000</v>
      </c>
      <c r="G14" s="6">
        <v>25</v>
      </c>
      <c r="H14" s="6" t="s">
        <v>60</v>
      </c>
    </row>
    <row r="15" spans="1:8" x14ac:dyDescent="0.3">
      <c r="A15" s="6" t="s">
        <v>63</v>
      </c>
      <c r="B15" s="7" t="s">
        <v>64</v>
      </c>
      <c r="C15" s="7" t="s">
        <v>65</v>
      </c>
      <c r="D15" s="6" t="s">
        <v>59</v>
      </c>
      <c r="E15" s="8">
        <v>850</v>
      </c>
      <c r="F15" s="8">
        <v>1500</v>
      </c>
      <c r="G15" s="6">
        <v>200</v>
      </c>
      <c r="H15" s="6" t="s">
        <v>66</v>
      </c>
    </row>
    <row r="16" spans="1:8" x14ac:dyDescent="0.3">
      <c r="A16" s="6" t="s">
        <v>67</v>
      </c>
      <c r="B16" s="7" t="s">
        <v>68</v>
      </c>
      <c r="C16" s="7" t="s">
        <v>65</v>
      </c>
      <c r="D16" s="6" t="s">
        <v>59</v>
      </c>
      <c r="E16" s="8">
        <v>1100</v>
      </c>
      <c r="F16" s="8">
        <v>2000</v>
      </c>
      <c r="G16" s="6">
        <v>300</v>
      </c>
      <c r="H16" s="6" t="s">
        <v>66</v>
      </c>
    </row>
    <row r="17" spans="1:8" x14ac:dyDescent="0.3">
      <c r="A17" s="6" t="s">
        <v>69</v>
      </c>
      <c r="B17" s="7" t="s">
        <v>70</v>
      </c>
      <c r="C17" s="7" t="s">
        <v>65</v>
      </c>
      <c r="D17" s="6" t="s">
        <v>55</v>
      </c>
      <c r="E17" s="8">
        <v>15000</v>
      </c>
      <c r="F17" s="8">
        <v>25000</v>
      </c>
      <c r="G17" s="6">
        <v>10</v>
      </c>
      <c r="H17" s="6" t="s">
        <v>66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Master_Category!$B$2:$B$10</xm:f>
          </x14:formula1>
          <xm:sqref>C2:C100</xm:sqref>
        </x14:dataValidation>
        <x14:dataValidation type="list" allowBlank="1" xr:uid="{00000000-0002-0000-0200-000001000000}">
          <x14:formula1>
            <xm:f>Master_Supplier!$A$2:$A$20</xm:f>
          </x14:formula1>
          <xm:sqref>H2:H100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cols>
    <col min="1" max="1" width="15" customWidth="1"/>
    <col min="2" max="2" width="20" customWidth="1"/>
    <col min="3" max="3" width="57" customWidth="1"/>
  </cols>
  <sheetData>
    <row r="1" spans="1:3" x14ac:dyDescent="0.3">
      <c r="A1" s="5" t="s">
        <v>71</v>
      </c>
      <c r="B1" s="5" t="s">
        <v>72</v>
      </c>
      <c r="C1" s="5" t="s">
        <v>73</v>
      </c>
    </row>
    <row r="2" spans="1:3" x14ac:dyDescent="0.3">
      <c r="A2" s="7" t="s">
        <v>74</v>
      </c>
      <c r="B2" s="7" t="s">
        <v>24</v>
      </c>
      <c r="C2" s="7" t="s">
        <v>75</v>
      </c>
    </row>
    <row r="3" spans="1:3" x14ac:dyDescent="0.3">
      <c r="A3" s="7" t="s">
        <v>76</v>
      </c>
      <c r="B3" s="7" t="s">
        <v>31</v>
      </c>
      <c r="C3" s="7" t="s">
        <v>77</v>
      </c>
    </row>
    <row r="4" spans="1:3" x14ac:dyDescent="0.3">
      <c r="A4" s="7" t="s">
        <v>78</v>
      </c>
      <c r="B4" s="7" t="s">
        <v>41</v>
      </c>
      <c r="C4" s="7" t="s">
        <v>79</v>
      </c>
    </row>
    <row r="5" spans="1:3" x14ac:dyDescent="0.3">
      <c r="A5" s="7" t="s">
        <v>80</v>
      </c>
      <c r="B5" s="7" t="s">
        <v>50</v>
      </c>
      <c r="C5" s="7" t="s">
        <v>81</v>
      </c>
    </row>
    <row r="6" spans="1:3" x14ac:dyDescent="0.3">
      <c r="A6" s="7" t="s">
        <v>82</v>
      </c>
      <c r="B6" s="7" t="s">
        <v>58</v>
      </c>
      <c r="C6" s="7" t="s">
        <v>83</v>
      </c>
    </row>
    <row r="7" spans="1:3" x14ac:dyDescent="0.3">
      <c r="A7" s="7" t="s">
        <v>84</v>
      </c>
      <c r="B7" s="7" t="s">
        <v>65</v>
      </c>
      <c r="C7" s="7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D30" sqref="D30"/>
    </sheetView>
  </sheetViews>
  <sheetFormatPr defaultRowHeight="14.4" x14ac:dyDescent="0.3"/>
  <cols>
    <col min="1" max="1" width="15" customWidth="1"/>
    <col min="2" max="2" width="31" customWidth="1"/>
    <col min="3" max="3" width="18" customWidth="1"/>
    <col min="4" max="4" width="16" customWidth="1"/>
    <col min="5" max="5" width="28" customWidth="1"/>
    <col min="6" max="6" width="13" customWidth="1"/>
  </cols>
  <sheetData>
    <row r="1" spans="1:6" x14ac:dyDescent="0.3">
      <c r="A1" s="5" t="s">
        <v>21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</row>
    <row r="2" spans="1:6" x14ac:dyDescent="0.3">
      <c r="A2" s="7" t="s">
        <v>26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</row>
    <row r="3" spans="1:6" x14ac:dyDescent="0.3">
      <c r="A3" s="7" t="s">
        <v>33</v>
      </c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</row>
    <row r="4" spans="1:6" x14ac:dyDescent="0.3">
      <c r="A4" s="7" t="s">
        <v>43</v>
      </c>
      <c r="B4" s="7" t="s">
        <v>101</v>
      </c>
      <c r="C4" s="7" t="s">
        <v>102</v>
      </c>
      <c r="D4" s="7" t="s">
        <v>103</v>
      </c>
      <c r="E4" s="7" t="s">
        <v>104</v>
      </c>
      <c r="F4" s="7" t="s">
        <v>105</v>
      </c>
    </row>
    <row r="5" spans="1:6" x14ac:dyDescent="0.3">
      <c r="A5" s="7" t="s">
        <v>66</v>
      </c>
      <c r="B5" s="7" t="s">
        <v>106</v>
      </c>
      <c r="C5" s="7" t="s">
        <v>107</v>
      </c>
      <c r="D5" s="7" t="s">
        <v>108</v>
      </c>
      <c r="E5" s="7" t="s">
        <v>109</v>
      </c>
      <c r="F5" s="7" t="s">
        <v>110</v>
      </c>
    </row>
    <row r="6" spans="1:6" x14ac:dyDescent="0.3">
      <c r="A6" s="7" t="s">
        <v>60</v>
      </c>
      <c r="B6" s="7" t="s">
        <v>111</v>
      </c>
      <c r="C6" s="7" t="s">
        <v>112</v>
      </c>
      <c r="D6" s="7" t="s">
        <v>113</v>
      </c>
      <c r="E6" s="7" t="s">
        <v>114</v>
      </c>
      <c r="F6" s="7" t="s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D11" sqref="D11"/>
    </sheetView>
  </sheetViews>
  <sheetFormatPr defaultRowHeight="14.4" x14ac:dyDescent="0.3"/>
  <cols>
    <col min="1" max="1" width="15" customWidth="1"/>
    <col min="2" max="2" width="39" customWidth="1"/>
    <col min="3" max="3" width="19" customWidth="1"/>
    <col min="4" max="4" width="16" customWidth="1"/>
    <col min="5" max="5" width="47" customWidth="1"/>
  </cols>
  <sheetData>
    <row r="1" spans="1:5" x14ac:dyDescent="0.3">
      <c r="A1" s="5" t="s">
        <v>116</v>
      </c>
      <c r="B1" s="5" t="s">
        <v>117</v>
      </c>
      <c r="C1" s="5" t="s">
        <v>118</v>
      </c>
      <c r="D1" s="5" t="s">
        <v>88</v>
      </c>
      <c r="E1" s="5" t="s">
        <v>119</v>
      </c>
    </row>
    <row r="2" spans="1:5" x14ac:dyDescent="0.3">
      <c r="A2" s="7" t="s">
        <v>120</v>
      </c>
      <c r="B2" s="7" t="s">
        <v>121</v>
      </c>
      <c r="C2" s="7" t="s">
        <v>122</v>
      </c>
      <c r="D2" s="7" t="s">
        <v>123</v>
      </c>
      <c r="E2" s="7" t="s">
        <v>124</v>
      </c>
    </row>
    <row r="3" spans="1:5" x14ac:dyDescent="0.3">
      <c r="A3" s="7" t="s">
        <v>125</v>
      </c>
      <c r="B3" s="7" t="s">
        <v>126</v>
      </c>
      <c r="C3" s="7" t="s">
        <v>127</v>
      </c>
      <c r="D3" s="7" t="s">
        <v>123</v>
      </c>
      <c r="E3" s="7" t="s">
        <v>128</v>
      </c>
    </row>
    <row r="4" spans="1:5" x14ac:dyDescent="0.3">
      <c r="A4" s="7" t="s">
        <v>129</v>
      </c>
      <c r="B4" s="7" t="s">
        <v>130</v>
      </c>
      <c r="C4" s="7" t="s">
        <v>131</v>
      </c>
      <c r="D4" s="7" t="s">
        <v>132</v>
      </c>
      <c r="E4" s="7" t="s">
        <v>133</v>
      </c>
    </row>
    <row r="5" spans="1:5" x14ac:dyDescent="0.3">
      <c r="A5" s="7" t="s">
        <v>134</v>
      </c>
      <c r="B5" s="7" t="s">
        <v>135</v>
      </c>
      <c r="C5" s="7" t="s">
        <v>136</v>
      </c>
      <c r="D5" s="7" t="s">
        <v>137</v>
      </c>
      <c r="E5" s="7" t="s">
        <v>138</v>
      </c>
    </row>
    <row r="6" spans="1:5" x14ac:dyDescent="0.3">
      <c r="A6" s="7" t="s">
        <v>139</v>
      </c>
      <c r="B6" s="7" t="s">
        <v>140</v>
      </c>
      <c r="C6" s="7" t="s">
        <v>141</v>
      </c>
      <c r="D6" s="7" t="s">
        <v>142</v>
      </c>
      <c r="E6" s="7" t="s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15" customWidth="1"/>
    <col min="2" max="3" width="14" customWidth="1"/>
    <col min="4" max="5" width="57" customWidth="1"/>
    <col min="6" max="6" width="12" customWidth="1"/>
    <col min="7" max="7" width="25" customWidth="1"/>
    <col min="8" max="8" width="27" customWidth="1"/>
    <col min="9" max="9" width="15" customWidth="1"/>
    <col min="10" max="10" width="23" customWidth="1"/>
  </cols>
  <sheetData>
    <row r="1" spans="1:10" x14ac:dyDescent="0.3">
      <c r="A1" s="5" t="s">
        <v>144</v>
      </c>
      <c r="B1" s="5" t="s">
        <v>145</v>
      </c>
      <c r="C1" s="5" t="s">
        <v>6</v>
      </c>
      <c r="D1" s="5" t="s">
        <v>7</v>
      </c>
      <c r="E1" s="5" t="s">
        <v>8</v>
      </c>
      <c r="F1" s="5" t="s">
        <v>146</v>
      </c>
      <c r="G1" s="5" t="s">
        <v>15</v>
      </c>
      <c r="H1" s="5" t="s">
        <v>147</v>
      </c>
      <c r="I1" s="5" t="s">
        <v>21</v>
      </c>
      <c r="J1" s="5" t="s">
        <v>119</v>
      </c>
    </row>
    <row r="2" spans="1:10" x14ac:dyDescent="0.3">
      <c r="A2" s="6" t="s">
        <v>148</v>
      </c>
      <c r="B2" s="6" t="s">
        <v>149</v>
      </c>
      <c r="C2" s="6" t="s">
        <v>22</v>
      </c>
      <c r="D2" s="7" t="str">
        <f>_xlfn.XLOOKUP(C2, Master_Product!A:A, Master_Product!B:B)</f>
        <v>Espresso Blend House 1kg</v>
      </c>
      <c r="E2" s="7" t="str">
        <f>_xlfn.XLOOKUP(C2, Master_Product!A:A, Master_Product!C:C)</f>
        <v>Coffee Beans</v>
      </c>
      <c r="F2" s="6">
        <v>20</v>
      </c>
      <c r="G2" s="8">
        <v>185000</v>
      </c>
      <c r="H2" s="8">
        <f t="shared" ref="H2:H11" si="0">F2*G2</f>
        <v>3700000</v>
      </c>
      <c r="I2" s="6" t="s">
        <v>26</v>
      </c>
      <c r="J2" s="7" t="s">
        <v>150</v>
      </c>
    </row>
    <row r="3" spans="1:10" x14ac:dyDescent="0.3">
      <c r="A3" s="6" t="s">
        <v>151</v>
      </c>
      <c r="B3" s="6" t="s">
        <v>149</v>
      </c>
      <c r="C3" s="6" t="s">
        <v>29</v>
      </c>
      <c r="D3" s="7" t="str">
        <f>_xlfn.XLOOKUP(C3, Master_Product!A:A, Master_Product!B:B)</f>
        <v>Susu UHT Full Cream 1L</v>
      </c>
      <c r="E3" s="7" t="str">
        <f>_xlfn.XLOOKUP(C3, Master_Product!A:A, Master_Product!C:C)</f>
        <v>Dairy &amp; Fresh</v>
      </c>
      <c r="F3" s="6">
        <v>100</v>
      </c>
      <c r="G3" s="8">
        <v>18500</v>
      </c>
      <c r="H3" s="8">
        <f t="shared" si="0"/>
        <v>1850000</v>
      </c>
      <c r="I3" s="6" t="s">
        <v>33</v>
      </c>
      <c r="J3" s="7" t="s">
        <v>152</v>
      </c>
    </row>
    <row r="4" spans="1:10" x14ac:dyDescent="0.3">
      <c r="A4" s="6" t="s">
        <v>153</v>
      </c>
      <c r="B4" s="6" t="s">
        <v>149</v>
      </c>
      <c r="C4" s="6" t="s">
        <v>39</v>
      </c>
      <c r="D4" s="7" t="str">
        <f>_xlfn.XLOOKUP(C4, Master_Product!A:A, Master_Product!B:B)</f>
        <v>Sirup Vanilla 760ml</v>
      </c>
      <c r="E4" s="7" t="str">
        <f>_xlfn.XLOOKUP(C4, Master_Product!A:A, Master_Product!C:C)</f>
        <v>Syrups &amp; Flavors</v>
      </c>
      <c r="F4" s="6">
        <v>6</v>
      </c>
      <c r="G4" s="8">
        <v>135000</v>
      </c>
      <c r="H4" s="8">
        <f t="shared" si="0"/>
        <v>810000</v>
      </c>
      <c r="I4" s="6" t="s">
        <v>43</v>
      </c>
      <c r="J4" s="7" t="s">
        <v>154</v>
      </c>
    </row>
    <row r="5" spans="1:10" x14ac:dyDescent="0.3">
      <c r="A5" s="6" t="s">
        <v>155</v>
      </c>
      <c r="B5" s="6" t="s">
        <v>156</v>
      </c>
      <c r="C5" s="6" t="s">
        <v>63</v>
      </c>
      <c r="D5" s="7" t="str">
        <f>_xlfn.XLOOKUP(C5, Master_Product!A:A, Master_Product!B:B)</f>
        <v>Paper Cup Hot 8oz + Lid</v>
      </c>
      <c r="E5" s="7" t="str">
        <f>_xlfn.XLOOKUP(C5, Master_Product!A:A, Master_Product!C:C)</f>
        <v>Packaging</v>
      </c>
      <c r="F5" s="6">
        <v>1000</v>
      </c>
      <c r="G5" s="8">
        <v>850</v>
      </c>
      <c r="H5" s="8">
        <f t="shared" si="0"/>
        <v>850000</v>
      </c>
      <c r="I5" s="6" t="s">
        <v>66</v>
      </c>
      <c r="J5" s="7" t="s">
        <v>157</v>
      </c>
    </row>
    <row r="6" spans="1:10" x14ac:dyDescent="0.3">
      <c r="A6" s="6" t="s">
        <v>158</v>
      </c>
      <c r="B6" s="6" t="s">
        <v>156</v>
      </c>
      <c r="C6" s="6" t="s">
        <v>67</v>
      </c>
      <c r="D6" s="7" t="str">
        <f>_xlfn.XLOOKUP(C6, Master_Product!A:A, Master_Product!B:B)</f>
        <v>Plastic Cup Cold 16oz + Lid</v>
      </c>
      <c r="E6" s="7" t="str">
        <f>_xlfn.XLOOKUP(C6, Master_Product!A:A, Master_Product!C:C)</f>
        <v>Packaging</v>
      </c>
      <c r="F6" s="6">
        <v>1500</v>
      </c>
      <c r="G6" s="8">
        <v>1100</v>
      </c>
      <c r="H6" s="8">
        <f t="shared" si="0"/>
        <v>1650000</v>
      </c>
      <c r="I6" s="6" t="s">
        <v>66</v>
      </c>
      <c r="J6" s="7" t="s">
        <v>159</v>
      </c>
    </row>
    <row r="7" spans="1:10" x14ac:dyDescent="0.3">
      <c r="A7" s="6" t="s">
        <v>160</v>
      </c>
      <c r="B7" s="6" t="s">
        <v>161</v>
      </c>
      <c r="C7" s="6" t="s">
        <v>56</v>
      </c>
      <c r="D7" s="7" t="str">
        <f>_xlfn.XLOOKUP(C7, Master_Product!A:A, Master_Product!B:B)</f>
        <v>Butter Croissant (Frozen)</v>
      </c>
      <c r="E7" s="7" t="str">
        <f>_xlfn.XLOOKUP(C7, Master_Product!A:A, Master_Product!C:C)</f>
        <v>Bakery &amp; Pastry</v>
      </c>
      <c r="F7" s="6">
        <v>100</v>
      </c>
      <c r="G7" s="8">
        <v>12000</v>
      </c>
      <c r="H7" s="8">
        <f t="shared" si="0"/>
        <v>1200000</v>
      </c>
      <c r="I7" s="6" t="s">
        <v>60</v>
      </c>
      <c r="J7" s="7" t="s">
        <v>162</v>
      </c>
    </row>
    <row r="8" spans="1:10" x14ac:dyDescent="0.3">
      <c r="A8" s="6" t="s">
        <v>163</v>
      </c>
      <c r="B8" s="6" t="s">
        <v>161</v>
      </c>
      <c r="C8" s="6" t="s">
        <v>61</v>
      </c>
      <c r="D8" s="7" t="str">
        <f>_xlfn.XLOOKUP(C8, Master_Product!A:A, Master_Product!B:B)</f>
        <v>Pain Au Chocolat (Frozen)</v>
      </c>
      <c r="E8" s="7" t="str">
        <f>_xlfn.XLOOKUP(C8, Master_Product!A:A, Master_Product!C:C)</f>
        <v>Bakery &amp; Pastry</v>
      </c>
      <c r="F8" s="6">
        <v>80</v>
      </c>
      <c r="G8" s="8">
        <v>14000</v>
      </c>
      <c r="H8" s="8">
        <f t="shared" si="0"/>
        <v>1120000</v>
      </c>
      <c r="I8" s="6" t="s">
        <v>60</v>
      </c>
      <c r="J8" s="7" t="s">
        <v>162</v>
      </c>
    </row>
    <row r="9" spans="1:10" x14ac:dyDescent="0.3">
      <c r="A9" s="6" t="s">
        <v>164</v>
      </c>
      <c r="B9" s="6" t="s">
        <v>165</v>
      </c>
      <c r="C9" s="6" t="s">
        <v>34</v>
      </c>
      <c r="D9" s="7" t="str">
        <f>_xlfn.XLOOKUP(C9, Master_Product!A:A, Master_Product!B:B)</f>
        <v>Fresh Milk Pasteurisasi 1L</v>
      </c>
      <c r="E9" s="7" t="str">
        <f>_xlfn.XLOOKUP(C9, Master_Product!A:A, Master_Product!C:C)</f>
        <v>Dairy &amp; Fresh</v>
      </c>
      <c r="F9" s="6">
        <v>50</v>
      </c>
      <c r="G9" s="8">
        <v>22000</v>
      </c>
      <c r="H9" s="8">
        <f t="shared" si="0"/>
        <v>1100000</v>
      </c>
      <c r="I9" s="6" t="s">
        <v>33</v>
      </c>
      <c r="J9" s="7" t="s">
        <v>166</v>
      </c>
    </row>
    <row r="10" spans="1:10" x14ac:dyDescent="0.3">
      <c r="A10" s="6" t="s">
        <v>167</v>
      </c>
      <c r="B10" s="6" t="s">
        <v>168</v>
      </c>
      <c r="C10" s="6" t="s">
        <v>48</v>
      </c>
      <c r="D10" s="7" t="str">
        <f>_xlfn.XLOOKUP(C10, Master_Product!A:A, Master_Product!B:B)</f>
        <v>Matcha Powder Premium 1kg</v>
      </c>
      <c r="E10" s="7" t="str">
        <f>_xlfn.XLOOKUP(C10, Master_Product!A:A, Master_Product!C:C)</f>
        <v>Beverage Base</v>
      </c>
      <c r="F10" s="6">
        <v>5</v>
      </c>
      <c r="G10" s="8">
        <v>280000</v>
      </c>
      <c r="H10" s="8">
        <f t="shared" si="0"/>
        <v>1400000</v>
      </c>
      <c r="I10" s="6" t="s">
        <v>43</v>
      </c>
      <c r="J10" s="7" t="s">
        <v>169</v>
      </c>
    </row>
    <row r="11" spans="1:10" x14ac:dyDescent="0.3">
      <c r="A11" s="6" t="s">
        <v>170</v>
      </c>
      <c r="B11" s="6" t="s">
        <v>168</v>
      </c>
      <c r="C11" s="6" t="s">
        <v>51</v>
      </c>
      <c r="D11" s="7" t="str">
        <f>_xlfn.XLOOKUP(C11, Master_Product!A:A, Master_Product!B:B)</f>
        <v>Chocolate Powder Pure 1kg</v>
      </c>
      <c r="E11" s="7" t="str">
        <f>_xlfn.XLOOKUP(C11, Master_Product!A:A, Master_Product!C:C)</f>
        <v>Beverage Base</v>
      </c>
      <c r="F11" s="6">
        <v>8</v>
      </c>
      <c r="G11" s="8">
        <v>160000</v>
      </c>
      <c r="H11" s="8">
        <f t="shared" si="0"/>
        <v>1280000</v>
      </c>
      <c r="I11" s="6" t="s">
        <v>43</v>
      </c>
      <c r="J11" s="7" t="s">
        <v>171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Master_Product!$A$2:$A$100</xm:f>
          </x14:formula1>
          <xm:sqref>C2:C200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topLeftCell="E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6" customWidth="1"/>
    <col min="2" max="3" width="14" customWidth="1"/>
    <col min="4" max="5" width="57" customWidth="1"/>
    <col min="6" max="6" width="12" customWidth="1"/>
    <col min="7" max="7" width="25" customWidth="1"/>
    <col min="8" max="8" width="27" customWidth="1"/>
    <col min="9" max="9" width="15" customWidth="1"/>
    <col min="10" max="10" width="25" customWidth="1"/>
  </cols>
  <sheetData>
    <row r="1" spans="1:10" x14ac:dyDescent="0.3">
      <c r="A1" s="5" t="s">
        <v>144</v>
      </c>
      <c r="B1" s="5" t="s">
        <v>145</v>
      </c>
      <c r="C1" s="5" t="s">
        <v>6</v>
      </c>
      <c r="D1" s="5" t="s">
        <v>7</v>
      </c>
      <c r="E1" s="5" t="s">
        <v>8</v>
      </c>
      <c r="F1" s="5" t="s">
        <v>172</v>
      </c>
      <c r="G1" s="5" t="s">
        <v>173</v>
      </c>
      <c r="H1" s="5" t="s">
        <v>174</v>
      </c>
      <c r="I1" s="5" t="s">
        <v>116</v>
      </c>
      <c r="J1" s="5" t="s">
        <v>119</v>
      </c>
    </row>
    <row r="2" spans="1:10" x14ac:dyDescent="0.3">
      <c r="A2" s="6" t="s">
        <v>175</v>
      </c>
      <c r="B2" s="6" t="s">
        <v>149</v>
      </c>
      <c r="C2" s="6" t="s">
        <v>22</v>
      </c>
      <c r="D2" s="7" t="str">
        <f>_xlfn.XLOOKUP(C2, Master_Product!A:A, Master_Product!B:B)</f>
        <v>Espresso Blend House 1kg</v>
      </c>
      <c r="E2" s="7" t="str">
        <f>_xlfn.XLOOKUP(C2, Master_Product!A:A, Master_Product!C:C)</f>
        <v>Coffee Beans</v>
      </c>
      <c r="F2" s="6">
        <v>4</v>
      </c>
      <c r="G2" s="8">
        <v>320000</v>
      </c>
      <c r="H2" s="8">
        <f t="shared" ref="H2:H11" si="0">F2*G2</f>
        <v>1280000</v>
      </c>
      <c r="I2" s="6" t="s">
        <v>120</v>
      </c>
      <c r="J2" s="7" t="s">
        <v>176</v>
      </c>
    </row>
    <row r="3" spans="1:10" x14ac:dyDescent="0.3">
      <c r="A3" s="6" t="s">
        <v>177</v>
      </c>
      <c r="B3" s="6" t="s">
        <v>149</v>
      </c>
      <c r="C3" s="6" t="s">
        <v>29</v>
      </c>
      <c r="D3" s="7" t="str">
        <f>_xlfn.XLOOKUP(C3, Master_Product!A:A, Master_Product!B:B)</f>
        <v>Susu UHT Full Cream 1L</v>
      </c>
      <c r="E3" s="7" t="str">
        <f>_xlfn.XLOOKUP(C3, Master_Product!A:A, Master_Product!C:C)</f>
        <v>Dairy &amp; Fresh</v>
      </c>
      <c r="F3" s="6">
        <v>35</v>
      </c>
      <c r="G3" s="8">
        <v>25000</v>
      </c>
      <c r="H3" s="8">
        <f t="shared" si="0"/>
        <v>875000</v>
      </c>
      <c r="I3" s="6" t="s">
        <v>120</v>
      </c>
      <c r="J3" s="7" t="s">
        <v>176</v>
      </c>
    </row>
    <row r="4" spans="1:10" x14ac:dyDescent="0.3">
      <c r="A4" s="6" t="s">
        <v>178</v>
      </c>
      <c r="B4" s="6" t="s">
        <v>156</v>
      </c>
      <c r="C4" s="6" t="s">
        <v>63</v>
      </c>
      <c r="D4" s="7" t="str">
        <f>_xlfn.XLOOKUP(C4, Master_Product!A:A, Master_Product!B:B)</f>
        <v>Paper Cup Hot 8oz + Lid</v>
      </c>
      <c r="E4" s="7" t="str">
        <f>_xlfn.XLOOKUP(C4, Master_Product!A:A, Master_Product!C:C)</f>
        <v>Packaging</v>
      </c>
      <c r="F4" s="6">
        <v>250</v>
      </c>
      <c r="G4" s="8">
        <v>1500</v>
      </c>
      <c r="H4" s="8">
        <f t="shared" si="0"/>
        <v>375000</v>
      </c>
      <c r="I4" s="6" t="s">
        <v>120</v>
      </c>
      <c r="J4" s="7" t="s">
        <v>179</v>
      </c>
    </row>
    <row r="5" spans="1:10" x14ac:dyDescent="0.3">
      <c r="A5" s="6" t="s">
        <v>180</v>
      </c>
      <c r="B5" s="6" t="s">
        <v>156</v>
      </c>
      <c r="C5" s="6" t="s">
        <v>67</v>
      </c>
      <c r="D5" s="7" t="str">
        <f>_xlfn.XLOOKUP(C5, Master_Product!A:A, Master_Product!B:B)</f>
        <v>Plastic Cup Cold 16oz + Lid</v>
      </c>
      <c r="E5" s="7" t="str">
        <f>_xlfn.XLOOKUP(C5, Master_Product!A:A, Master_Product!C:C)</f>
        <v>Packaging</v>
      </c>
      <c r="F5" s="6">
        <v>400</v>
      </c>
      <c r="G5" s="8">
        <v>2000</v>
      </c>
      <c r="H5" s="8">
        <f t="shared" si="0"/>
        <v>800000</v>
      </c>
      <c r="I5" s="6" t="s">
        <v>125</v>
      </c>
      <c r="J5" s="7" t="s">
        <v>181</v>
      </c>
    </row>
    <row r="6" spans="1:10" x14ac:dyDescent="0.3">
      <c r="A6" s="6" t="s">
        <v>182</v>
      </c>
      <c r="B6" s="6" t="s">
        <v>161</v>
      </c>
      <c r="C6" s="6" t="s">
        <v>56</v>
      </c>
      <c r="D6" s="7" t="str">
        <f>_xlfn.XLOOKUP(C6, Master_Product!A:A, Master_Product!B:B)</f>
        <v>Butter Croissant (Frozen)</v>
      </c>
      <c r="E6" s="7" t="str">
        <f>_xlfn.XLOOKUP(C6, Master_Product!A:A, Master_Product!C:C)</f>
        <v>Bakery &amp; Pastry</v>
      </c>
      <c r="F6" s="6">
        <v>45</v>
      </c>
      <c r="G6" s="8">
        <v>28000</v>
      </c>
      <c r="H6" s="8">
        <f t="shared" si="0"/>
        <v>1260000</v>
      </c>
      <c r="I6" s="6" t="s">
        <v>120</v>
      </c>
      <c r="J6" s="7" t="s">
        <v>183</v>
      </c>
    </row>
    <row r="7" spans="1:10" x14ac:dyDescent="0.3">
      <c r="A7" s="6" t="s">
        <v>184</v>
      </c>
      <c r="B7" s="6" t="s">
        <v>161</v>
      </c>
      <c r="C7" s="6" t="s">
        <v>61</v>
      </c>
      <c r="D7" s="7" t="str">
        <f>_xlfn.XLOOKUP(C7, Master_Product!A:A, Master_Product!B:B)</f>
        <v>Pain Au Chocolat (Frozen)</v>
      </c>
      <c r="E7" s="7" t="str">
        <f>_xlfn.XLOOKUP(C7, Master_Product!A:A, Master_Product!C:C)</f>
        <v>Bakery &amp; Pastry</v>
      </c>
      <c r="F7" s="6">
        <v>30</v>
      </c>
      <c r="G7" s="8">
        <v>32000</v>
      </c>
      <c r="H7" s="8">
        <f t="shared" si="0"/>
        <v>960000</v>
      </c>
      <c r="I7" s="6" t="s">
        <v>120</v>
      </c>
      <c r="J7" s="7" t="s">
        <v>183</v>
      </c>
    </row>
    <row r="8" spans="1:10" x14ac:dyDescent="0.3">
      <c r="A8" s="6" t="s">
        <v>185</v>
      </c>
      <c r="B8" s="6" t="s">
        <v>165</v>
      </c>
      <c r="C8" s="6" t="s">
        <v>22</v>
      </c>
      <c r="D8" s="7" t="str">
        <f>_xlfn.XLOOKUP(C8, Master_Product!A:A, Master_Product!B:B)</f>
        <v>Espresso Blend House 1kg</v>
      </c>
      <c r="E8" s="7" t="str">
        <f>_xlfn.XLOOKUP(C8, Master_Product!A:A, Master_Product!C:C)</f>
        <v>Coffee Beans</v>
      </c>
      <c r="F8" s="6">
        <v>12</v>
      </c>
      <c r="G8" s="8">
        <v>320000</v>
      </c>
      <c r="H8" s="8">
        <f t="shared" si="0"/>
        <v>3840000</v>
      </c>
      <c r="I8" s="6" t="s">
        <v>129</v>
      </c>
      <c r="J8" s="7" t="s">
        <v>186</v>
      </c>
    </row>
    <row r="9" spans="1:10" x14ac:dyDescent="0.3">
      <c r="A9" s="6" t="s">
        <v>187</v>
      </c>
      <c r="B9" s="6" t="s">
        <v>165</v>
      </c>
      <c r="C9" s="6" t="s">
        <v>29</v>
      </c>
      <c r="D9" s="7" t="str">
        <f>_xlfn.XLOOKUP(C9, Master_Product!A:A, Master_Product!B:B)</f>
        <v>Susu UHT Full Cream 1L</v>
      </c>
      <c r="E9" s="7" t="str">
        <f>_xlfn.XLOOKUP(C9, Master_Product!A:A, Master_Product!C:C)</f>
        <v>Dairy &amp; Fresh</v>
      </c>
      <c r="F9" s="6">
        <v>50</v>
      </c>
      <c r="G9" s="8">
        <v>25000</v>
      </c>
      <c r="H9" s="8">
        <f t="shared" si="0"/>
        <v>1250000</v>
      </c>
      <c r="I9" s="6" t="s">
        <v>129</v>
      </c>
      <c r="J9" s="7" t="s">
        <v>186</v>
      </c>
    </row>
    <row r="10" spans="1:10" x14ac:dyDescent="0.3">
      <c r="A10" s="6" t="s">
        <v>188</v>
      </c>
      <c r="B10" s="6" t="s">
        <v>168</v>
      </c>
      <c r="C10" s="6" t="s">
        <v>39</v>
      </c>
      <c r="D10" s="7" t="str">
        <f>_xlfn.XLOOKUP(C10, Master_Product!A:A, Master_Product!B:B)</f>
        <v>Sirup Vanilla 760ml</v>
      </c>
      <c r="E10" s="7" t="str">
        <f>_xlfn.XLOOKUP(C10, Master_Product!A:A, Master_Product!C:C)</f>
        <v>Syrups &amp; Flavors</v>
      </c>
      <c r="F10" s="6">
        <v>4</v>
      </c>
      <c r="G10" s="8">
        <v>180000</v>
      </c>
      <c r="H10" s="8">
        <f t="shared" si="0"/>
        <v>720000</v>
      </c>
      <c r="I10" s="6" t="s">
        <v>120</v>
      </c>
      <c r="J10" s="7" t="s">
        <v>189</v>
      </c>
    </row>
    <row r="11" spans="1:10" x14ac:dyDescent="0.3">
      <c r="A11" s="6" t="s">
        <v>190</v>
      </c>
      <c r="B11" s="6" t="s">
        <v>168</v>
      </c>
      <c r="C11" s="6" t="s">
        <v>34</v>
      </c>
      <c r="D11" s="7" t="str">
        <f>_xlfn.XLOOKUP(C11, Master_Product!A:A, Master_Product!B:B)</f>
        <v>Fresh Milk Pasteurisasi 1L</v>
      </c>
      <c r="E11" s="7" t="str">
        <f>_xlfn.XLOOKUP(C11, Master_Product!A:A, Master_Product!C:C)</f>
        <v>Dairy &amp; Fresh</v>
      </c>
      <c r="F11" s="6">
        <v>38</v>
      </c>
      <c r="G11" s="8">
        <v>30000</v>
      </c>
      <c r="H11" s="8">
        <f t="shared" si="0"/>
        <v>1140000</v>
      </c>
      <c r="I11" s="6" t="s">
        <v>120</v>
      </c>
      <c r="J11" s="7" t="s">
        <v>191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Master_Product!$A$2:$A$100</xm:f>
          </x14:formula1>
          <xm:sqref>C2:C200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C2" sqref="C2"/>
    </sheetView>
  </sheetViews>
  <sheetFormatPr defaultRowHeight="14.4" x14ac:dyDescent="0.3"/>
  <cols>
    <col min="1" max="1" width="20" customWidth="1"/>
    <col min="2" max="2" width="39" customWidth="1"/>
    <col min="3" max="3" width="75" customWidth="1"/>
  </cols>
  <sheetData>
    <row r="1" spans="1:3" x14ac:dyDescent="0.3">
      <c r="A1" s="5" t="s">
        <v>8</v>
      </c>
      <c r="B1" s="5" t="s">
        <v>192</v>
      </c>
      <c r="C1" s="5" t="s">
        <v>193</v>
      </c>
    </row>
    <row r="2" spans="1:3" x14ac:dyDescent="0.3">
      <c r="A2" s="7" t="s">
        <v>24</v>
      </c>
      <c r="B2" s="6">
        <f>COUNTIF(Inventory_Summary!C:C, A2)</f>
        <v>2</v>
      </c>
      <c r="C2" s="8">
        <f>SUMIF(Inventory_Summary!C:C, A2, Inventory_Summary!J:J)</f>
        <v>740000</v>
      </c>
    </row>
    <row r="3" spans="1:3" x14ac:dyDescent="0.3">
      <c r="A3" s="7" t="s">
        <v>31</v>
      </c>
      <c r="B3" s="6">
        <f>COUNTIF(Inventory_Summary!C:C, A3)</f>
        <v>3</v>
      </c>
      <c r="C3" s="8">
        <f>SUMIF(Inventory_Summary!C:C, A3, Inventory_Summary!J:J)</f>
        <v>541500</v>
      </c>
    </row>
    <row r="4" spans="1:3" x14ac:dyDescent="0.3">
      <c r="A4" s="7" t="s">
        <v>41</v>
      </c>
      <c r="B4" s="6">
        <f>COUNTIF(Inventory_Summary!C:C, A4)</f>
        <v>3</v>
      </c>
      <c r="C4" s="8">
        <f>SUMIF(Inventory_Summary!C:C, A4, Inventory_Summary!J:J)</f>
        <v>270000</v>
      </c>
    </row>
    <row r="5" spans="1:3" x14ac:dyDescent="0.3">
      <c r="A5" s="7" t="s">
        <v>50</v>
      </c>
      <c r="B5" s="6">
        <f>COUNTIF(Inventory_Summary!C:C, A5)</f>
        <v>3</v>
      </c>
      <c r="C5" s="8">
        <f>SUMIF(Inventory_Summary!C:C, A5, Inventory_Summary!J:J)</f>
        <v>2680000</v>
      </c>
    </row>
    <row r="6" spans="1:3" x14ac:dyDescent="0.3">
      <c r="A6" s="7" t="s">
        <v>58</v>
      </c>
      <c r="B6" s="6">
        <f>COUNTIF(Inventory_Summary!C:C, A6)</f>
        <v>2</v>
      </c>
      <c r="C6" s="8">
        <f>SUMIF(Inventory_Summary!C:C, A6, Inventory_Summary!J:J)</f>
        <v>1360000</v>
      </c>
    </row>
    <row r="7" spans="1:3" x14ac:dyDescent="0.3">
      <c r="A7" s="7" t="s">
        <v>65</v>
      </c>
      <c r="B7" s="6">
        <f>COUNTIF(Inventory_Summary!C:C, A7)</f>
        <v>3</v>
      </c>
      <c r="C7" s="8">
        <f>SUMIF(Inventory_Summary!C:C, A7, Inventory_Summary!J:J)</f>
        <v>1847500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Inventory_Summary</vt:lpstr>
      <vt:lpstr>Master_Product</vt:lpstr>
      <vt:lpstr>Master_Category</vt:lpstr>
      <vt:lpstr>Master_Supplier</vt:lpstr>
      <vt:lpstr>Master_Customer</vt:lpstr>
      <vt:lpstr>Stock_In</vt:lpstr>
      <vt:lpstr>Stock_Out</vt:lpstr>
      <vt:lpstr>PivotData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akhmal novanda</cp:lastModifiedBy>
  <dcterms:created xsi:type="dcterms:W3CDTF">2026-08-06T15:38:10Z</dcterms:created>
  <dcterms:modified xsi:type="dcterms:W3CDTF">2026-08-06T16:27:54Z</dcterms:modified>
</cp:coreProperties>
</file>