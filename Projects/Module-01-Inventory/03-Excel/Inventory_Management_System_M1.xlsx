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areer-Rebuild\aditiyapratama-dev\Projects\Module-01-Inventory\03-Excel\"/>
    </mc:Choice>
  </mc:AlternateContent>
  <xr:revisionPtr revIDLastSave="0" documentId="13_ncr:1_{5B14D0D8-531D-4851-8EF4-F25D7F4AED5A}" xr6:coauthVersionLast="47" xr6:coauthVersionMax="47" xr10:uidLastSave="{00000000-0000-0000-0000-000000000000}"/>
  <bookViews>
    <workbookView xWindow="-108" yWindow="-108" windowWidth="23256" windowHeight="13176" firstSheet="2" activeTab="7" xr2:uid="{00000000-000D-0000-FFFF-FFFF00000000}"/>
  </bookViews>
  <sheets>
    <sheet name="Dashboard" sheetId="1" r:id="rId1"/>
    <sheet name="Master_Product" sheetId="2" r:id="rId2"/>
    <sheet name="Master_Supplier" sheetId="13" r:id="rId3"/>
    <sheet name="Master_Customer" sheetId="12" r:id="rId4"/>
    <sheet name="Master_Category" sheetId="10" r:id="rId5"/>
    <sheet name="Inventory_Summary" sheetId="4" r:id="rId6"/>
    <sheet name="PivotData" sheetId="9" r:id="rId7"/>
    <sheet name="Stock_In" sheetId="5" r:id="rId8"/>
    <sheet name="Stock_Out" sheetId="6" r:id="rId9"/>
  </sheets>
  <calcPr calcId="191029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5" l="1" a="1"/>
  <c r="C2" i="5"/>
  <c r="C3" i="5" a="1"/>
  <c r="C3" i="5"/>
  <c r="C4" i="5" a="1"/>
  <c r="C4" i="5"/>
  <c r="C5" i="5" a="1"/>
  <c r="C5" i="5"/>
  <c r="C6" i="5" a="1"/>
  <c r="C6" i="5"/>
  <c r="C7" i="5" a="1"/>
  <c r="C7" i="5"/>
  <c r="C8" i="5" a="1"/>
  <c r="C8" i="5" s="1"/>
  <c r="C9" i="5" a="1"/>
  <c r="C9" i="5" s="1"/>
  <c r="C10" i="5" a="1"/>
  <c r="C10" i="5" s="1"/>
  <c r="C11" i="5" a="1"/>
  <c r="C11" i="5"/>
  <c r="C12" i="5" a="1"/>
  <c r="C12" i="5"/>
  <c r="C13" i="5" a="1"/>
  <c r="C13" i="5"/>
  <c r="C14" i="5" a="1"/>
  <c r="C14" i="5" s="1"/>
  <c r="C15" i="5" a="1"/>
  <c r="C15" i="5"/>
  <c r="C16" i="5" a="1"/>
  <c r="C16" i="5"/>
  <c r="C17" i="5" a="1"/>
  <c r="C17" i="5"/>
  <c r="C18" i="5" a="1"/>
  <c r="C18" i="5"/>
  <c r="C19" i="5" a="1"/>
  <c r="C19" i="5"/>
  <c r="C20" i="5" a="1"/>
  <c r="C20" i="5" s="1"/>
  <c r="C21" i="5" a="1"/>
  <c r="C21" i="5" s="1"/>
  <c r="C22" i="5" a="1"/>
  <c r="C22" i="5" s="1"/>
  <c r="C23" i="5" a="1"/>
  <c r="C23" i="5" s="1"/>
  <c r="C24" i="5" a="1"/>
  <c r="C24" i="5"/>
  <c r="C25" i="5" a="1"/>
  <c r="C25" i="5"/>
  <c r="C26" i="5" a="1"/>
  <c r="C26" i="5" s="1"/>
  <c r="C27" i="5" a="1"/>
  <c r="C27" i="5"/>
  <c r="C28" i="5" a="1"/>
  <c r="C28" i="5"/>
  <c r="C29" i="5" a="1"/>
  <c r="C29" i="5"/>
  <c r="C30" i="5" a="1"/>
  <c r="C30" i="5"/>
  <c r="C31" i="5" a="1"/>
  <c r="C31" i="5"/>
  <c r="C32" i="5" a="1"/>
  <c r="C32" i="5" s="1"/>
  <c r="C33" i="5" a="1"/>
  <c r="C33" i="5" s="1"/>
  <c r="C34" i="5" a="1"/>
  <c r="C34" i="5"/>
  <c r="C35" i="5" a="1"/>
  <c r="C35" i="5"/>
  <c r="C36" i="5" a="1"/>
  <c r="C36" i="5"/>
  <c r="C37" i="5" a="1"/>
  <c r="C37" i="5"/>
  <c r="C38" i="5" a="1"/>
  <c r="C38" i="5" s="1"/>
  <c r="C39" i="5" a="1"/>
  <c r="C39" i="5" s="1"/>
  <c r="C40" i="5" a="1"/>
  <c r="C40" i="5"/>
  <c r="C41" i="5" a="1"/>
  <c r="C41" i="5"/>
  <c r="C42" i="5" a="1"/>
  <c r="C42" i="5"/>
  <c r="C43" i="5" a="1"/>
  <c r="C43" i="5"/>
  <c r="C44" i="5" a="1"/>
  <c r="C44" i="5" s="1"/>
  <c r="C45" i="5" a="1"/>
  <c r="C45" i="5" s="1"/>
  <c r="C46" i="5" a="1"/>
  <c r="C46" i="5"/>
  <c r="C47" i="5" a="1"/>
  <c r="C47" i="5"/>
  <c r="C48" i="5" a="1"/>
  <c r="C48" i="5"/>
  <c r="C49" i="5" a="1"/>
  <c r="C49" i="5"/>
  <c r="C50" i="5" a="1"/>
  <c r="C50" i="5" s="1"/>
  <c r="C51" i="5" a="1"/>
  <c r="C51" i="5" s="1"/>
  <c r="C52" i="5" a="1"/>
  <c r="C52" i="5"/>
  <c r="C53" i="5" a="1"/>
  <c r="C53" i="5"/>
  <c r="C54" i="5" a="1"/>
  <c r="C54" i="5"/>
  <c r="C55" i="5" a="1"/>
  <c r="C55" i="5"/>
  <c r="C56" i="5" a="1"/>
  <c r="C56" i="5" s="1"/>
  <c r="C57" i="5" a="1"/>
  <c r="C57" i="5" s="1"/>
  <c r="C58" i="5" a="1"/>
  <c r="C58" i="5"/>
  <c r="C59" i="5" a="1"/>
  <c r="C59" i="5"/>
  <c r="C60" i="5" a="1"/>
  <c r="C60" i="5"/>
  <c r="C61" i="5" a="1"/>
  <c r="C61" i="5"/>
  <c r="C62" i="5" a="1"/>
  <c r="C62" i="5" s="1"/>
  <c r="C63" i="5" a="1"/>
  <c r="C63" i="5" s="1"/>
  <c r="C64" i="5" a="1"/>
  <c r="C64" i="5"/>
  <c r="C65" i="5" a="1"/>
  <c r="C65" i="5"/>
  <c r="C66" i="5" a="1"/>
  <c r="C66" i="5"/>
  <c r="C67" i="5" a="1"/>
  <c r="C67" i="5"/>
  <c r="C68" i="5" a="1"/>
  <c r="C68" i="5" s="1"/>
  <c r="C69" i="5" a="1"/>
  <c r="C69" i="5" s="1"/>
  <c r="C70" i="5" a="1"/>
  <c r="C70" i="5"/>
  <c r="C71" i="5" a="1"/>
  <c r="C71" i="5"/>
  <c r="C72" i="5" a="1"/>
  <c r="C72" i="5"/>
  <c r="C73" i="5" a="1"/>
  <c r="C73" i="5"/>
  <c r="C74" i="5" a="1"/>
  <c r="C74" i="5" s="1"/>
  <c r="C75" i="5" a="1"/>
  <c r="C75" i="5" s="1"/>
  <c r="C76" i="5" a="1"/>
  <c r="C76" i="5"/>
  <c r="C77" i="5" a="1"/>
  <c r="C77" i="5"/>
  <c r="C78" i="5" a="1"/>
  <c r="C78" i="5"/>
  <c r="C79" i="5" a="1"/>
  <c r="C79" i="5"/>
  <c r="C80" i="5" a="1"/>
  <c r="C80" i="5" s="1"/>
  <c r="C81" i="5" a="1"/>
  <c r="C81" i="5" s="1"/>
  <c r="C82" i="5" a="1"/>
  <c r="C82" i="5"/>
  <c r="C83" i="5" a="1"/>
  <c r="C83" i="5"/>
  <c r="C84" i="5" a="1"/>
  <c r="C84" i="5"/>
  <c r="C85" i="5" a="1"/>
  <c r="C85" i="5"/>
  <c r="C86" i="5" a="1"/>
  <c r="C86" i="5" s="1"/>
  <c r="C87" i="5" a="1"/>
  <c r="C87" i="5" s="1"/>
  <c r="C88" i="5" a="1"/>
  <c r="C88" i="5"/>
  <c r="C89" i="5" a="1"/>
  <c r="C89" i="5"/>
  <c r="C90" i="5" a="1"/>
  <c r="C90" i="5"/>
  <c r="C91" i="5" a="1"/>
  <c r="C91" i="5"/>
  <c r="C92" i="5" a="1"/>
  <c r="C92" i="5" s="1"/>
  <c r="C93" i="5" a="1"/>
  <c r="C93" i="5" s="1"/>
  <c r="C94" i="5" a="1"/>
  <c r="C94" i="5"/>
  <c r="C95" i="5" a="1"/>
  <c r="C95" i="5"/>
  <c r="C96" i="5" a="1"/>
  <c r="C96" i="5"/>
  <c r="C97" i="5" a="1"/>
  <c r="C97" i="5"/>
  <c r="C98" i="5" a="1"/>
  <c r="C98" i="5" s="1"/>
  <c r="C99" i="5" a="1"/>
  <c r="C99" i="5" s="1"/>
  <c r="C100" i="5" a="1"/>
  <c r="C100" i="5"/>
  <c r="C101" i="5" a="1"/>
  <c r="C101" i="5"/>
  <c r="C102" i="5" a="1"/>
  <c r="C102" i="5"/>
  <c r="C103" i="5" a="1"/>
  <c r="C103" i="5"/>
  <c r="C104" i="5" a="1"/>
  <c r="C104" i="5" s="1"/>
  <c r="C105" i="5" a="1"/>
  <c r="C105" i="5" s="1"/>
  <c r="C106" i="5" a="1"/>
  <c r="C106" i="5"/>
  <c r="C107" i="5" a="1"/>
  <c r="C107" i="5"/>
  <c r="C108" i="5" a="1"/>
  <c r="C108" i="5"/>
  <c r="C109" i="5" a="1"/>
  <c r="C109" i="5"/>
  <c r="C110" i="5" a="1"/>
  <c r="C110" i="5" s="1"/>
  <c r="C111" i="5" a="1"/>
  <c r="C111" i="5" s="1"/>
  <c r="C112" i="5" a="1"/>
  <c r="C112" i="5"/>
  <c r="C113" i="5" a="1"/>
  <c r="C113" i="5"/>
  <c r="C114" i="5" a="1"/>
  <c r="C114" i="5"/>
  <c r="C115" i="5" a="1"/>
  <c r="C115" i="5"/>
  <c r="C116" i="5" a="1"/>
  <c r="C116" i="5" s="1"/>
  <c r="C117" i="5" a="1"/>
  <c r="C117" i="5" s="1"/>
  <c r="C118" i="5" a="1"/>
  <c r="C118" i="5"/>
  <c r="C119" i="5" a="1"/>
  <c r="C119" i="5"/>
  <c r="C120" i="5" a="1"/>
  <c r="C120" i="5"/>
  <c r="C121" i="5" a="1"/>
  <c r="C121" i="5"/>
  <c r="C122" i="5" a="1"/>
  <c r="C122" i="5" s="1"/>
  <c r="C123" i="5" a="1"/>
  <c r="C123" i="5" s="1"/>
  <c r="C124" i="5" a="1"/>
  <c r="C124" i="5"/>
  <c r="C125" i="5" a="1"/>
  <c r="C125" i="5"/>
  <c r="C126" i="5" a="1"/>
  <c r="C126" i="5"/>
  <c r="C127" i="5" a="1"/>
  <c r="C127" i="5"/>
  <c r="C128" i="5" a="1"/>
  <c r="C128" i="5" s="1"/>
  <c r="C129" i="5" a="1"/>
  <c r="C129" i="5" s="1"/>
  <c r="C130" i="5" a="1"/>
  <c r="C130" i="5"/>
  <c r="C131" i="5" a="1"/>
  <c r="C131" i="5"/>
  <c r="C132" i="5" a="1"/>
  <c r="C132" i="5"/>
  <c r="C133" i="5" a="1"/>
  <c r="C133" i="5"/>
  <c r="C134" i="5" a="1"/>
  <c r="C134" i="5" s="1"/>
  <c r="C135" i="5" a="1"/>
  <c r="C135" i="5" s="1"/>
  <c r="C136" i="5" a="1"/>
  <c r="C136" i="5"/>
  <c r="C137" i="5" a="1"/>
  <c r="C137" i="5"/>
  <c r="C138" i="5" a="1"/>
  <c r="C138" i="5"/>
  <c r="C139" i="5" a="1"/>
  <c r="C139" i="5"/>
  <c r="C140" i="5" a="1"/>
  <c r="C140" i="5" s="1"/>
  <c r="C141" i="5" a="1"/>
  <c r="C141" i="5" s="1"/>
  <c r="C142" i="5" a="1"/>
  <c r="C142" i="5"/>
  <c r="C143" i="5" a="1"/>
  <c r="C143" i="5"/>
  <c r="C144" i="5" a="1"/>
  <c r="C144" i="5"/>
  <c r="C145" i="5" a="1"/>
  <c r="C145" i="5"/>
  <c r="C146" i="5" a="1"/>
  <c r="C146" i="5" s="1"/>
  <c r="C147" i="5" a="1"/>
  <c r="C147" i="5" s="1"/>
  <c r="C148" i="5" a="1"/>
  <c r="C148" i="5"/>
  <c r="C149" i="5" a="1"/>
  <c r="C149" i="5"/>
  <c r="C150" i="5" a="1"/>
  <c r="C150" i="5"/>
  <c r="C151" i="5" a="1"/>
  <c r="C151" i="5"/>
  <c r="C152" i="5" a="1"/>
  <c r="C152" i="5" s="1"/>
  <c r="C153" i="5" a="1"/>
  <c r="C153" i="5" s="1"/>
  <c r="C154" i="5" a="1"/>
  <c r="C154" i="5"/>
  <c r="C155" i="5" a="1"/>
  <c r="C155" i="5"/>
  <c r="C156" i="5" a="1"/>
  <c r="C156" i="5"/>
  <c r="C157" i="5" a="1"/>
  <c r="C157" i="5"/>
  <c r="C158" i="5" a="1"/>
  <c r="C158" i="5" s="1"/>
  <c r="C159" i="5" a="1"/>
  <c r="C159" i="5" s="1"/>
  <c r="C160" i="5" a="1"/>
  <c r="C160" i="5"/>
  <c r="C161" i="5" a="1"/>
  <c r="C161" i="5"/>
  <c r="C162" i="5" a="1"/>
  <c r="C162" i="5"/>
  <c r="C163" i="5" a="1"/>
  <c r="C163" i="5"/>
  <c r="C164" i="5" a="1"/>
  <c r="C164" i="5" s="1"/>
  <c r="C165" i="5" a="1"/>
  <c r="C165" i="5" s="1"/>
  <c r="C166" i="5" a="1"/>
  <c r="C166" i="5"/>
  <c r="C167" i="5" a="1"/>
  <c r="C167" i="5"/>
  <c r="C168" i="5" a="1"/>
  <c r="C168" i="5"/>
  <c r="C169" i="5" a="1"/>
  <c r="C169" i="5"/>
  <c r="C170" i="5" a="1"/>
  <c r="C170" i="5" s="1"/>
  <c r="C171" i="5" a="1"/>
  <c r="C171" i="5" s="1"/>
  <c r="C172" i="5" a="1"/>
  <c r="C172" i="5"/>
  <c r="C173" i="5" a="1"/>
  <c r="C173" i="5"/>
  <c r="C174" i="5" a="1"/>
  <c r="C174" i="5"/>
  <c r="C175" i="5" a="1"/>
  <c r="C175" i="5"/>
  <c r="C176" i="5" a="1"/>
  <c r="C176" i="5" s="1"/>
  <c r="C177" i="5" a="1"/>
  <c r="C177" i="5" s="1"/>
  <c r="C178" i="5" a="1"/>
  <c r="C178" i="5"/>
  <c r="C179" i="5" a="1"/>
  <c r="C179" i="5"/>
  <c r="C180" i="5" a="1"/>
  <c r="C180" i="5"/>
  <c r="C181" i="5" a="1"/>
  <c r="C181" i="5"/>
  <c r="C182" i="5" a="1"/>
  <c r="C182" i="5" s="1"/>
  <c r="C183" i="5" a="1"/>
  <c r="C183" i="5" s="1"/>
  <c r="C184" i="5" a="1"/>
  <c r="C184" i="5"/>
  <c r="C185" i="5" a="1"/>
  <c r="C185" i="5"/>
  <c r="C186" i="5" a="1"/>
  <c r="C186" i="5"/>
  <c r="C187" i="5" a="1"/>
  <c r="C187" i="5"/>
  <c r="C188" i="5" a="1"/>
  <c r="C188" i="5" s="1"/>
  <c r="C189" i="5" a="1"/>
  <c r="C189" i="5" s="1"/>
  <c r="C190" i="5" a="1"/>
  <c r="C190" i="5"/>
  <c r="C191" i="5" a="1"/>
  <c r="C191" i="5"/>
  <c r="C192" i="5" a="1"/>
  <c r="C192" i="5"/>
  <c r="C193" i="5" a="1"/>
  <c r="C193" i="5"/>
  <c r="C194" i="5" a="1"/>
  <c r="C194" i="5" s="1"/>
  <c r="C195" i="5" a="1"/>
  <c r="C195" i="5" s="1"/>
  <c r="C196" i="5" a="1"/>
  <c r="C196" i="5"/>
  <c r="C197" i="5" a="1"/>
  <c r="C197" i="5"/>
  <c r="C198" i="5" a="1"/>
  <c r="C198" i="5"/>
  <c r="C199" i="5" a="1"/>
  <c r="C199" i="5"/>
  <c r="C200" i="5" a="1"/>
  <c r="C200" i="5" s="1"/>
  <c r="C201" i="5" a="1"/>
  <c r="C201" i="5" s="1"/>
  <c r="C202" i="5" a="1"/>
  <c r="C202" i="5"/>
  <c r="C203" i="5" a="1"/>
  <c r="C203" i="5"/>
  <c r="C204" i="5" a="1"/>
  <c r="C204" i="5"/>
  <c r="C205" i="5" a="1"/>
  <c r="C205" i="5"/>
  <c r="C206" i="5" a="1"/>
  <c r="C206" i="5" s="1"/>
  <c r="C207" i="5" a="1"/>
  <c r="C207" i="5" s="1"/>
  <c r="C208" i="5" a="1"/>
  <c r="C208" i="5"/>
  <c r="C209" i="5" a="1"/>
  <c r="C209" i="5"/>
  <c r="C210" i="5" a="1"/>
  <c r="C210" i="5"/>
  <c r="C211" i="5" a="1"/>
  <c r="C211" i="5"/>
  <c r="C212" i="5" a="1"/>
  <c r="C212" i="5" s="1"/>
  <c r="C213" i="5" a="1"/>
  <c r="C213" i="5" s="1"/>
  <c r="C214" i="5" a="1"/>
  <c r="C214" i="5"/>
  <c r="C215" i="5" a="1"/>
  <c r="C215" i="5"/>
  <c r="C216" i="5" a="1"/>
  <c r="C216" i="5"/>
  <c r="C217" i="5" a="1"/>
  <c r="C217" i="5"/>
  <c r="C218" i="5" a="1"/>
  <c r="C218" i="5" s="1"/>
  <c r="C219" i="5" a="1"/>
  <c r="C219" i="5" s="1"/>
  <c r="C220" i="5" a="1"/>
  <c r="C220" i="5"/>
  <c r="C221" i="5" a="1"/>
  <c r="C221" i="5"/>
  <c r="C222" i="5" a="1"/>
  <c r="C222" i="5"/>
  <c r="C223" i="5" a="1"/>
  <c r="C223" i="5"/>
  <c r="C224" i="5" a="1"/>
  <c r="C224" i="5" s="1"/>
  <c r="C225" i="5" a="1"/>
  <c r="C225" i="5" s="1"/>
  <c r="C226" i="5" a="1"/>
  <c r="C226" i="5"/>
  <c r="C227" i="5" a="1"/>
  <c r="C227" i="5"/>
  <c r="C228" i="5" a="1"/>
  <c r="C228" i="5"/>
  <c r="C229" i="5" a="1"/>
  <c r="C229" i="5"/>
  <c r="C230" i="5" a="1"/>
  <c r="C230" i="5" s="1"/>
  <c r="C231" i="5" a="1"/>
  <c r="C231" i="5" s="1"/>
  <c r="C232" i="5" a="1"/>
  <c r="C232" i="5"/>
  <c r="C233" i="5" a="1"/>
  <c r="C233" i="5"/>
  <c r="C234" i="5" a="1"/>
  <c r="C234" i="5"/>
  <c r="C235" i="5" a="1"/>
  <c r="C235" i="5"/>
  <c r="C236" i="5" a="1"/>
  <c r="C236" i="5" s="1"/>
  <c r="C237" i="5" a="1"/>
  <c r="C237" i="5" s="1"/>
  <c r="C238" i="5" a="1"/>
  <c r="C238" i="5"/>
  <c r="C239" i="5" a="1"/>
  <c r="C239" i="5"/>
  <c r="C240" i="5" a="1"/>
  <c r="C240" i="5"/>
  <c r="C241" i="5" a="1"/>
  <c r="C241" i="5"/>
  <c r="C242" i="5" a="1"/>
  <c r="C242" i="5" s="1"/>
  <c r="C243" i="5" a="1"/>
  <c r="C243" i="5" s="1"/>
  <c r="C244" i="5" a="1"/>
  <c r="C244" i="5"/>
  <c r="C245" i="5" a="1"/>
  <c r="C245" i="5"/>
  <c r="C246" i="5" a="1"/>
  <c r="C246" i="5"/>
  <c r="C247" i="5" a="1"/>
  <c r="C247" i="5"/>
  <c r="C248" i="5" a="1"/>
  <c r="C248" i="5" s="1"/>
  <c r="C249" i="5" a="1"/>
  <c r="C249" i="5" s="1"/>
  <c r="C250" i="5" a="1"/>
  <c r="C250" i="5"/>
  <c r="C251" i="5" a="1"/>
  <c r="C251" i="5"/>
  <c r="C252" i="5" a="1"/>
  <c r="C252" i="5"/>
  <c r="C253" i="5" a="1"/>
  <c r="C253" i="5"/>
  <c r="C254" i="5" a="1"/>
  <c r="C254" i="5" s="1"/>
  <c r="C255" i="5" a="1"/>
  <c r="C255" i="5" s="1"/>
  <c r="C256" i="5" a="1"/>
  <c r="C256" i="5"/>
  <c r="C257" i="5" a="1"/>
  <c r="C257" i="5"/>
  <c r="C258" i="5" a="1"/>
  <c r="C258" i="5"/>
  <c r="C259" i="5" a="1"/>
  <c r="C259" i="5"/>
  <c r="C260" i="5" a="1"/>
  <c r="C260" i="5" s="1"/>
  <c r="C261" i="5" a="1"/>
  <c r="C261" i="5" s="1"/>
  <c r="C262" i="5" a="1"/>
  <c r="C262" i="5"/>
  <c r="C263" i="5" a="1"/>
  <c r="C263" i="5"/>
  <c r="C264" i="5" a="1"/>
  <c r="C264" i="5"/>
  <c r="C265" i="5" a="1"/>
  <c r="C265" i="5"/>
  <c r="C266" i="5" a="1"/>
  <c r="C266" i="5" s="1"/>
  <c r="C267" i="5" a="1"/>
  <c r="C267" i="5" s="1"/>
  <c r="C268" i="5" a="1"/>
  <c r="C268" i="5"/>
  <c r="C269" i="5" a="1"/>
  <c r="C269" i="5"/>
  <c r="C270" i="5" a="1"/>
  <c r="C270" i="5"/>
  <c r="C271" i="5" a="1"/>
  <c r="C271" i="5"/>
  <c r="C272" i="5" a="1"/>
  <c r="C272" i="5" s="1"/>
  <c r="C273" i="5" a="1"/>
  <c r="C273" i="5" s="1"/>
  <c r="C274" i="5" a="1"/>
  <c r="C274" i="5"/>
  <c r="C275" i="5" a="1"/>
  <c r="C275" i="5" s="1"/>
  <c r="C276" i="5" a="1"/>
  <c r="C276" i="5"/>
  <c r="C277" i="5" a="1"/>
  <c r="C277" i="5"/>
  <c r="C278" i="5" a="1"/>
  <c r="C278" i="5" s="1"/>
  <c r="C279" i="5" a="1"/>
  <c r="C279" i="5" s="1"/>
  <c r="C280" i="5" a="1"/>
  <c r="C280" i="5"/>
  <c r="C281" i="5" a="1"/>
  <c r="C281" i="5"/>
  <c r="C282" i="5" a="1"/>
  <c r="C282" i="5" s="1"/>
  <c r="C283" i="5" a="1"/>
  <c r="C283" i="5"/>
  <c r="C284" i="5" a="1"/>
  <c r="C284" i="5" s="1"/>
  <c r="C285" i="5" a="1"/>
  <c r="C285" i="5" s="1"/>
  <c r="C286" i="5" a="1"/>
  <c r="C286" i="5"/>
  <c r="C287" i="5" a="1"/>
  <c r="C287" i="5"/>
  <c r="C288" i="5" a="1"/>
  <c r="C288" i="5"/>
  <c r="C289" i="5" a="1"/>
  <c r="C289" i="5" s="1"/>
  <c r="C290" i="5" a="1"/>
  <c r="C290" i="5" s="1"/>
  <c r="C291" i="5" a="1"/>
  <c r="C291" i="5" s="1"/>
  <c r="C292" i="5" a="1"/>
  <c r="C292" i="5"/>
  <c r="C293" i="5" a="1"/>
  <c r="C293" i="5"/>
  <c r="C294" i="5" a="1"/>
  <c r="C294" i="5"/>
  <c r="C295" i="5" a="1"/>
  <c r="C295" i="5"/>
  <c r="C296" i="5" a="1"/>
  <c r="C296" i="5" s="1"/>
  <c r="C297" i="5" a="1"/>
  <c r="C297" i="5" s="1"/>
  <c r="C298" i="5" a="1"/>
  <c r="C298" i="5"/>
  <c r="C299" i="5" a="1"/>
  <c r="C299" i="5"/>
  <c r="C300" i="5" a="1"/>
  <c r="C300" i="5"/>
  <c r="C301" i="5" a="1"/>
  <c r="C301" i="5"/>
  <c r="C302" i="5" a="1"/>
  <c r="C302" i="5" s="1"/>
  <c r="C303" i="5" a="1"/>
  <c r="C303" i="5" s="1"/>
  <c r="C304" i="5" a="1"/>
  <c r="C304" i="5" s="1"/>
  <c r="C305" i="5" a="1"/>
  <c r="C305" i="5"/>
  <c r="C306" i="5" a="1"/>
  <c r="C306" i="5"/>
  <c r="C307" i="5" a="1"/>
  <c r="C307" i="5"/>
  <c r="C308" i="5" a="1"/>
  <c r="C308" i="5" s="1"/>
  <c r="C309" i="5" a="1"/>
  <c r="C309" i="5" s="1"/>
  <c r="C310" i="5" a="1"/>
  <c r="C310" i="5"/>
  <c r="C311" i="5" a="1"/>
  <c r="C311" i="5" s="1"/>
  <c r="C312" i="5" a="1"/>
  <c r="C312" i="5"/>
  <c r="C313" i="5" a="1"/>
  <c r="C313" i="5"/>
  <c r="C314" i="5" a="1"/>
  <c r="C314" i="5" s="1"/>
  <c r="C315" i="5" a="1"/>
  <c r="C315" i="5" s="1"/>
  <c r="C316" i="5" a="1"/>
  <c r="C316" i="5"/>
  <c r="C317" i="5" a="1"/>
  <c r="C317" i="5"/>
  <c r="C318" i="5" a="1"/>
  <c r="C318" i="5" s="1"/>
  <c r="C319" i="5" a="1"/>
  <c r="C319" i="5"/>
  <c r="C320" i="5" a="1"/>
  <c r="C320" i="5" s="1"/>
  <c r="C321" i="5" a="1"/>
  <c r="C321" i="5" s="1"/>
  <c r="C322" i="5" a="1"/>
  <c r="C322" i="5"/>
  <c r="C323" i="5" a="1"/>
  <c r="C323" i="5"/>
  <c r="C324" i="5" a="1"/>
  <c r="C324" i="5"/>
  <c r="C325" i="5" a="1"/>
  <c r="C325" i="5" s="1"/>
  <c r="C326" i="5" a="1"/>
  <c r="C326" i="5" s="1"/>
  <c r="C327" i="5" a="1"/>
  <c r="C327" i="5" s="1"/>
  <c r="C328" i="5" a="1"/>
  <c r="C328" i="5"/>
  <c r="C329" i="5" a="1"/>
  <c r="C329" i="5"/>
  <c r="C330" i="5" a="1"/>
  <c r="C330" i="5"/>
  <c r="C331" i="5" a="1"/>
  <c r="C331" i="5"/>
  <c r="C332" i="5" a="1"/>
  <c r="C332" i="5" s="1"/>
  <c r="C333" i="5" a="1"/>
  <c r="C333" i="5" s="1"/>
  <c r="C334" i="5" a="1"/>
  <c r="C334" i="5"/>
  <c r="C335" i="5" a="1"/>
  <c r="C335" i="5"/>
  <c r="C336" i="5" a="1"/>
  <c r="C336" i="5"/>
  <c r="C337" i="5" a="1"/>
  <c r="C337" i="5"/>
  <c r="J337" i="5" s="1"/>
  <c r="L337" i="5" s="1"/>
  <c r="C338" i="5" a="1"/>
  <c r="C338" i="5" s="1"/>
  <c r="D338" i="5" s="1"/>
  <c r="I338" i="5" s="1"/>
  <c r="C339" i="5" a="1"/>
  <c r="C339" i="5" s="1"/>
  <c r="J339" i="5" s="1"/>
  <c r="L339" i="5" s="1"/>
  <c r="C340" i="5" a="1"/>
  <c r="C340" i="5" s="1"/>
  <c r="J340" i="5" s="1"/>
  <c r="L340" i="5" s="1"/>
  <c r="C341" i="5" a="1"/>
  <c r="C341" i="5"/>
  <c r="F340" i="5" s="1"/>
  <c r="C342" i="5" a="1"/>
  <c r="C342" i="5"/>
  <c r="F341" i="5" s="1"/>
  <c r="C343" i="5" a="1"/>
  <c r="C343" i="5"/>
  <c r="F342" i="5" s="1"/>
  <c r="C344" i="5" a="1"/>
  <c r="C344" i="5" s="1"/>
  <c r="D344" i="5" s="1"/>
  <c r="I344" i="5" s="1"/>
  <c r="C345" i="5" a="1"/>
  <c r="C345" i="5" s="1"/>
  <c r="D345" i="5" s="1"/>
  <c r="I345" i="5" s="1"/>
  <c r="C346" i="5" a="1"/>
  <c r="C346" i="5"/>
  <c r="F345" i="5" s="1"/>
  <c r="C347" i="5" a="1"/>
  <c r="C347" i="5" s="1"/>
  <c r="F346" i="5" s="1"/>
  <c r="C348" i="5" a="1"/>
  <c r="C348" i="5"/>
  <c r="D348" i="5" s="1"/>
  <c r="H348" i="5" s="1"/>
  <c r="C349" i="5" a="1"/>
  <c r="C349" i="5"/>
  <c r="J349" i="5" s="1"/>
  <c r="L349" i="5" s="1"/>
  <c r="A349" i="5"/>
  <c r="B349" i="5"/>
  <c r="F349" i="5"/>
  <c r="G349" i="5"/>
  <c r="A2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2" i="5"/>
  <c r="D7" i="9"/>
  <c r="D6" i="9"/>
  <c r="A2" i="4" a="1"/>
  <c r="A2" i="4" s="1"/>
  <c r="D5" i="9"/>
  <c r="E337" i="5" l="1"/>
  <c r="J343" i="5"/>
  <c r="L343" i="5" s="1"/>
  <c r="J342" i="5"/>
  <c r="L342" i="5" s="1"/>
  <c r="J344" i="5"/>
  <c r="L344" i="5" s="1"/>
  <c r="J348" i="5"/>
  <c r="L348" i="5" s="1"/>
  <c r="J347" i="5"/>
  <c r="L347" i="5" s="1"/>
  <c r="J346" i="5"/>
  <c r="L346" i="5" s="1"/>
  <c r="J345" i="5"/>
  <c r="L345" i="5" s="1"/>
  <c r="J341" i="5"/>
  <c r="L341" i="5" s="1"/>
  <c r="J338" i="5"/>
  <c r="L338" i="5" s="1"/>
  <c r="I348" i="5"/>
  <c r="H344" i="5"/>
  <c r="H338" i="5"/>
  <c r="H345" i="5"/>
  <c r="F337" i="5"/>
  <c r="G337" i="5" s="1"/>
  <c r="F348" i="5"/>
  <c r="G348" i="5" s="1"/>
  <c r="D349" i="5"/>
  <c r="I349" i="5" s="1"/>
  <c r="E349" i="5"/>
  <c r="J336" i="5" s="1"/>
  <c r="L336" i="5" s="1"/>
  <c r="F344" i="5"/>
  <c r="G344" i="5" s="1"/>
  <c r="F343" i="5"/>
  <c r="G343" i="5" s="1"/>
  <c r="F347" i="5"/>
  <c r="G347" i="5" s="1"/>
  <c r="D337" i="5"/>
  <c r="I337" i="5" s="1"/>
  <c r="F336" i="5"/>
  <c r="G336" i="5" s="1"/>
  <c r="F339" i="5"/>
  <c r="G339" i="5" s="1"/>
  <c r="F323" i="5"/>
  <c r="G323" i="5" s="1"/>
  <c r="F338" i="5"/>
  <c r="G338" i="5" s="1"/>
  <c r="G346" i="5"/>
  <c r="G345" i="5"/>
  <c r="D343" i="5"/>
  <c r="I343" i="5" s="1"/>
  <c r="G342" i="5"/>
  <c r="D342" i="5"/>
  <c r="I342" i="5" s="1"/>
  <c r="G341" i="5"/>
  <c r="D341" i="5"/>
  <c r="I341" i="5" s="1"/>
  <c r="G340" i="5"/>
  <c r="D340" i="5"/>
  <c r="I340" i="5" s="1"/>
  <c r="D339" i="5"/>
  <c r="I339" i="5" s="1"/>
  <c r="E348" i="5"/>
  <c r="D347" i="5"/>
  <c r="I347" i="5" s="1"/>
  <c r="E347" i="5"/>
  <c r="E334" i="5" s="1"/>
  <c r="D336" i="5"/>
  <c r="I336" i="5" s="1"/>
  <c r="E336" i="5"/>
  <c r="D346" i="5"/>
  <c r="I346" i="5" s="1"/>
  <c r="E346" i="5"/>
  <c r="D324" i="5"/>
  <c r="I324" i="5" s="1"/>
  <c r="E344" i="5"/>
  <c r="E343" i="5"/>
  <c r="E331" i="5"/>
  <c r="E342" i="5"/>
  <c r="E329" i="5" s="1"/>
  <c r="E341" i="5"/>
  <c r="E340" i="5"/>
  <c r="E345" i="5"/>
  <c r="E339" i="5"/>
  <c r="E327" i="5"/>
  <c r="E338" i="5"/>
  <c r="E326" i="5"/>
  <c r="C13" i="4"/>
  <c r="G10" i="4"/>
  <c r="C12" i="4"/>
  <c r="E10" i="4"/>
  <c r="G9" i="4"/>
  <c r="B12" i="4"/>
  <c r="C11" i="4"/>
  <c r="E9" i="4"/>
  <c r="G8" i="4"/>
  <c r="B11" i="4"/>
  <c r="C10" i="4"/>
  <c r="E8" i="4"/>
  <c r="G7" i="4"/>
  <c r="E6" i="4"/>
  <c r="G5" i="4"/>
  <c r="E5" i="4"/>
  <c r="G4" i="4"/>
  <c r="B6" i="4"/>
  <c r="C5" i="4"/>
  <c r="E3" i="4"/>
  <c r="B5" i="4"/>
  <c r="C4" i="4"/>
  <c r="G13" i="4"/>
  <c r="B4" i="4"/>
  <c r="C3" i="4"/>
  <c r="E13" i="4"/>
  <c r="G12" i="4"/>
  <c r="B3" i="4"/>
  <c r="E12" i="4"/>
  <c r="G11" i="4"/>
  <c r="E11" i="4"/>
  <c r="B13" i="4"/>
  <c r="B10" i="4"/>
  <c r="C9" i="4"/>
  <c r="E7" i="4"/>
  <c r="G6" i="4"/>
  <c r="B9" i="4"/>
  <c r="C8" i="4"/>
  <c r="B8" i="4"/>
  <c r="C7" i="4"/>
  <c r="B7" i="4"/>
  <c r="C6" i="4"/>
  <c r="E4" i="4"/>
  <c r="G3" i="4"/>
  <c r="G2" i="4"/>
  <c r="E2" i="4"/>
  <c r="B2" i="4"/>
  <c r="C2" i="4"/>
  <c r="F315" i="5" l="1"/>
  <c r="G315" i="5" s="1"/>
  <c r="D316" i="5"/>
  <c r="I316" i="5" s="1"/>
  <c r="E316" i="5"/>
  <c r="J316" i="5"/>
  <c r="L316" i="5" s="1"/>
  <c r="D321" i="5"/>
  <c r="J321" i="5"/>
  <c r="L321" i="5" s="1"/>
  <c r="F320" i="5"/>
  <c r="G320" i="5" s="1"/>
  <c r="E321" i="5"/>
  <c r="F329" i="5"/>
  <c r="G329" i="5" s="1"/>
  <c r="J330" i="5"/>
  <c r="L330" i="5" s="1"/>
  <c r="E330" i="5"/>
  <c r="D330" i="5"/>
  <c r="I330" i="5" s="1"/>
  <c r="D333" i="5"/>
  <c r="J333" i="5"/>
  <c r="L333" i="5" s="1"/>
  <c r="F332" i="5"/>
  <c r="G332" i="5" s="1"/>
  <c r="E333" i="5"/>
  <c r="F330" i="5"/>
  <c r="G330" i="5" s="1"/>
  <c r="J331" i="5"/>
  <c r="L331" i="5" s="1"/>
  <c r="D331" i="5"/>
  <c r="I331" i="5" s="1"/>
  <c r="J327" i="5"/>
  <c r="L327" i="5" s="1"/>
  <c r="F326" i="5"/>
  <c r="G326" i="5" s="1"/>
  <c r="D327" i="5"/>
  <c r="I327" i="5" s="1"/>
  <c r="J325" i="5"/>
  <c r="L325" i="5" s="1"/>
  <c r="D325" i="5"/>
  <c r="I325" i="5" s="1"/>
  <c r="F324" i="5"/>
  <c r="G324" i="5" s="1"/>
  <c r="E325" i="5"/>
  <c r="F313" i="5"/>
  <c r="G313" i="5" s="1"/>
  <c r="D314" i="5"/>
  <c r="I314" i="5" s="1"/>
  <c r="E314" i="5"/>
  <c r="J314" i="5"/>
  <c r="L314" i="5" s="1"/>
  <c r="F317" i="5"/>
  <c r="G317" i="5" s="1"/>
  <c r="J318" i="5"/>
  <c r="L318" i="5" s="1"/>
  <c r="D318" i="5"/>
  <c r="I318" i="5" s="1"/>
  <c r="J335" i="5"/>
  <c r="L335" i="5" s="1"/>
  <c r="E335" i="5"/>
  <c r="F334" i="5"/>
  <c r="G334" i="5" s="1"/>
  <c r="D335" i="5"/>
  <c r="I335" i="5" s="1"/>
  <c r="F327" i="5"/>
  <c r="G327" i="5" s="1"/>
  <c r="J328" i="5"/>
  <c r="L328" i="5" s="1"/>
  <c r="D328" i="5"/>
  <c r="I328" i="5" s="1"/>
  <c r="E328" i="5"/>
  <c r="D334" i="5"/>
  <c r="J334" i="5"/>
  <c r="L334" i="5" s="1"/>
  <c r="F333" i="5"/>
  <c r="G333" i="5" s="1"/>
  <c r="D332" i="5"/>
  <c r="E332" i="5"/>
  <c r="J332" i="5"/>
  <c r="L332" i="5" s="1"/>
  <c r="F331" i="5"/>
  <c r="G331" i="5" s="1"/>
  <c r="E318" i="5"/>
  <c r="J313" i="5"/>
  <c r="L313" i="5" s="1"/>
  <c r="D313" i="5"/>
  <c r="I313" i="5" s="1"/>
  <c r="F312" i="5"/>
  <c r="G312" i="5" s="1"/>
  <c r="E313" i="5"/>
  <c r="F328" i="5"/>
  <c r="G328" i="5" s="1"/>
  <c r="J329" i="5"/>
  <c r="L329" i="5" s="1"/>
  <c r="D329" i="5"/>
  <c r="I329" i="5" s="1"/>
  <c r="D326" i="5"/>
  <c r="J326" i="5"/>
  <c r="L326" i="5" s="1"/>
  <c r="F325" i="5"/>
  <c r="G325" i="5" s="1"/>
  <c r="J323" i="5"/>
  <c r="L323" i="5" s="1"/>
  <c r="E323" i="5"/>
  <c r="D323" i="5"/>
  <c r="I323" i="5" s="1"/>
  <c r="F322" i="5"/>
  <c r="G322" i="5" s="1"/>
  <c r="F335" i="5"/>
  <c r="G335" i="5" s="1"/>
  <c r="J324" i="5"/>
  <c r="L324" i="5" s="1"/>
  <c r="E324" i="5"/>
  <c r="H341" i="5"/>
  <c r="H313" i="5"/>
  <c r="H346" i="5"/>
  <c r="H329" i="5"/>
  <c r="H325" i="5"/>
  <c r="H336" i="5"/>
  <c r="H340" i="5"/>
  <c r="H343" i="5"/>
  <c r="H337" i="5"/>
  <c r="H324" i="5"/>
  <c r="H347" i="5"/>
  <c r="H342" i="5"/>
  <c r="H349" i="5"/>
  <c r="H327" i="5"/>
  <c r="H339" i="5"/>
  <c r="H335" i="5"/>
  <c r="H316" i="5" l="1"/>
  <c r="H323" i="5"/>
  <c r="H314" i="5"/>
  <c r="H318" i="5"/>
  <c r="J315" i="5"/>
  <c r="L315" i="5" s="1"/>
  <c r="D315" i="5"/>
  <c r="F314" i="5"/>
  <c r="G314" i="5" s="1"/>
  <c r="E315" i="5"/>
  <c r="J301" i="5"/>
  <c r="L301" i="5" s="1"/>
  <c r="F300" i="5"/>
  <c r="G300" i="5" s="1"/>
  <c r="D301" i="5"/>
  <c r="E301" i="5"/>
  <c r="H328" i="5"/>
  <c r="J322" i="5"/>
  <c r="L322" i="5" s="1"/>
  <c r="D322" i="5"/>
  <c r="F321" i="5"/>
  <c r="G321" i="5" s="1"/>
  <c r="E322" i="5"/>
  <c r="F316" i="5"/>
  <c r="G316" i="5" s="1"/>
  <c r="D317" i="5"/>
  <c r="J317" i="5"/>
  <c r="L317" i="5" s="1"/>
  <c r="E317" i="5"/>
  <c r="F318" i="5"/>
  <c r="G318" i="5" s="1"/>
  <c r="J319" i="5"/>
  <c r="L319" i="5" s="1"/>
  <c r="D319" i="5"/>
  <c r="E319" i="5"/>
  <c r="H321" i="5"/>
  <c r="I321" i="5"/>
  <c r="I326" i="5"/>
  <c r="H326" i="5"/>
  <c r="H332" i="5"/>
  <c r="I332" i="5"/>
  <c r="F299" i="5"/>
  <c r="G299" i="5" s="1"/>
  <c r="D300" i="5"/>
  <c r="J300" i="5"/>
  <c r="L300" i="5" s="1"/>
  <c r="E300" i="5"/>
  <c r="H331" i="5"/>
  <c r="D308" i="5"/>
  <c r="J308" i="5"/>
  <c r="L308" i="5" s="1"/>
  <c r="F307" i="5"/>
  <c r="G307" i="5" s="1"/>
  <c r="E308" i="5"/>
  <c r="J311" i="5"/>
  <c r="L311" i="5" s="1"/>
  <c r="D311" i="5"/>
  <c r="F310" i="5"/>
  <c r="G310" i="5" s="1"/>
  <c r="E311" i="5"/>
  <c r="H334" i="5"/>
  <c r="I334" i="5"/>
  <c r="D320" i="5"/>
  <c r="J320" i="5"/>
  <c r="L320" i="5" s="1"/>
  <c r="E320" i="5"/>
  <c r="F319" i="5"/>
  <c r="G319" i="5" s="1"/>
  <c r="J303" i="5"/>
  <c r="L303" i="5" s="1"/>
  <c r="D303" i="5"/>
  <c r="F302" i="5"/>
  <c r="G302" i="5" s="1"/>
  <c r="E303" i="5"/>
  <c r="J312" i="5"/>
  <c r="L312" i="5" s="1"/>
  <c r="F311" i="5"/>
  <c r="G311" i="5" s="1"/>
  <c r="E312" i="5"/>
  <c r="D312" i="5"/>
  <c r="H330" i="5"/>
  <c r="J310" i="5"/>
  <c r="L310" i="5" s="1"/>
  <c r="F309" i="5"/>
  <c r="G309" i="5" s="1"/>
  <c r="E310" i="5"/>
  <c r="D310" i="5"/>
  <c r="F304" i="5"/>
  <c r="G304" i="5" s="1"/>
  <c r="J305" i="5"/>
  <c r="L305" i="5" s="1"/>
  <c r="D305" i="5"/>
  <c r="E305" i="5"/>
  <c r="H333" i="5"/>
  <c r="I333" i="5"/>
  <c r="F294" i="5" l="1"/>
  <c r="G294" i="5" s="1"/>
  <c r="J295" i="5"/>
  <c r="L295" i="5" s="1"/>
  <c r="E295" i="5"/>
  <c r="D295" i="5"/>
  <c r="I310" i="5"/>
  <c r="H310" i="5"/>
  <c r="J297" i="5"/>
  <c r="L297" i="5" s="1"/>
  <c r="F296" i="5"/>
  <c r="G296" i="5" s="1"/>
  <c r="E297" i="5"/>
  <c r="D297" i="5"/>
  <c r="H308" i="5"/>
  <c r="I308" i="5"/>
  <c r="J288" i="5"/>
  <c r="L288" i="5" s="1"/>
  <c r="D288" i="5"/>
  <c r="F287" i="5"/>
  <c r="G287" i="5" s="1"/>
  <c r="E288" i="5"/>
  <c r="F306" i="5"/>
  <c r="G306" i="5" s="1"/>
  <c r="J307" i="5"/>
  <c r="L307" i="5" s="1"/>
  <c r="D307" i="5"/>
  <c r="E307" i="5"/>
  <c r="J299" i="5"/>
  <c r="L299" i="5" s="1"/>
  <c r="F298" i="5"/>
  <c r="G298" i="5" s="1"/>
  <c r="E299" i="5"/>
  <c r="D299" i="5"/>
  <c r="J292" i="5"/>
  <c r="L292" i="5" s="1"/>
  <c r="D292" i="5"/>
  <c r="F291" i="5"/>
  <c r="G291" i="5" s="1"/>
  <c r="E292" i="5"/>
  <c r="I317" i="5"/>
  <c r="H317" i="5"/>
  <c r="F305" i="5"/>
  <c r="G305" i="5" s="1"/>
  <c r="J306" i="5"/>
  <c r="L306" i="5" s="1"/>
  <c r="E306" i="5"/>
  <c r="D306" i="5"/>
  <c r="H320" i="5"/>
  <c r="I320" i="5"/>
  <c r="I301" i="5"/>
  <c r="H301" i="5"/>
  <c r="I300" i="5"/>
  <c r="H300" i="5"/>
  <c r="F301" i="5"/>
  <c r="G301" i="5" s="1"/>
  <c r="E302" i="5"/>
  <c r="J302" i="5"/>
  <c r="L302" i="5" s="1"/>
  <c r="D302" i="5"/>
  <c r="F289" i="5"/>
  <c r="G289" i="5" s="1"/>
  <c r="J290" i="5"/>
  <c r="L290" i="5" s="1"/>
  <c r="E290" i="5"/>
  <c r="D290" i="5"/>
  <c r="I311" i="5"/>
  <c r="H311" i="5"/>
  <c r="I315" i="5"/>
  <c r="H315" i="5"/>
  <c r="I303" i="5"/>
  <c r="H303" i="5"/>
  <c r="I322" i="5"/>
  <c r="H322" i="5"/>
  <c r="I319" i="5"/>
  <c r="H319" i="5"/>
  <c r="J287" i="5"/>
  <c r="L287" i="5" s="1"/>
  <c r="D287" i="5"/>
  <c r="F286" i="5"/>
  <c r="G286" i="5" s="1"/>
  <c r="E287" i="5"/>
  <c r="I312" i="5"/>
  <c r="H312" i="5"/>
  <c r="F303" i="5"/>
  <c r="G303" i="5" s="1"/>
  <c r="E304" i="5"/>
  <c r="J304" i="5"/>
  <c r="L304" i="5" s="1"/>
  <c r="D304" i="5"/>
  <c r="J298" i="5"/>
  <c r="L298" i="5" s="1"/>
  <c r="D298" i="5"/>
  <c r="F297" i="5"/>
  <c r="G297" i="5" s="1"/>
  <c r="E298" i="5"/>
  <c r="I305" i="5"/>
  <c r="H305" i="5"/>
  <c r="D309" i="5"/>
  <c r="J309" i="5"/>
  <c r="L309" i="5" s="1"/>
  <c r="F308" i="5"/>
  <c r="G308" i="5" s="1"/>
  <c r="E309" i="5"/>
  <c r="I287" i="5" l="1"/>
  <c r="H287" i="5"/>
  <c r="I290" i="5"/>
  <c r="H290" i="5"/>
  <c r="I299" i="5"/>
  <c r="H299" i="5"/>
  <c r="J286" i="5"/>
  <c r="L286" i="5" s="1"/>
  <c r="D286" i="5"/>
  <c r="F285" i="5"/>
  <c r="G285" i="5" s="1"/>
  <c r="E286" i="5"/>
  <c r="I297" i="5"/>
  <c r="H297" i="5"/>
  <c r="F283" i="5"/>
  <c r="G283" i="5" s="1"/>
  <c r="D284" i="5"/>
  <c r="J284" i="5"/>
  <c r="L284" i="5" s="1"/>
  <c r="E284" i="5"/>
  <c r="J285" i="5"/>
  <c r="L285" i="5" s="1"/>
  <c r="F284" i="5"/>
  <c r="G284" i="5" s="1"/>
  <c r="D285" i="5"/>
  <c r="E285" i="5"/>
  <c r="F293" i="5"/>
  <c r="G293" i="5" s="1"/>
  <c r="J294" i="5"/>
  <c r="L294" i="5" s="1"/>
  <c r="D294" i="5"/>
  <c r="E294" i="5"/>
  <c r="F292" i="5"/>
  <c r="G292" i="5" s="1"/>
  <c r="D293" i="5"/>
  <c r="J293" i="5"/>
  <c r="L293" i="5" s="1"/>
  <c r="E293" i="5"/>
  <c r="F295" i="5"/>
  <c r="G295" i="5" s="1"/>
  <c r="D296" i="5"/>
  <c r="J296" i="5"/>
  <c r="L296" i="5" s="1"/>
  <c r="E296" i="5"/>
  <c r="J279" i="5"/>
  <c r="L279" i="5" s="1"/>
  <c r="F278" i="5"/>
  <c r="G278" i="5" s="1"/>
  <c r="D279" i="5"/>
  <c r="E279" i="5"/>
  <c r="H309" i="5"/>
  <c r="I309" i="5"/>
  <c r="F281" i="5"/>
  <c r="G281" i="5" s="1"/>
  <c r="D282" i="5"/>
  <c r="J282" i="5"/>
  <c r="L282" i="5" s="1"/>
  <c r="E282" i="5"/>
  <c r="I298" i="5"/>
  <c r="H298" i="5"/>
  <c r="I304" i="5"/>
  <c r="H304" i="5"/>
  <c r="I307" i="5"/>
  <c r="H307" i="5"/>
  <c r="J291" i="5"/>
  <c r="L291" i="5" s="1"/>
  <c r="F290" i="5"/>
  <c r="G290" i="5" s="1"/>
  <c r="D291" i="5"/>
  <c r="E291" i="5"/>
  <c r="I295" i="5"/>
  <c r="H295" i="5"/>
  <c r="I292" i="5"/>
  <c r="H292" i="5"/>
  <c r="I288" i="5"/>
  <c r="H288" i="5"/>
  <c r="J277" i="5"/>
  <c r="L277" i="5" s="1"/>
  <c r="E277" i="5"/>
  <c r="D277" i="5"/>
  <c r="F276" i="5"/>
  <c r="G276" i="5" s="1"/>
  <c r="I306" i="5"/>
  <c r="H306" i="5"/>
  <c r="I302" i="5"/>
  <c r="H302" i="5"/>
  <c r="D289" i="5"/>
  <c r="J289" i="5"/>
  <c r="L289" i="5" s="1"/>
  <c r="F288" i="5"/>
  <c r="G288" i="5" s="1"/>
  <c r="E289" i="5"/>
  <c r="J275" i="5"/>
  <c r="L275" i="5" s="1"/>
  <c r="E275" i="5"/>
  <c r="D275" i="5"/>
  <c r="F274" i="5"/>
  <c r="G274" i="5" s="1"/>
  <c r="J274" i="5"/>
  <c r="L274" i="5" s="1"/>
  <c r="F273" i="5"/>
  <c r="G273" i="5" s="1"/>
  <c r="D274" i="5"/>
  <c r="E274" i="5"/>
  <c r="D266" i="5" l="1"/>
  <c r="J266" i="5"/>
  <c r="L266" i="5" s="1"/>
  <c r="F265" i="5"/>
  <c r="G265" i="5" s="1"/>
  <c r="E266" i="5"/>
  <c r="F280" i="5"/>
  <c r="G280" i="5" s="1"/>
  <c r="J281" i="5"/>
  <c r="L281" i="5" s="1"/>
  <c r="E281" i="5"/>
  <c r="D281" i="5"/>
  <c r="I279" i="5"/>
  <c r="H279" i="5"/>
  <c r="F272" i="5"/>
  <c r="G272" i="5" s="1"/>
  <c r="J273" i="5"/>
  <c r="L273" i="5" s="1"/>
  <c r="D273" i="5"/>
  <c r="E273" i="5"/>
  <c r="I294" i="5"/>
  <c r="H294" i="5"/>
  <c r="F282" i="5"/>
  <c r="G282" i="5" s="1"/>
  <c r="D283" i="5"/>
  <c r="E283" i="5"/>
  <c r="J283" i="5"/>
  <c r="L283" i="5" s="1"/>
  <c r="F271" i="5"/>
  <c r="G271" i="5" s="1"/>
  <c r="J272" i="5"/>
  <c r="L272" i="5" s="1"/>
  <c r="E272" i="5"/>
  <c r="D272" i="5"/>
  <c r="I286" i="5"/>
  <c r="H286" i="5"/>
  <c r="D264" i="5"/>
  <c r="F263" i="5"/>
  <c r="G263" i="5" s="1"/>
  <c r="E264" i="5"/>
  <c r="J264" i="5"/>
  <c r="L264" i="5" s="1"/>
  <c r="J276" i="5"/>
  <c r="L276" i="5" s="1"/>
  <c r="E276" i="5"/>
  <c r="D276" i="5"/>
  <c r="F275" i="5"/>
  <c r="G275" i="5" s="1"/>
  <c r="H289" i="5"/>
  <c r="I289" i="5"/>
  <c r="I285" i="5"/>
  <c r="H285" i="5"/>
  <c r="F268" i="5"/>
  <c r="G268" i="5" s="1"/>
  <c r="J269" i="5"/>
  <c r="L269" i="5" s="1"/>
  <c r="D269" i="5"/>
  <c r="E269" i="5"/>
  <c r="I282" i="5"/>
  <c r="H282" i="5"/>
  <c r="F270" i="5"/>
  <c r="G270" i="5" s="1"/>
  <c r="J271" i="5"/>
  <c r="L271" i="5" s="1"/>
  <c r="E271" i="5"/>
  <c r="D271" i="5"/>
  <c r="I291" i="5"/>
  <c r="H291" i="5"/>
  <c r="D262" i="5"/>
  <c r="J262" i="5"/>
  <c r="L262" i="5" s="1"/>
  <c r="E262" i="5"/>
  <c r="F261" i="5"/>
  <c r="G261" i="5" s="1"/>
  <c r="I296" i="5"/>
  <c r="H296" i="5"/>
  <c r="I274" i="5"/>
  <c r="H274" i="5"/>
  <c r="F277" i="5"/>
  <c r="G277" i="5" s="1"/>
  <c r="J278" i="5"/>
  <c r="L278" i="5" s="1"/>
  <c r="D278" i="5"/>
  <c r="E278" i="5"/>
  <c r="I293" i="5"/>
  <c r="H293" i="5"/>
  <c r="I284" i="5"/>
  <c r="H284" i="5"/>
  <c r="F260" i="5"/>
  <c r="G260" i="5" s="1"/>
  <c r="J261" i="5"/>
  <c r="L261" i="5" s="1"/>
  <c r="E261" i="5"/>
  <c r="D261" i="5"/>
  <c r="J280" i="5"/>
  <c r="L280" i="5" s="1"/>
  <c r="E280" i="5"/>
  <c r="F279" i="5"/>
  <c r="G279" i="5" s="1"/>
  <c r="D280" i="5"/>
  <c r="I275" i="5"/>
  <c r="H275" i="5"/>
  <c r="I277" i="5"/>
  <c r="H277" i="5"/>
  <c r="I271" i="5" l="1"/>
  <c r="H271" i="5"/>
  <c r="I272" i="5"/>
  <c r="H272" i="5"/>
  <c r="F247" i="5"/>
  <c r="G247" i="5" s="1"/>
  <c r="E248" i="5"/>
  <c r="D248" i="5"/>
  <c r="J248" i="5"/>
  <c r="L248" i="5" s="1"/>
  <c r="I276" i="5"/>
  <c r="H276" i="5"/>
  <c r="D263" i="5"/>
  <c r="J263" i="5"/>
  <c r="L263" i="5" s="1"/>
  <c r="F262" i="5"/>
  <c r="G262" i="5" s="1"/>
  <c r="E263" i="5"/>
  <c r="I281" i="5"/>
  <c r="H281" i="5"/>
  <c r="I261" i="5"/>
  <c r="H261" i="5"/>
  <c r="F257" i="5"/>
  <c r="G257" i="5" s="1"/>
  <c r="J258" i="5"/>
  <c r="L258" i="5" s="1"/>
  <c r="E258" i="5"/>
  <c r="D258" i="5"/>
  <c r="J249" i="5"/>
  <c r="L249" i="5" s="1"/>
  <c r="D249" i="5"/>
  <c r="E249" i="5"/>
  <c r="F248" i="5"/>
  <c r="G248" i="5" s="1"/>
  <c r="H262" i="5"/>
  <c r="I262" i="5"/>
  <c r="H264" i="5"/>
  <c r="I264" i="5"/>
  <c r="J267" i="5"/>
  <c r="L267" i="5" s="1"/>
  <c r="E267" i="5"/>
  <c r="F266" i="5"/>
  <c r="G266" i="5" s="1"/>
  <c r="D267" i="5"/>
  <c r="J268" i="5"/>
  <c r="L268" i="5" s="1"/>
  <c r="F267" i="5"/>
  <c r="G267" i="5" s="1"/>
  <c r="D268" i="5"/>
  <c r="E268" i="5"/>
  <c r="J256" i="5"/>
  <c r="L256" i="5" s="1"/>
  <c r="F255" i="5"/>
  <c r="G255" i="5" s="1"/>
  <c r="E256" i="5"/>
  <c r="D256" i="5"/>
  <c r="I283" i="5"/>
  <c r="H283" i="5"/>
  <c r="I269" i="5"/>
  <c r="H269" i="5"/>
  <c r="J251" i="5"/>
  <c r="L251" i="5" s="1"/>
  <c r="F250" i="5"/>
  <c r="G250" i="5" s="1"/>
  <c r="E251" i="5"/>
  <c r="D251" i="5"/>
  <c r="J253" i="5"/>
  <c r="L253" i="5" s="1"/>
  <c r="E253" i="5"/>
  <c r="F252" i="5"/>
  <c r="G252" i="5" s="1"/>
  <c r="D253" i="5"/>
  <c r="F259" i="5"/>
  <c r="G259" i="5" s="1"/>
  <c r="E260" i="5"/>
  <c r="J260" i="5"/>
  <c r="L260" i="5" s="1"/>
  <c r="D260" i="5"/>
  <c r="F258" i="5"/>
  <c r="G258" i="5" s="1"/>
  <c r="J259" i="5"/>
  <c r="L259" i="5" s="1"/>
  <c r="D259" i="5"/>
  <c r="E259" i="5"/>
  <c r="F269" i="5"/>
  <c r="G269" i="5" s="1"/>
  <c r="J270" i="5"/>
  <c r="L270" i="5" s="1"/>
  <c r="D270" i="5"/>
  <c r="E270" i="5"/>
  <c r="I280" i="5"/>
  <c r="H280" i="5"/>
  <c r="J265" i="5"/>
  <c r="L265" i="5" s="1"/>
  <c r="E265" i="5"/>
  <c r="D265" i="5"/>
  <c r="F264" i="5"/>
  <c r="G264" i="5" s="1"/>
  <c r="I278" i="5"/>
  <c r="H278" i="5"/>
  <c r="I273" i="5"/>
  <c r="H273" i="5"/>
  <c r="I266" i="5"/>
  <c r="H266" i="5"/>
  <c r="I249" i="5" l="1"/>
  <c r="H249" i="5"/>
  <c r="H263" i="5"/>
  <c r="I263" i="5"/>
  <c r="I260" i="5"/>
  <c r="H260" i="5"/>
  <c r="I258" i="5"/>
  <c r="H258" i="5"/>
  <c r="I265" i="5"/>
  <c r="H265" i="5"/>
  <c r="J252" i="5"/>
  <c r="L252" i="5" s="1"/>
  <c r="E252" i="5"/>
  <c r="D252" i="5"/>
  <c r="F251" i="5"/>
  <c r="G251" i="5" s="1"/>
  <c r="F244" i="5"/>
  <c r="G244" i="5" s="1"/>
  <c r="D245" i="5"/>
  <c r="E245" i="5"/>
  <c r="J245" i="5"/>
  <c r="L245" i="5" s="1"/>
  <c r="D254" i="5"/>
  <c r="E254" i="5"/>
  <c r="J254" i="5"/>
  <c r="L254" i="5" s="1"/>
  <c r="F253" i="5"/>
  <c r="G253" i="5" s="1"/>
  <c r="I256" i="5"/>
  <c r="H256" i="5"/>
  <c r="F234" i="5"/>
  <c r="G234" i="5" s="1"/>
  <c r="J235" i="5"/>
  <c r="L235" i="5" s="1"/>
  <c r="D235" i="5"/>
  <c r="E235" i="5"/>
  <c r="J240" i="5"/>
  <c r="L240" i="5" s="1"/>
  <c r="D240" i="5"/>
  <c r="F239" i="5"/>
  <c r="G239" i="5" s="1"/>
  <c r="E240" i="5"/>
  <c r="F246" i="5"/>
  <c r="G246" i="5" s="1"/>
  <c r="J247" i="5"/>
  <c r="L247" i="5" s="1"/>
  <c r="E247" i="5"/>
  <c r="D247" i="5"/>
  <c r="I248" i="5"/>
  <c r="H248" i="5"/>
  <c r="I253" i="5"/>
  <c r="H253" i="5"/>
  <c r="I251" i="5"/>
  <c r="H251" i="5"/>
  <c r="J255" i="5"/>
  <c r="L255" i="5" s="1"/>
  <c r="F254" i="5"/>
  <c r="G254" i="5" s="1"/>
  <c r="E255" i="5"/>
  <c r="D255" i="5"/>
  <c r="J250" i="5"/>
  <c r="L250" i="5" s="1"/>
  <c r="E250" i="5"/>
  <c r="D250" i="5"/>
  <c r="F249" i="5"/>
  <c r="G249" i="5" s="1"/>
  <c r="I267" i="5"/>
  <c r="H267" i="5"/>
  <c r="F256" i="5"/>
  <c r="G256" i="5" s="1"/>
  <c r="E257" i="5"/>
  <c r="D257" i="5"/>
  <c r="J257" i="5"/>
  <c r="L257" i="5" s="1"/>
  <c r="I270" i="5"/>
  <c r="H270" i="5"/>
  <c r="J243" i="5"/>
  <c r="L243" i="5" s="1"/>
  <c r="D243" i="5"/>
  <c r="E243" i="5"/>
  <c r="F242" i="5"/>
  <c r="G242" i="5" s="1"/>
  <c r="F245" i="5"/>
  <c r="G245" i="5" s="1"/>
  <c r="J246" i="5"/>
  <c r="L246" i="5" s="1"/>
  <c r="D246" i="5"/>
  <c r="E246" i="5"/>
  <c r="I259" i="5"/>
  <c r="H259" i="5"/>
  <c r="F237" i="5"/>
  <c r="G237" i="5" s="1"/>
  <c r="D238" i="5"/>
  <c r="J238" i="5"/>
  <c r="L238" i="5" s="1"/>
  <c r="E238" i="5"/>
  <c r="I268" i="5"/>
  <c r="H268" i="5"/>
  <c r="J236" i="5"/>
  <c r="L236" i="5" s="1"/>
  <c r="E236" i="5"/>
  <c r="F235" i="5"/>
  <c r="G235" i="5" s="1"/>
  <c r="D236" i="5"/>
  <c r="F236" i="5" l="1"/>
  <c r="G236" i="5" s="1"/>
  <c r="J237" i="5"/>
  <c r="L237" i="5" s="1"/>
  <c r="D237" i="5"/>
  <c r="E237" i="5"/>
  <c r="I247" i="5"/>
  <c r="H247" i="5"/>
  <c r="J239" i="5"/>
  <c r="L239" i="5" s="1"/>
  <c r="D239" i="5"/>
  <c r="E239" i="5"/>
  <c r="F238" i="5"/>
  <c r="G238" i="5" s="1"/>
  <c r="F233" i="5"/>
  <c r="G233" i="5" s="1"/>
  <c r="D234" i="5"/>
  <c r="E234" i="5"/>
  <c r="J234" i="5"/>
  <c r="L234" i="5" s="1"/>
  <c r="D242" i="5"/>
  <c r="E242" i="5"/>
  <c r="F241" i="5"/>
  <c r="G241" i="5" s="1"/>
  <c r="J242" i="5"/>
  <c r="L242" i="5" s="1"/>
  <c r="J227" i="5"/>
  <c r="L227" i="5" s="1"/>
  <c r="D227" i="5"/>
  <c r="F226" i="5"/>
  <c r="G226" i="5" s="1"/>
  <c r="E227" i="5"/>
  <c r="J241" i="5"/>
  <c r="L241" i="5" s="1"/>
  <c r="D241" i="5"/>
  <c r="E241" i="5"/>
  <c r="F240" i="5"/>
  <c r="G240" i="5" s="1"/>
  <c r="I254" i="5"/>
  <c r="H254" i="5"/>
  <c r="F232" i="5"/>
  <c r="G232" i="5" s="1"/>
  <c r="E233" i="5"/>
  <c r="J233" i="5"/>
  <c r="L233" i="5" s="1"/>
  <c r="D233" i="5"/>
  <c r="J232" i="5"/>
  <c r="L232" i="5" s="1"/>
  <c r="D232" i="5"/>
  <c r="F231" i="5"/>
  <c r="G231" i="5" s="1"/>
  <c r="E232" i="5"/>
  <c r="F221" i="5"/>
  <c r="G221" i="5" s="1"/>
  <c r="J222" i="5"/>
  <c r="L222" i="5" s="1"/>
  <c r="D222" i="5"/>
  <c r="E222" i="5"/>
  <c r="I235" i="5"/>
  <c r="H235" i="5"/>
  <c r="I243" i="5"/>
  <c r="H243" i="5"/>
  <c r="I238" i="5"/>
  <c r="H238" i="5"/>
  <c r="I236" i="5"/>
  <c r="H236" i="5"/>
  <c r="I246" i="5"/>
  <c r="H246" i="5"/>
  <c r="F222" i="5"/>
  <c r="G222" i="5" s="1"/>
  <c r="J223" i="5"/>
  <c r="L223" i="5" s="1"/>
  <c r="D223" i="5"/>
  <c r="E223" i="5"/>
  <c r="J225" i="5"/>
  <c r="L225" i="5" s="1"/>
  <c r="F224" i="5"/>
  <c r="G224" i="5" s="1"/>
  <c r="D225" i="5"/>
  <c r="E225" i="5"/>
  <c r="I255" i="5"/>
  <c r="H255" i="5"/>
  <c r="I257" i="5"/>
  <c r="H257" i="5"/>
  <c r="J244" i="5"/>
  <c r="L244" i="5" s="1"/>
  <c r="F243" i="5"/>
  <c r="G243" i="5" s="1"/>
  <c r="D244" i="5"/>
  <c r="E244" i="5"/>
  <c r="I240" i="5"/>
  <c r="H240" i="5"/>
  <c r="I245" i="5"/>
  <c r="H245" i="5"/>
  <c r="D230" i="5"/>
  <c r="F229" i="5"/>
  <c r="G229" i="5" s="1"/>
  <c r="E230" i="5"/>
  <c r="J230" i="5"/>
  <c r="L230" i="5" s="1"/>
  <c r="I250" i="5"/>
  <c r="H250" i="5"/>
  <c r="I252" i="5"/>
  <c r="H252" i="5"/>
  <c r="J219" i="5" l="1"/>
  <c r="L219" i="5" s="1"/>
  <c r="D219" i="5"/>
  <c r="F218" i="5"/>
  <c r="G218" i="5" s="1"/>
  <c r="E219" i="5"/>
  <c r="I241" i="5"/>
  <c r="H241" i="5"/>
  <c r="I234" i="5"/>
  <c r="H234" i="5"/>
  <c r="I232" i="5"/>
  <c r="H232" i="5"/>
  <c r="J226" i="5"/>
  <c r="L226" i="5" s="1"/>
  <c r="F225" i="5"/>
  <c r="G225" i="5" s="1"/>
  <c r="D226" i="5"/>
  <c r="E226" i="5"/>
  <c r="J212" i="5"/>
  <c r="L212" i="5" s="1"/>
  <c r="F211" i="5"/>
  <c r="G211" i="5" s="1"/>
  <c r="E212" i="5"/>
  <c r="D212" i="5"/>
  <c r="I233" i="5"/>
  <c r="H233" i="5"/>
  <c r="I227" i="5"/>
  <c r="H227" i="5"/>
  <c r="I239" i="5"/>
  <c r="H239" i="5"/>
  <c r="F213" i="5"/>
  <c r="G213" i="5" s="1"/>
  <c r="J214" i="5"/>
  <c r="L214" i="5" s="1"/>
  <c r="D214" i="5"/>
  <c r="E214" i="5"/>
  <c r="J231" i="5"/>
  <c r="L231" i="5" s="1"/>
  <c r="F230" i="5"/>
  <c r="G230" i="5" s="1"/>
  <c r="E231" i="5"/>
  <c r="D231" i="5"/>
  <c r="I223" i="5"/>
  <c r="H223" i="5"/>
  <c r="F208" i="5"/>
  <c r="G208" i="5" s="1"/>
  <c r="J209" i="5"/>
  <c r="L209" i="5" s="1"/>
  <c r="E209" i="5"/>
  <c r="D209" i="5"/>
  <c r="J229" i="5"/>
  <c r="L229" i="5" s="1"/>
  <c r="D229" i="5"/>
  <c r="E229" i="5"/>
  <c r="F228" i="5"/>
  <c r="G228" i="5" s="1"/>
  <c r="I222" i="5"/>
  <c r="H222" i="5"/>
  <c r="I242" i="5"/>
  <c r="H242" i="5"/>
  <c r="I237" i="5"/>
  <c r="H237" i="5"/>
  <c r="I225" i="5"/>
  <c r="H225" i="5"/>
  <c r="J210" i="5"/>
  <c r="L210" i="5" s="1"/>
  <c r="F209" i="5"/>
  <c r="G209" i="5" s="1"/>
  <c r="D210" i="5"/>
  <c r="E210" i="5"/>
  <c r="J220" i="5"/>
  <c r="L220" i="5" s="1"/>
  <c r="F219" i="5"/>
  <c r="G219" i="5" s="1"/>
  <c r="D220" i="5"/>
  <c r="E220" i="5"/>
  <c r="I244" i="5"/>
  <c r="H244" i="5"/>
  <c r="I230" i="5"/>
  <c r="H230" i="5"/>
  <c r="F223" i="5"/>
  <c r="G223" i="5" s="1"/>
  <c r="D224" i="5"/>
  <c r="J224" i="5"/>
  <c r="L224" i="5" s="1"/>
  <c r="E224" i="5"/>
  <c r="J217" i="5"/>
  <c r="L217" i="5" s="1"/>
  <c r="F216" i="5"/>
  <c r="G216" i="5" s="1"/>
  <c r="E217" i="5"/>
  <c r="D217" i="5"/>
  <c r="J228" i="5"/>
  <c r="L228" i="5" s="1"/>
  <c r="D228" i="5"/>
  <c r="E228" i="5"/>
  <c r="F227" i="5"/>
  <c r="G227" i="5" s="1"/>
  <c r="F220" i="5"/>
  <c r="G220" i="5" s="1"/>
  <c r="J221" i="5"/>
  <c r="L221" i="5" s="1"/>
  <c r="D221" i="5"/>
  <c r="E221" i="5"/>
  <c r="D207" i="5" l="1"/>
  <c r="J207" i="5"/>
  <c r="L207" i="5" s="1"/>
  <c r="F206" i="5"/>
  <c r="G206" i="5" s="1"/>
  <c r="E207" i="5"/>
  <c r="I228" i="5"/>
  <c r="H228" i="5"/>
  <c r="J204" i="5"/>
  <c r="L204" i="5" s="1"/>
  <c r="F203" i="5"/>
  <c r="G203" i="5" s="1"/>
  <c r="D204" i="5"/>
  <c r="E204" i="5"/>
  <c r="I220" i="5"/>
  <c r="H220" i="5"/>
  <c r="I231" i="5"/>
  <c r="H231" i="5"/>
  <c r="J211" i="5"/>
  <c r="L211" i="5" s="1"/>
  <c r="D211" i="5"/>
  <c r="F210" i="5"/>
  <c r="G210" i="5" s="1"/>
  <c r="E211" i="5"/>
  <c r="I210" i="5"/>
  <c r="H210" i="5"/>
  <c r="J216" i="5"/>
  <c r="L216" i="5" s="1"/>
  <c r="D216" i="5"/>
  <c r="E216" i="5"/>
  <c r="F215" i="5"/>
  <c r="G215" i="5" s="1"/>
  <c r="I224" i="5"/>
  <c r="H224" i="5"/>
  <c r="I214" i="5"/>
  <c r="H214" i="5"/>
  <c r="D218" i="5"/>
  <c r="J218" i="5"/>
  <c r="L218" i="5" s="1"/>
  <c r="F217" i="5"/>
  <c r="G217" i="5" s="1"/>
  <c r="E218" i="5"/>
  <c r="J208" i="5"/>
  <c r="L208" i="5" s="1"/>
  <c r="D208" i="5"/>
  <c r="F207" i="5"/>
  <c r="G207" i="5" s="1"/>
  <c r="E208" i="5"/>
  <c r="J199" i="5"/>
  <c r="L199" i="5" s="1"/>
  <c r="F198" i="5"/>
  <c r="G198" i="5" s="1"/>
  <c r="E199" i="5"/>
  <c r="D199" i="5"/>
  <c r="I229" i="5"/>
  <c r="H229" i="5"/>
  <c r="D206" i="5"/>
  <c r="J206" i="5"/>
  <c r="L206" i="5" s="1"/>
  <c r="F205" i="5"/>
  <c r="G205" i="5" s="1"/>
  <c r="E206" i="5"/>
  <c r="I209" i="5"/>
  <c r="H209" i="5"/>
  <c r="F212" i="5"/>
  <c r="G212" i="5" s="1"/>
  <c r="J213" i="5"/>
  <c r="L213" i="5" s="1"/>
  <c r="D213" i="5"/>
  <c r="E213" i="5"/>
  <c r="I219" i="5"/>
  <c r="H219" i="5"/>
  <c r="I217" i="5"/>
  <c r="H217" i="5"/>
  <c r="J197" i="5"/>
  <c r="L197" i="5" s="1"/>
  <c r="F196" i="5"/>
  <c r="G196" i="5" s="1"/>
  <c r="E197" i="5"/>
  <c r="D197" i="5"/>
  <c r="I212" i="5"/>
  <c r="H212" i="5"/>
  <c r="I221" i="5"/>
  <c r="H221" i="5"/>
  <c r="J201" i="5"/>
  <c r="L201" i="5" s="1"/>
  <c r="E201" i="5"/>
  <c r="F200" i="5"/>
  <c r="G200" i="5" s="1"/>
  <c r="D201" i="5"/>
  <c r="J215" i="5"/>
  <c r="L215" i="5" s="1"/>
  <c r="F214" i="5"/>
  <c r="G214" i="5" s="1"/>
  <c r="E215" i="5"/>
  <c r="D215" i="5"/>
  <c r="J196" i="5"/>
  <c r="L196" i="5" s="1"/>
  <c r="F195" i="5"/>
  <c r="G195" i="5" s="1"/>
  <c r="D196" i="5"/>
  <c r="E196" i="5"/>
  <c r="I226" i="5"/>
  <c r="H226" i="5"/>
  <c r="I197" i="5" l="1"/>
  <c r="H197" i="5"/>
  <c r="D195" i="5"/>
  <c r="J195" i="5"/>
  <c r="L195" i="5" s="1"/>
  <c r="F194" i="5"/>
  <c r="G194" i="5" s="1"/>
  <c r="E195" i="5"/>
  <c r="D191" i="5"/>
  <c r="J191" i="5"/>
  <c r="L191" i="5" s="1"/>
  <c r="F190" i="5"/>
  <c r="G190" i="5" s="1"/>
  <c r="E191" i="5"/>
  <c r="I204" i="5"/>
  <c r="H204" i="5"/>
  <c r="D193" i="5"/>
  <c r="J193" i="5"/>
  <c r="L193" i="5" s="1"/>
  <c r="F192" i="5"/>
  <c r="G192" i="5" s="1"/>
  <c r="E193" i="5"/>
  <c r="J205" i="5"/>
  <c r="L205" i="5" s="1"/>
  <c r="D205" i="5"/>
  <c r="F204" i="5"/>
  <c r="G204" i="5" s="1"/>
  <c r="E205" i="5"/>
  <c r="J184" i="5"/>
  <c r="L184" i="5" s="1"/>
  <c r="F183" i="5"/>
  <c r="G183" i="5" s="1"/>
  <c r="E184" i="5"/>
  <c r="D184" i="5"/>
  <c r="I215" i="5"/>
  <c r="H215" i="5"/>
  <c r="I216" i="5"/>
  <c r="H216" i="5"/>
  <c r="I206" i="5"/>
  <c r="H206" i="5"/>
  <c r="D183" i="5"/>
  <c r="J183" i="5"/>
  <c r="L183" i="5" s="1"/>
  <c r="F182" i="5"/>
  <c r="G182" i="5" s="1"/>
  <c r="E183" i="5"/>
  <c r="I199" i="5"/>
  <c r="H199" i="5"/>
  <c r="I196" i="5"/>
  <c r="H196" i="5"/>
  <c r="F185" i="5"/>
  <c r="G185" i="5" s="1"/>
  <c r="J186" i="5"/>
  <c r="L186" i="5" s="1"/>
  <c r="E186" i="5"/>
  <c r="D186" i="5"/>
  <c r="F201" i="5"/>
  <c r="G201" i="5" s="1"/>
  <c r="J202" i="5"/>
  <c r="L202" i="5" s="1"/>
  <c r="D202" i="5"/>
  <c r="E202" i="5"/>
  <c r="F202" i="5"/>
  <c r="G202" i="5" s="1"/>
  <c r="J203" i="5"/>
  <c r="L203" i="5" s="1"/>
  <c r="D203" i="5"/>
  <c r="E203" i="5"/>
  <c r="I208" i="5"/>
  <c r="H208" i="5"/>
  <c r="J198" i="5"/>
  <c r="L198" i="5" s="1"/>
  <c r="D198" i="5"/>
  <c r="E198" i="5"/>
  <c r="F197" i="5"/>
  <c r="G197" i="5" s="1"/>
  <c r="I218" i="5"/>
  <c r="H218" i="5"/>
  <c r="D194" i="5"/>
  <c r="J194" i="5"/>
  <c r="L194" i="5" s="1"/>
  <c r="F193" i="5"/>
  <c r="G193" i="5" s="1"/>
  <c r="E194" i="5"/>
  <c r="I201" i="5"/>
  <c r="H201" i="5"/>
  <c r="J188" i="5"/>
  <c r="L188" i="5" s="1"/>
  <c r="F187" i="5"/>
  <c r="G187" i="5" s="1"/>
  <c r="D188" i="5"/>
  <c r="E188" i="5"/>
  <c r="J200" i="5"/>
  <c r="L200" i="5" s="1"/>
  <c r="D200" i="5"/>
  <c r="F199" i="5"/>
  <c r="G199" i="5" s="1"/>
  <c r="E200" i="5"/>
  <c r="I211" i="5"/>
  <c r="H211" i="5"/>
  <c r="I213" i="5"/>
  <c r="H213" i="5"/>
  <c r="I207" i="5"/>
  <c r="H207" i="5"/>
  <c r="I184" i="5" l="1"/>
  <c r="H184" i="5"/>
  <c r="I200" i="5"/>
  <c r="H200" i="5"/>
  <c r="F177" i="5"/>
  <c r="G177" i="5" s="1"/>
  <c r="D178" i="5"/>
  <c r="J178" i="5"/>
  <c r="L178" i="5" s="1"/>
  <c r="E178" i="5"/>
  <c r="J171" i="5"/>
  <c r="L171" i="5" s="1"/>
  <c r="E171" i="5"/>
  <c r="F170" i="5"/>
  <c r="G170" i="5" s="1"/>
  <c r="D171" i="5"/>
  <c r="I202" i="5"/>
  <c r="H202" i="5"/>
  <c r="I194" i="5"/>
  <c r="H194" i="5"/>
  <c r="F169" i="5"/>
  <c r="G169" i="5" s="1"/>
  <c r="D170" i="5"/>
  <c r="J170" i="5"/>
  <c r="L170" i="5" s="1"/>
  <c r="E170" i="5"/>
  <c r="F191" i="5"/>
  <c r="G191" i="5" s="1"/>
  <c r="J192" i="5"/>
  <c r="L192" i="5" s="1"/>
  <c r="E192" i="5"/>
  <c r="D192" i="5"/>
  <c r="H191" i="5"/>
  <c r="I191" i="5"/>
  <c r="F181" i="5"/>
  <c r="G181" i="5" s="1"/>
  <c r="J182" i="5"/>
  <c r="L182" i="5" s="1"/>
  <c r="D182" i="5"/>
  <c r="E182" i="5"/>
  <c r="J173" i="5"/>
  <c r="L173" i="5" s="1"/>
  <c r="F172" i="5"/>
  <c r="G172" i="5" s="1"/>
  <c r="E173" i="5"/>
  <c r="D173" i="5"/>
  <c r="H195" i="5"/>
  <c r="I195" i="5"/>
  <c r="F186" i="5"/>
  <c r="G186" i="5" s="1"/>
  <c r="D187" i="5"/>
  <c r="E187" i="5"/>
  <c r="J187" i="5"/>
  <c r="L187" i="5" s="1"/>
  <c r="J189" i="5"/>
  <c r="L189" i="5" s="1"/>
  <c r="F188" i="5"/>
  <c r="G188" i="5" s="1"/>
  <c r="E189" i="5"/>
  <c r="D189" i="5"/>
  <c r="F184" i="5"/>
  <c r="G184" i="5" s="1"/>
  <c r="D185" i="5"/>
  <c r="E185" i="5"/>
  <c r="J185" i="5"/>
  <c r="L185" i="5" s="1"/>
  <c r="H183" i="5"/>
  <c r="I183" i="5"/>
  <c r="I186" i="5"/>
  <c r="H186" i="5"/>
  <c r="I205" i="5"/>
  <c r="H205" i="5"/>
  <c r="J180" i="5"/>
  <c r="L180" i="5" s="1"/>
  <c r="D180" i="5"/>
  <c r="E180" i="5"/>
  <c r="F179" i="5"/>
  <c r="G179" i="5" s="1"/>
  <c r="F189" i="5"/>
  <c r="G189" i="5" s="1"/>
  <c r="J190" i="5"/>
  <c r="L190" i="5" s="1"/>
  <c r="D190" i="5"/>
  <c r="E190" i="5"/>
  <c r="F174" i="5"/>
  <c r="G174" i="5" s="1"/>
  <c r="J175" i="5"/>
  <c r="L175" i="5" s="1"/>
  <c r="D175" i="5"/>
  <c r="E175" i="5"/>
  <c r="I188" i="5"/>
  <c r="H188" i="5"/>
  <c r="I198" i="5"/>
  <c r="H198" i="5"/>
  <c r="J181" i="5"/>
  <c r="L181" i="5" s="1"/>
  <c r="D181" i="5"/>
  <c r="E181" i="5"/>
  <c r="F180" i="5"/>
  <c r="G180" i="5" s="1"/>
  <c r="I203" i="5"/>
  <c r="H203" i="5"/>
  <c r="H193" i="5"/>
  <c r="I193" i="5"/>
  <c r="I192" i="5" l="1"/>
  <c r="H192" i="5"/>
  <c r="I171" i="5"/>
  <c r="H171" i="5"/>
  <c r="D158" i="5"/>
  <c r="J158" i="5"/>
  <c r="L158" i="5" s="1"/>
  <c r="F157" i="5"/>
  <c r="G157" i="5" s="1"/>
  <c r="E158" i="5"/>
  <c r="J179" i="5"/>
  <c r="L179" i="5" s="1"/>
  <c r="D179" i="5"/>
  <c r="F178" i="5"/>
  <c r="G178" i="5" s="1"/>
  <c r="E179" i="5"/>
  <c r="I185" i="5"/>
  <c r="H185" i="5"/>
  <c r="I180" i="5"/>
  <c r="H180" i="5"/>
  <c r="J157" i="5"/>
  <c r="L157" i="5" s="1"/>
  <c r="D157" i="5"/>
  <c r="F156" i="5"/>
  <c r="G156" i="5" s="1"/>
  <c r="E157" i="5"/>
  <c r="J165" i="5"/>
  <c r="L165" i="5" s="1"/>
  <c r="F164" i="5"/>
  <c r="G164" i="5" s="1"/>
  <c r="D165" i="5"/>
  <c r="E165" i="5"/>
  <c r="J172" i="5"/>
  <c r="L172" i="5" s="1"/>
  <c r="F171" i="5"/>
  <c r="G171" i="5" s="1"/>
  <c r="E172" i="5"/>
  <c r="D172" i="5"/>
  <c r="I181" i="5"/>
  <c r="H181" i="5"/>
  <c r="I173" i="5"/>
  <c r="H173" i="5"/>
  <c r="J160" i="5"/>
  <c r="L160" i="5" s="1"/>
  <c r="D160" i="5"/>
  <c r="E160" i="5"/>
  <c r="F159" i="5"/>
  <c r="G159" i="5" s="1"/>
  <c r="F175" i="5"/>
  <c r="G175" i="5" s="1"/>
  <c r="J176" i="5"/>
  <c r="L176" i="5" s="1"/>
  <c r="D176" i="5"/>
  <c r="E176" i="5"/>
  <c r="F161" i="5"/>
  <c r="G161" i="5" s="1"/>
  <c r="J162" i="5"/>
  <c r="L162" i="5" s="1"/>
  <c r="E162" i="5"/>
  <c r="D162" i="5"/>
  <c r="J169" i="5"/>
  <c r="L169" i="5" s="1"/>
  <c r="D169" i="5"/>
  <c r="F168" i="5"/>
  <c r="G168" i="5" s="1"/>
  <c r="E169" i="5"/>
  <c r="I182" i="5"/>
  <c r="H182" i="5"/>
  <c r="F173" i="5"/>
  <c r="G173" i="5" s="1"/>
  <c r="E174" i="5"/>
  <c r="J174" i="5"/>
  <c r="L174" i="5" s="1"/>
  <c r="D174" i="5"/>
  <c r="J167" i="5"/>
  <c r="L167" i="5" s="1"/>
  <c r="E167" i="5"/>
  <c r="D167" i="5"/>
  <c r="F166" i="5"/>
  <c r="G166" i="5" s="1"/>
  <c r="I189" i="5"/>
  <c r="H189" i="5"/>
  <c r="I170" i="5"/>
  <c r="H170" i="5"/>
  <c r="I175" i="5"/>
  <c r="H175" i="5"/>
  <c r="I187" i="5"/>
  <c r="H187" i="5"/>
  <c r="I178" i="5"/>
  <c r="H178" i="5"/>
  <c r="F176" i="5"/>
  <c r="G176" i="5" s="1"/>
  <c r="E177" i="5"/>
  <c r="D177" i="5"/>
  <c r="J177" i="5"/>
  <c r="L177" i="5" s="1"/>
  <c r="J168" i="5"/>
  <c r="L168" i="5" s="1"/>
  <c r="D168" i="5"/>
  <c r="F167" i="5"/>
  <c r="G167" i="5" s="1"/>
  <c r="E168" i="5"/>
  <c r="I190" i="5"/>
  <c r="H190" i="5"/>
  <c r="J152" i="5" l="1"/>
  <c r="L152" i="5" s="1"/>
  <c r="F151" i="5"/>
  <c r="G151" i="5" s="1"/>
  <c r="E152" i="5"/>
  <c r="D152" i="5"/>
  <c r="F165" i="5"/>
  <c r="G165" i="5" s="1"/>
  <c r="J166" i="5"/>
  <c r="L166" i="5" s="1"/>
  <c r="E166" i="5"/>
  <c r="D166" i="5"/>
  <c r="I177" i="5"/>
  <c r="H177" i="5"/>
  <c r="I179" i="5"/>
  <c r="H179" i="5"/>
  <c r="J164" i="5"/>
  <c r="L164" i="5" s="1"/>
  <c r="D164" i="5"/>
  <c r="F163" i="5"/>
  <c r="G163" i="5" s="1"/>
  <c r="E164" i="5"/>
  <c r="D144" i="5"/>
  <c r="J144" i="5"/>
  <c r="L144" i="5" s="1"/>
  <c r="E144" i="5"/>
  <c r="F143" i="5"/>
  <c r="G143" i="5" s="1"/>
  <c r="D145" i="5"/>
  <c r="F144" i="5"/>
  <c r="G144" i="5" s="1"/>
  <c r="E145" i="5"/>
  <c r="J145" i="5"/>
  <c r="L145" i="5" s="1"/>
  <c r="I160" i="5"/>
  <c r="H160" i="5"/>
  <c r="F153" i="5"/>
  <c r="G153" i="5" s="1"/>
  <c r="J154" i="5"/>
  <c r="L154" i="5" s="1"/>
  <c r="D154" i="5"/>
  <c r="E154" i="5"/>
  <c r="D147" i="5"/>
  <c r="J147" i="5"/>
  <c r="L147" i="5" s="1"/>
  <c r="F146" i="5"/>
  <c r="G146" i="5" s="1"/>
  <c r="E147" i="5"/>
  <c r="I169" i="5"/>
  <c r="H169" i="5"/>
  <c r="I167" i="5"/>
  <c r="H167" i="5"/>
  <c r="I158" i="5"/>
  <c r="H158" i="5"/>
  <c r="I165" i="5"/>
  <c r="H165" i="5"/>
  <c r="J149" i="5"/>
  <c r="L149" i="5" s="1"/>
  <c r="F148" i="5"/>
  <c r="G148" i="5" s="1"/>
  <c r="D149" i="5"/>
  <c r="E149" i="5"/>
  <c r="J155" i="5"/>
  <c r="L155" i="5" s="1"/>
  <c r="E155" i="5"/>
  <c r="F154" i="5"/>
  <c r="G154" i="5" s="1"/>
  <c r="D155" i="5"/>
  <c r="I172" i="5"/>
  <c r="H172" i="5"/>
  <c r="I176" i="5"/>
  <c r="H176" i="5"/>
  <c r="D159" i="5"/>
  <c r="F158" i="5"/>
  <c r="G158" i="5" s="1"/>
  <c r="J159" i="5"/>
  <c r="L159" i="5" s="1"/>
  <c r="E159" i="5"/>
  <c r="I162" i="5"/>
  <c r="H162" i="5"/>
  <c r="F162" i="5"/>
  <c r="G162" i="5" s="1"/>
  <c r="E163" i="5"/>
  <c r="D163" i="5"/>
  <c r="J163" i="5"/>
  <c r="L163" i="5" s="1"/>
  <c r="J156" i="5"/>
  <c r="L156" i="5" s="1"/>
  <c r="F155" i="5"/>
  <c r="G155" i="5" s="1"/>
  <c r="D156" i="5"/>
  <c r="E156" i="5"/>
  <c r="I174" i="5"/>
  <c r="H174" i="5"/>
  <c r="I157" i="5"/>
  <c r="H157" i="5"/>
  <c r="J161" i="5"/>
  <c r="L161" i="5" s="1"/>
  <c r="F160" i="5"/>
  <c r="G160" i="5" s="1"/>
  <c r="E161" i="5"/>
  <c r="D161" i="5"/>
  <c r="I168" i="5"/>
  <c r="H168" i="5"/>
  <c r="F141" i="5" l="1"/>
  <c r="G141" i="5" s="1"/>
  <c r="D142" i="5"/>
  <c r="E142" i="5"/>
  <c r="J142" i="5"/>
  <c r="L142" i="5" s="1"/>
  <c r="H145" i="5"/>
  <c r="I145" i="5"/>
  <c r="D134" i="5"/>
  <c r="F133" i="5"/>
  <c r="G133" i="5" s="1"/>
  <c r="J134" i="5"/>
  <c r="L134" i="5" s="1"/>
  <c r="E134" i="5"/>
  <c r="I166" i="5"/>
  <c r="H166" i="5"/>
  <c r="D146" i="5"/>
  <c r="F145" i="5"/>
  <c r="G145" i="5" s="1"/>
  <c r="J146" i="5"/>
  <c r="L146" i="5" s="1"/>
  <c r="E146" i="5"/>
  <c r="H159" i="5"/>
  <c r="I159" i="5"/>
  <c r="J153" i="5"/>
  <c r="L153" i="5" s="1"/>
  <c r="E153" i="5"/>
  <c r="D153" i="5"/>
  <c r="F152" i="5"/>
  <c r="G152" i="5" s="1"/>
  <c r="I154" i="5"/>
  <c r="H154" i="5"/>
  <c r="H144" i="5"/>
  <c r="I144" i="5"/>
  <c r="J151" i="5"/>
  <c r="L151" i="5" s="1"/>
  <c r="E151" i="5"/>
  <c r="D151" i="5"/>
  <c r="F150" i="5"/>
  <c r="G150" i="5" s="1"/>
  <c r="I163" i="5"/>
  <c r="H163" i="5"/>
  <c r="J139" i="5"/>
  <c r="L139" i="5" s="1"/>
  <c r="F138" i="5"/>
  <c r="G138" i="5" s="1"/>
  <c r="D139" i="5"/>
  <c r="E139" i="5"/>
  <c r="J132" i="5"/>
  <c r="L132" i="5" s="1"/>
  <c r="F131" i="5"/>
  <c r="G131" i="5" s="1"/>
  <c r="D132" i="5"/>
  <c r="E132" i="5"/>
  <c r="I149" i="5"/>
  <c r="H149" i="5"/>
  <c r="I156" i="5"/>
  <c r="H156" i="5"/>
  <c r="J131" i="5"/>
  <c r="L131" i="5" s="1"/>
  <c r="D131" i="5"/>
  <c r="F130" i="5"/>
  <c r="G130" i="5" s="1"/>
  <c r="E131" i="5"/>
  <c r="I152" i="5"/>
  <c r="H152" i="5"/>
  <c r="J150" i="5"/>
  <c r="L150" i="5" s="1"/>
  <c r="E150" i="5"/>
  <c r="D150" i="5"/>
  <c r="F149" i="5"/>
  <c r="G149" i="5" s="1"/>
  <c r="I155" i="5"/>
  <c r="H155" i="5"/>
  <c r="I164" i="5"/>
  <c r="H164" i="5"/>
  <c r="J136" i="5"/>
  <c r="L136" i="5" s="1"/>
  <c r="D136" i="5"/>
  <c r="F135" i="5"/>
  <c r="G135" i="5" s="1"/>
  <c r="E136" i="5"/>
  <c r="D143" i="5"/>
  <c r="J143" i="5"/>
  <c r="L143" i="5" s="1"/>
  <c r="F142" i="5"/>
  <c r="G142" i="5" s="1"/>
  <c r="E143" i="5"/>
  <c r="H147" i="5"/>
  <c r="I147" i="5"/>
  <c r="J141" i="5"/>
  <c r="L141" i="5" s="1"/>
  <c r="F140" i="5"/>
  <c r="G140" i="5" s="1"/>
  <c r="D141" i="5"/>
  <c r="E141" i="5"/>
  <c r="I161" i="5"/>
  <c r="H161" i="5"/>
  <c r="J148" i="5"/>
  <c r="L148" i="5" s="1"/>
  <c r="F147" i="5"/>
  <c r="G147" i="5" s="1"/>
  <c r="E148" i="5"/>
  <c r="D148" i="5"/>
  <c r="F125" i="5" l="1"/>
  <c r="G125" i="5" s="1"/>
  <c r="J126" i="5"/>
  <c r="L126" i="5" s="1"/>
  <c r="D126" i="5"/>
  <c r="E126" i="5"/>
  <c r="I136" i="5"/>
  <c r="H136" i="5"/>
  <c r="J121" i="5"/>
  <c r="L121" i="5" s="1"/>
  <c r="F120" i="5"/>
  <c r="G120" i="5" s="1"/>
  <c r="E121" i="5"/>
  <c r="D121" i="5"/>
  <c r="I153" i="5"/>
  <c r="H153" i="5"/>
  <c r="I139" i="5"/>
  <c r="H139" i="5"/>
  <c r="J140" i="5"/>
  <c r="L140" i="5" s="1"/>
  <c r="F139" i="5"/>
  <c r="G139" i="5" s="1"/>
  <c r="D140" i="5"/>
  <c r="E140" i="5"/>
  <c r="I134" i="5"/>
  <c r="H134" i="5"/>
  <c r="D135" i="5"/>
  <c r="J135" i="5"/>
  <c r="L135" i="5" s="1"/>
  <c r="F134" i="5"/>
  <c r="G134" i="5" s="1"/>
  <c r="E135" i="5"/>
  <c r="I141" i="5"/>
  <c r="H141" i="5"/>
  <c r="F117" i="5"/>
  <c r="G117" i="5" s="1"/>
  <c r="E118" i="5"/>
  <c r="D118" i="5"/>
  <c r="J118" i="5"/>
  <c r="L118" i="5" s="1"/>
  <c r="I151" i="5"/>
  <c r="H151" i="5"/>
  <c r="J137" i="5"/>
  <c r="L137" i="5" s="1"/>
  <c r="F136" i="5"/>
  <c r="G136" i="5" s="1"/>
  <c r="D137" i="5"/>
  <c r="E137" i="5"/>
  <c r="J133" i="5"/>
  <c r="L133" i="5" s="1"/>
  <c r="D133" i="5"/>
  <c r="F132" i="5"/>
  <c r="G132" i="5" s="1"/>
  <c r="E133" i="5"/>
  <c r="H143" i="5"/>
  <c r="I143" i="5"/>
  <c r="I132" i="5"/>
  <c r="H132" i="5"/>
  <c r="J129" i="5"/>
  <c r="L129" i="5" s="1"/>
  <c r="F128" i="5"/>
  <c r="G128" i="5" s="1"/>
  <c r="D129" i="5"/>
  <c r="E129" i="5"/>
  <c r="I131" i="5"/>
  <c r="H131" i="5"/>
  <c r="I148" i="5"/>
  <c r="H148" i="5"/>
  <c r="D123" i="5"/>
  <c r="J123" i="5"/>
  <c r="L123" i="5" s="1"/>
  <c r="E123" i="5"/>
  <c r="F122" i="5"/>
  <c r="G122" i="5" s="1"/>
  <c r="I142" i="5"/>
  <c r="H142" i="5"/>
  <c r="J128" i="5"/>
  <c r="L128" i="5" s="1"/>
  <c r="F127" i="5"/>
  <c r="G127" i="5" s="1"/>
  <c r="D128" i="5"/>
  <c r="E128" i="5"/>
  <c r="F129" i="5"/>
  <c r="G129" i="5" s="1"/>
  <c r="J130" i="5"/>
  <c r="L130" i="5" s="1"/>
  <c r="E130" i="5"/>
  <c r="D130" i="5"/>
  <c r="I150" i="5"/>
  <c r="H150" i="5"/>
  <c r="J119" i="5"/>
  <c r="L119" i="5" s="1"/>
  <c r="F118" i="5"/>
  <c r="G118" i="5" s="1"/>
  <c r="E119" i="5"/>
  <c r="D119" i="5"/>
  <c r="J138" i="5"/>
  <c r="L138" i="5" s="1"/>
  <c r="E138" i="5"/>
  <c r="D138" i="5"/>
  <c r="F137" i="5"/>
  <c r="G137" i="5" s="1"/>
  <c r="I146" i="5"/>
  <c r="H146" i="5"/>
  <c r="D122" i="5" l="1"/>
  <c r="F121" i="5"/>
  <c r="G121" i="5" s="1"/>
  <c r="J122" i="5"/>
  <c r="L122" i="5" s="1"/>
  <c r="E122" i="5"/>
  <c r="H135" i="5"/>
  <c r="I135" i="5"/>
  <c r="J108" i="5"/>
  <c r="L108" i="5" s="1"/>
  <c r="D108" i="5"/>
  <c r="F107" i="5"/>
  <c r="G107" i="5" s="1"/>
  <c r="E108" i="5"/>
  <c r="F105" i="5"/>
  <c r="G105" i="5" s="1"/>
  <c r="J106" i="5"/>
  <c r="L106" i="5" s="1"/>
  <c r="D106" i="5"/>
  <c r="E106" i="5"/>
  <c r="D110" i="5"/>
  <c r="J110" i="5"/>
  <c r="L110" i="5" s="1"/>
  <c r="F109" i="5"/>
  <c r="G109" i="5" s="1"/>
  <c r="E110" i="5"/>
  <c r="F115" i="5"/>
  <c r="G115" i="5" s="1"/>
  <c r="J116" i="5"/>
  <c r="L116" i="5" s="1"/>
  <c r="E116" i="5"/>
  <c r="D116" i="5"/>
  <c r="I129" i="5"/>
  <c r="H129" i="5"/>
  <c r="J120" i="5"/>
  <c r="L120" i="5" s="1"/>
  <c r="D120" i="5"/>
  <c r="E120" i="5"/>
  <c r="F119" i="5"/>
  <c r="G119" i="5" s="1"/>
  <c r="I121" i="5"/>
  <c r="H121" i="5"/>
  <c r="I130" i="5"/>
  <c r="H130" i="5"/>
  <c r="F126" i="5"/>
  <c r="G126" i="5" s="1"/>
  <c r="D127" i="5"/>
  <c r="E127" i="5"/>
  <c r="J127" i="5"/>
  <c r="L127" i="5" s="1"/>
  <c r="J117" i="5"/>
  <c r="L117" i="5" s="1"/>
  <c r="F116" i="5"/>
  <c r="G116" i="5" s="1"/>
  <c r="D117" i="5"/>
  <c r="E117" i="5"/>
  <c r="J105" i="5"/>
  <c r="L105" i="5" s="1"/>
  <c r="E105" i="5"/>
  <c r="D105" i="5"/>
  <c r="F104" i="5"/>
  <c r="G104" i="5" s="1"/>
  <c r="I138" i="5"/>
  <c r="H138" i="5"/>
  <c r="I126" i="5"/>
  <c r="H126" i="5"/>
  <c r="I119" i="5"/>
  <c r="H119" i="5"/>
  <c r="I137" i="5"/>
  <c r="H137" i="5"/>
  <c r="I118" i="5"/>
  <c r="H118" i="5"/>
  <c r="J113" i="5"/>
  <c r="L113" i="5" s="1"/>
  <c r="D113" i="5"/>
  <c r="F112" i="5"/>
  <c r="G112" i="5" s="1"/>
  <c r="E113" i="5"/>
  <c r="J125" i="5"/>
  <c r="L125" i="5" s="1"/>
  <c r="D125" i="5"/>
  <c r="F124" i="5"/>
  <c r="G124" i="5" s="1"/>
  <c r="E125" i="5"/>
  <c r="F114" i="5"/>
  <c r="G114" i="5" s="1"/>
  <c r="J115" i="5"/>
  <c r="L115" i="5" s="1"/>
  <c r="D115" i="5"/>
  <c r="E115" i="5"/>
  <c r="I133" i="5"/>
  <c r="H133" i="5"/>
  <c r="J124" i="5"/>
  <c r="L124" i="5" s="1"/>
  <c r="F123" i="5"/>
  <c r="G123" i="5" s="1"/>
  <c r="D124" i="5"/>
  <c r="E124" i="5"/>
  <c r="H123" i="5"/>
  <c r="I123" i="5"/>
  <c r="I140" i="5"/>
  <c r="H140" i="5"/>
  <c r="I128" i="5"/>
  <c r="H128" i="5"/>
  <c r="F113" i="5" l="1"/>
  <c r="G113" i="5" s="1"/>
  <c r="J114" i="5"/>
  <c r="L114" i="5" s="1"/>
  <c r="E114" i="5"/>
  <c r="D114" i="5"/>
  <c r="J95" i="5"/>
  <c r="L95" i="5" s="1"/>
  <c r="E95" i="5"/>
  <c r="D95" i="5"/>
  <c r="F94" i="5"/>
  <c r="G94" i="5" s="1"/>
  <c r="I125" i="5"/>
  <c r="H125" i="5"/>
  <c r="J100" i="5"/>
  <c r="L100" i="5" s="1"/>
  <c r="D100" i="5"/>
  <c r="F99" i="5"/>
  <c r="G99" i="5" s="1"/>
  <c r="E100" i="5"/>
  <c r="J103" i="5"/>
  <c r="L103" i="5" s="1"/>
  <c r="E103" i="5"/>
  <c r="F102" i="5"/>
  <c r="G102" i="5" s="1"/>
  <c r="D103" i="5"/>
  <c r="D111" i="5"/>
  <c r="F110" i="5"/>
  <c r="G110" i="5" s="1"/>
  <c r="J111" i="5"/>
  <c r="L111" i="5" s="1"/>
  <c r="E111" i="5"/>
  <c r="I108" i="5"/>
  <c r="H108" i="5"/>
  <c r="J92" i="5"/>
  <c r="L92" i="5" s="1"/>
  <c r="D92" i="5"/>
  <c r="E92" i="5"/>
  <c r="F91" i="5"/>
  <c r="G91" i="5" s="1"/>
  <c r="I127" i="5"/>
  <c r="H127" i="5"/>
  <c r="I124" i="5"/>
  <c r="H124" i="5"/>
  <c r="I116" i="5"/>
  <c r="H116" i="5"/>
  <c r="I105" i="5"/>
  <c r="H105" i="5"/>
  <c r="I115" i="5"/>
  <c r="H115" i="5"/>
  <c r="J109" i="5"/>
  <c r="L109" i="5" s="1"/>
  <c r="E109" i="5"/>
  <c r="D109" i="5"/>
  <c r="F108" i="5"/>
  <c r="G108" i="5" s="1"/>
  <c r="I113" i="5"/>
  <c r="H113" i="5"/>
  <c r="J102" i="5"/>
  <c r="L102" i="5" s="1"/>
  <c r="D102" i="5"/>
  <c r="F101" i="5"/>
  <c r="G101" i="5" s="1"/>
  <c r="E102" i="5"/>
  <c r="J104" i="5"/>
  <c r="L104" i="5" s="1"/>
  <c r="F103" i="5"/>
  <c r="G103" i="5" s="1"/>
  <c r="D104" i="5"/>
  <c r="E104" i="5"/>
  <c r="J97" i="5"/>
  <c r="L97" i="5" s="1"/>
  <c r="F96" i="5"/>
  <c r="G96" i="5" s="1"/>
  <c r="D97" i="5"/>
  <c r="E97" i="5"/>
  <c r="F106" i="5"/>
  <c r="G106" i="5" s="1"/>
  <c r="J107" i="5"/>
  <c r="L107" i="5" s="1"/>
  <c r="D107" i="5"/>
  <c r="E107" i="5"/>
  <c r="J112" i="5"/>
  <c r="L112" i="5" s="1"/>
  <c r="D112" i="5"/>
  <c r="F111" i="5"/>
  <c r="G111" i="5" s="1"/>
  <c r="E112" i="5"/>
  <c r="I120" i="5"/>
  <c r="H120" i="5"/>
  <c r="F92" i="5"/>
  <c r="G92" i="5" s="1"/>
  <c r="E93" i="5"/>
  <c r="D93" i="5"/>
  <c r="J93" i="5"/>
  <c r="L93" i="5" s="1"/>
  <c r="I117" i="5"/>
  <c r="H117" i="5"/>
  <c r="I110" i="5"/>
  <c r="H110" i="5"/>
  <c r="I106" i="5"/>
  <c r="H106" i="5"/>
  <c r="I122" i="5"/>
  <c r="H122" i="5"/>
  <c r="J89" i="5" l="1"/>
  <c r="L89" i="5" s="1"/>
  <c r="E89" i="5"/>
  <c r="D89" i="5"/>
  <c r="F88" i="5"/>
  <c r="G88" i="5" s="1"/>
  <c r="I100" i="5"/>
  <c r="H100" i="5"/>
  <c r="I102" i="5"/>
  <c r="H102" i="5"/>
  <c r="J84" i="5"/>
  <c r="L84" i="5" s="1"/>
  <c r="D84" i="5"/>
  <c r="F83" i="5"/>
  <c r="G83" i="5" s="1"/>
  <c r="E84" i="5"/>
  <c r="I95" i="5"/>
  <c r="H95" i="5"/>
  <c r="I107" i="5"/>
  <c r="H107" i="5"/>
  <c r="D98" i="5"/>
  <c r="J98" i="5"/>
  <c r="L98" i="5" s="1"/>
  <c r="F97" i="5"/>
  <c r="G97" i="5" s="1"/>
  <c r="E98" i="5"/>
  <c r="J80" i="5"/>
  <c r="L80" i="5" s="1"/>
  <c r="D80" i="5"/>
  <c r="E80" i="5"/>
  <c r="F79" i="5"/>
  <c r="G79" i="5" s="1"/>
  <c r="H111" i="5"/>
  <c r="I111" i="5"/>
  <c r="F93" i="5"/>
  <c r="G93" i="5" s="1"/>
  <c r="J94" i="5"/>
  <c r="L94" i="5" s="1"/>
  <c r="E94" i="5"/>
  <c r="D94" i="5"/>
  <c r="I103" i="5"/>
  <c r="H103" i="5"/>
  <c r="D99" i="5"/>
  <c r="J99" i="5"/>
  <c r="L99" i="5" s="1"/>
  <c r="F98" i="5"/>
  <c r="G98" i="5" s="1"/>
  <c r="E99" i="5"/>
  <c r="J96" i="5"/>
  <c r="L96" i="5" s="1"/>
  <c r="D96" i="5"/>
  <c r="F95" i="5"/>
  <c r="G95" i="5" s="1"/>
  <c r="E96" i="5"/>
  <c r="I104" i="5"/>
  <c r="H104" i="5"/>
  <c r="F78" i="5"/>
  <c r="G78" i="5" s="1"/>
  <c r="J79" i="5"/>
  <c r="L79" i="5" s="1"/>
  <c r="D79" i="5"/>
  <c r="E79" i="5"/>
  <c r="J101" i="5"/>
  <c r="L101" i="5" s="1"/>
  <c r="E101" i="5"/>
  <c r="D101" i="5"/>
  <c r="F100" i="5"/>
  <c r="G100" i="5" s="1"/>
  <c r="I93" i="5"/>
  <c r="H93" i="5"/>
  <c r="J91" i="5"/>
  <c r="L91" i="5" s="1"/>
  <c r="E91" i="5"/>
  <c r="F90" i="5"/>
  <c r="G90" i="5" s="1"/>
  <c r="D91" i="5"/>
  <c r="I114" i="5"/>
  <c r="H114" i="5"/>
  <c r="I112" i="5"/>
  <c r="H112" i="5"/>
  <c r="I92" i="5"/>
  <c r="H92" i="5"/>
  <c r="D87" i="5"/>
  <c r="F86" i="5"/>
  <c r="G86" i="5" s="1"/>
  <c r="J87" i="5"/>
  <c r="L87" i="5" s="1"/>
  <c r="E87" i="5"/>
  <c r="I97" i="5"/>
  <c r="H97" i="5"/>
  <c r="F81" i="5"/>
  <c r="G81" i="5" s="1"/>
  <c r="J82" i="5"/>
  <c r="L82" i="5" s="1"/>
  <c r="D82" i="5"/>
  <c r="E82" i="5"/>
  <c r="I109" i="5"/>
  <c r="H109" i="5"/>
  <c r="J90" i="5"/>
  <c r="L90" i="5" s="1"/>
  <c r="F89" i="5"/>
  <c r="G89" i="5" s="1"/>
  <c r="D90" i="5"/>
  <c r="E90" i="5"/>
  <c r="D86" i="5" l="1"/>
  <c r="F85" i="5"/>
  <c r="G85" i="5" s="1"/>
  <c r="E86" i="5"/>
  <c r="J86" i="5"/>
  <c r="L86" i="5" s="1"/>
  <c r="J88" i="5"/>
  <c r="L88" i="5" s="1"/>
  <c r="D88" i="5"/>
  <c r="F87" i="5"/>
  <c r="G87" i="5" s="1"/>
  <c r="E88" i="5"/>
  <c r="F65" i="5"/>
  <c r="G65" i="5" s="1"/>
  <c r="D66" i="5"/>
  <c r="E66" i="5"/>
  <c r="J66" i="5"/>
  <c r="L66" i="5" s="1"/>
  <c r="H99" i="5"/>
  <c r="I99" i="5"/>
  <c r="J85" i="5"/>
  <c r="L85" i="5" s="1"/>
  <c r="E85" i="5"/>
  <c r="D85" i="5"/>
  <c r="F84" i="5"/>
  <c r="G84" i="5" s="1"/>
  <c r="F82" i="5"/>
  <c r="G82" i="5" s="1"/>
  <c r="J83" i="5"/>
  <c r="L83" i="5" s="1"/>
  <c r="E83" i="5"/>
  <c r="D83" i="5"/>
  <c r="J69" i="5"/>
  <c r="L69" i="5" s="1"/>
  <c r="E69" i="5"/>
  <c r="D69" i="5"/>
  <c r="F68" i="5"/>
  <c r="G68" i="5" s="1"/>
  <c r="I82" i="5"/>
  <c r="H82" i="5"/>
  <c r="I80" i="5"/>
  <c r="H80" i="5"/>
  <c r="I91" i="5"/>
  <c r="H91" i="5"/>
  <c r="D74" i="5"/>
  <c r="J74" i="5"/>
  <c r="L74" i="5" s="1"/>
  <c r="F73" i="5"/>
  <c r="G73" i="5" s="1"/>
  <c r="E74" i="5"/>
  <c r="I94" i="5"/>
  <c r="H94" i="5"/>
  <c r="H98" i="5"/>
  <c r="I98" i="5"/>
  <c r="I89" i="5"/>
  <c r="H89" i="5"/>
  <c r="F70" i="5"/>
  <c r="G70" i="5" s="1"/>
  <c r="D71" i="5"/>
  <c r="J71" i="5"/>
  <c r="L71" i="5" s="1"/>
  <c r="E71" i="5"/>
  <c r="F66" i="5"/>
  <c r="G66" i="5" s="1"/>
  <c r="J67" i="5"/>
  <c r="L67" i="5" s="1"/>
  <c r="E67" i="5"/>
  <c r="D67" i="5"/>
  <c r="I84" i="5"/>
  <c r="H84" i="5"/>
  <c r="I79" i="5"/>
  <c r="H79" i="5"/>
  <c r="J77" i="5"/>
  <c r="L77" i="5" s="1"/>
  <c r="F76" i="5"/>
  <c r="G76" i="5" s="1"/>
  <c r="D77" i="5"/>
  <c r="E77" i="5"/>
  <c r="H87" i="5"/>
  <c r="I87" i="5"/>
  <c r="I96" i="5"/>
  <c r="H96" i="5"/>
  <c r="J76" i="5"/>
  <c r="L76" i="5" s="1"/>
  <c r="F75" i="5"/>
  <c r="G75" i="5" s="1"/>
  <c r="E76" i="5"/>
  <c r="D76" i="5"/>
  <c r="F77" i="5"/>
  <c r="G77" i="5" s="1"/>
  <c r="J78" i="5"/>
  <c r="L78" i="5" s="1"/>
  <c r="E78" i="5"/>
  <c r="D78" i="5"/>
  <c r="I90" i="5"/>
  <c r="H90" i="5"/>
  <c r="J81" i="5"/>
  <c r="L81" i="5" s="1"/>
  <c r="F80" i="5"/>
  <c r="G80" i="5" s="1"/>
  <c r="D81" i="5"/>
  <c r="E81" i="5"/>
  <c r="I101" i="5"/>
  <c r="H101" i="5"/>
  <c r="J56" i="5" l="1"/>
  <c r="L56" i="5" s="1"/>
  <c r="D56" i="5"/>
  <c r="E56" i="5"/>
  <c r="F55" i="5"/>
  <c r="G55" i="5" s="1"/>
  <c r="F69" i="5"/>
  <c r="G69" i="5" s="1"/>
  <c r="J70" i="5"/>
  <c r="L70" i="5" s="1"/>
  <c r="E70" i="5"/>
  <c r="D70" i="5"/>
  <c r="D61" i="5"/>
  <c r="F60" i="5"/>
  <c r="G60" i="5" s="1"/>
  <c r="J61" i="5"/>
  <c r="L61" i="5" s="1"/>
  <c r="E61" i="5"/>
  <c r="F57" i="5"/>
  <c r="G57" i="5" s="1"/>
  <c r="D58" i="5"/>
  <c r="E58" i="5"/>
  <c r="J58" i="5"/>
  <c r="L58" i="5" s="1"/>
  <c r="I77" i="5"/>
  <c r="H77" i="5"/>
  <c r="D75" i="5"/>
  <c r="J75" i="5"/>
  <c r="L75" i="5" s="1"/>
  <c r="E75" i="5"/>
  <c r="F74" i="5"/>
  <c r="G74" i="5" s="1"/>
  <c r="J64" i="5"/>
  <c r="L64" i="5" s="1"/>
  <c r="D64" i="5"/>
  <c r="F63" i="5"/>
  <c r="G63" i="5" s="1"/>
  <c r="E64" i="5"/>
  <c r="D63" i="5"/>
  <c r="J63" i="5"/>
  <c r="L63" i="5" s="1"/>
  <c r="F62" i="5"/>
  <c r="G62" i="5" s="1"/>
  <c r="E63" i="5"/>
  <c r="I83" i="5"/>
  <c r="H83" i="5"/>
  <c r="H74" i="5"/>
  <c r="I74" i="5"/>
  <c r="I76" i="5"/>
  <c r="H76" i="5"/>
  <c r="I78" i="5"/>
  <c r="H78" i="5"/>
  <c r="I88" i="5"/>
  <c r="H88" i="5"/>
  <c r="I85" i="5"/>
  <c r="H85" i="5"/>
  <c r="J68" i="5"/>
  <c r="L68" i="5" s="1"/>
  <c r="F67" i="5"/>
  <c r="G67" i="5" s="1"/>
  <c r="D68" i="5"/>
  <c r="E68" i="5"/>
  <c r="I81" i="5"/>
  <c r="H81" i="5"/>
  <c r="J73" i="5"/>
  <c r="L73" i="5" s="1"/>
  <c r="D73" i="5"/>
  <c r="F72" i="5"/>
  <c r="G72" i="5" s="1"/>
  <c r="E73" i="5"/>
  <c r="I66" i="5"/>
  <c r="H66" i="5"/>
  <c r="I67" i="5"/>
  <c r="H67" i="5"/>
  <c r="J53" i="5"/>
  <c r="L53" i="5" s="1"/>
  <c r="D53" i="5"/>
  <c r="F52" i="5"/>
  <c r="G52" i="5" s="1"/>
  <c r="E53" i="5"/>
  <c r="J65" i="5"/>
  <c r="L65" i="5" s="1"/>
  <c r="F64" i="5"/>
  <c r="G64" i="5" s="1"/>
  <c r="D65" i="5"/>
  <c r="E65" i="5"/>
  <c r="I71" i="5"/>
  <c r="H71" i="5"/>
  <c r="J72" i="5"/>
  <c r="L72" i="5" s="1"/>
  <c r="F71" i="5"/>
  <c r="G71" i="5" s="1"/>
  <c r="D72" i="5"/>
  <c r="E72" i="5"/>
  <c r="J54" i="5"/>
  <c r="L54" i="5" s="1"/>
  <c r="F53" i="5"/>
  <c r="G53" i="5" s="1"/>
  <c r="D54" i="5"/>
  <c r="E54" i="5"/>
  <c r="I69" i="5"/>
  <c r="H69" i="5"/>
  <c r="H86" i="5"/>
  <c r="I86" i="5"/>
  <c r="I64" i="5" l="1"/>
  <c r="H64" i="5"/>
  <c r="J48" i="5"/>
  <c r="L48" i="5" s="1"/>
  <c r="E48" i="5"/>
  <c r="F47" i="5"/>
  <c r="G47" i="5" s="1"/>
  <c r="D48" i="5"/>
  <c r="H61" i="5"/>
  <c r="I61" i="5"/>
  <c r="J40" i="5"/>
  <c r="L40" i="5" s="1"/>
  <c r="E40" i="5"/>
  <c r="D40" i="5"/>
  <c r="F39" i="5"/>
  <c r="G39" i="5" s="1"/>
  <c r="I70" i="5"/>
  <c r="H70" i="5"/>
  <c r="I72" i="5"/>
  <c r="H72" i="5"/>
  <c r="F58" i="5"/>
  <c r="G58" i="5" s="1"/>
  <c r="D59" i="5"/>
  <c r="J59" i="5"/>
  <c r="L59" i="5" s="1"/>
  <c r="E59" i="5"/>
  <c r="D62" i="5"/>
  <c r="J62" i="5"/>
  <c r="L62" i="5" s="1"/>
  <c r="E62" i="5"/>
  <c r="F61" i="5"/>
  <c r="G61" i="5" s="1"/>
  <c r="J57" i="5"/>
  <c r="L57" i="5" s="1"/>
  <c r="F56" i="5"/>
  <c r="G56" i="5" s="1"/>
  <c r="E57" i="5"/>
  <c r="D57" i="5"/>
  <c r="J55" i="5"/>
  <c r="L55" i="5" s="1"/>
  <c r="F54" i="5"/>
  <c r="G54" i="5" s="1"/>
  <c r="E55" i="5"/>
  <c r="D55" i="5"/>
  <c r="D50" i="5"/>
  <c r="F49" i="5"/>
  <c r="G49" i="5" s="1"/>
  <c r="E50" i="5"/>
  <c r="J50" i="5"/>
  <c r="L50" i="5" s="1"/>
  <c r="J52" i="5"/>
  <c r="L52" i="5" s="1"/>
  <c r="E52" i="5"/>
  <c r="F51" i="5"/>
  <c r="G51" i="5" s="1"/>
  <c r="D52" i="5"/>
  <c r="I65" i="5"/>
  <c r="H65" i="5"/>
  <c r="H63" i="5"/>
  <c r="I63" i="5"/>
  <c r="J45" i="5"/>
  <c r="L45" i="5" s="1"/>
  <c r="E45" i="5"/>
  <c r="F44" i="5"/>
  <c r="G44" i="5" s="1"/>
  <c r="D45" i="5"/>
  <c r="J43" i="5"/>
  <c r="L43" i="5" s="1"/>
  <c r="E43" i="5"/>
  <c r="D43" i="5"/>
  <c r="F42" i="5"/>
  <c r="G42" i="5" s="1"/>
  <c r="I53" i="5"/>
  <c r="H53" i="5"/>
  <c r="I68" i="5"/>
  <c r="H68" i="5"/>
  <c r="H75" i="5"/>
  <c r="I75" i="5"/>
  <c r="D60" i="5"/>
  <c r="J60" i="5"/>
  <c r="L60" i="5" s="1"/>
  <c r="F59" i="5"/>
  <c r="G59" i="5" s="1"/>
  <c r="E60" i="5"/>
  <c r="J41" i="5"/>
  <c r="L41" i="5" s="1"/>
  <c r="D41" i="5"/>
  <c r="F40" i="5"/>
  <c r="G40" i="5" s="1"/>
  <c r="E41" i="5"/>
  <c r="I73" i="5"/>
  <c r="H73" i="5"/>
  <c r="D51" i="5"/>
  <c r="J51" i="5"/>
  <c r="L51" i="5" s="1"/>
  <c r="F50" i="5"/>
  <c r="G50" i="5" s="1"/>
  <c r="E51" i="5"/>
  <c r="I58" i="5"/>
  <c r="H58" i="5"/>
  <c r="I56" i="5"/>
  <c r="H56" i="5"/>
  <c r="I54" i="5"/>
  <c r="H54" i="5"/>
  <c r="D38" i="5" l="1"/>
  <c r="J38" i="5"/>
  <c r="L38" i="5" s="1"/>
  <c r="F37" i="5"/>
  <c r="G37" i="5" s="1"/>
  <c r="E38" i="5"/>
  <c r="D27" i="5"/>
  <c r="J27" i="5"/>
  <c r="L27" i="5" s="1"/>
  <c r="F26" i="5"/>
  <c r="G26" i="5" s="1"/>
  <c r="E27" i="5"/>
  <c r="H50" i="5"/>
  <c r="I50" i="5"/>
  <c r="F45" i="5"/>
  <c r="G45" i="5" s="1"/>
  <c r="J46" i="5"/>
  <c r="L46" i="5" s="1"/>
  <c r="E46" i="5"/>
  <c r="D46" i="5"/>
  <c r="J49" i="5"/>
  <c r="L49" i="5" s="1"/>
  <c r="E49" i="5"/>
  <c r="D49" i="5"/>
  <c r="F48" i="5"/>
  <c r="G48" i="5" s="1"/>
  <c r="I40" i="5"/>
  <c r="H40" i="5"/>
  <c r="I48" i="5"/>
  <c r="H48" i="5"/>
  <c r="F31" i="5"/>
  <c r="G31" i="5" s="1"/>
  <c r="J32" i="5"/>
  <c r="L32" i="5" s="1"/>
  <c r="D32" i="5"/>
  <c r="E32" i="5"/>
  <c r="H62" i="5"/>
  <c r="I62" i="5"/>
  <c r="F34" i="5"/>
  <c r="G34" i="5" s="1"/>
  <c r="J35" i="5"/>
  <c r="L35" i="5" s="1"/>
  <c r="E35" i="5"/>
  <c r="D35" i="5"/>
  <c r="I45" i="5"/>
  <c r="H45" i="5"/>
  <c r="I55" i="5"/>
  <c r="H55" i="5"/>
  <c r="J42" i="5"/>
  <c r="L42" i="5" s="1"/>
  <c r="D42" i="5"/>
  <c r="E42" i="5"/>
  <c r="F41" i="5"/>
  <c r="G41" i="5" s="1"/>
  <c r="I43" i="5"/>
  <c r="H43" i="5"/>
  <c r="J44" i="5"/>
  <c r="L44" i="5" s="1"/>
  <c r="F43" i="5"/>
  <c r="G43" i="5" s="1"/>
  <c r="E44" i="5"/>
  <c r="D44" i="5"/>
  <c r="H60" i="5"/>
  <c r="I60" i="5"/>
  <c r="I59" i="5"/>
  <c r="H59" i="5"/>
  <c r="I52" i="5"/>
  <c r="H52" i="5"/>
  <c r="F46" i="5"/>
  <c r="G46" i="5" s="1"/>
  <c r="J47" i="5"/>
  <c r="L47" i="5" s="1"/>
  <c r="D47" i="5"/>
  <c r="E47" i="5"/>
  <c r="F29" i="5"/>
  <c r="G29" i="5" s="1"/>
  <c r="J30" i="5"/>
  <c r="L30" i="5" s="1"/>
  <c r="D30" i="5"/>
  <c r="E30" i="5"/>
  <c r="D39" i="5"/>
  <c r="J39" i="5"/>
  <c r="L39" i="5" s="1"/>
  <c r="F38" i="5"/>
  <c r="G38" i="5" s="1"/>
  <c r="E39" i="5"/>
  <c r="J37" i="5"/>
  <c r="L37" i="5" s="1"/>
  <c r="F36" i="5"/>
  <c r="G36" i="5" s="1"/>
  <c r="D37" i="5"/>
  <c r="E37" i="5"/>
  <c r="H51" i="5"/>
  <c r="I51" i="5"/>
  <c r="J28" i="5"/>
  <c r="L28" i="5" s="1"/>
  <c r="D28" i="5"/>
  <c r="F27" i="5"/>
  <c r="G27" i="5" s="1"/>
  <c r="E28" i="5"/>
  <c r="I41" i="5"/>
  <c r="H41" i="5"/>
  <c r="I57" i="5"/>
  <c r="H57" i="5"/>
  <c r="J17" i="5" l="1"/>
  <c r="L17" i="5" s="1"/>
  <c r="D17" i="5"/>
  <c r="F16" i="5"/>
  <c r="G16" i="5" s="1"/>
  <c r="E17" i="5"/>
  <c r="F30" i="5"/>
  <c r="G30" i="5" s="1"/>
  <c r="J31" i="5"/>
  <c r="L31" i="5" s="1"/>
  <c r="D31" i="5"/>
  <c r="E31" i="5"/>
  <c r="I35" i="5"/>
  <c r="H35" i="5"/>
  <c r="D14" i="5"/>
  <c r="F13" i="5"/>
  <c r="G13" i="5" s="1"/>
  <c r="J14" i="5"/>
  <c r="L14" i="5" s="1"/>
  <c r="E14" i="5"/>
  <c r="F21" i="5"/>
  <c r="G21" i="5" s="1"/>
  <c r="J22" i="5"/>
  <c r="L22" i="5" s="1"/>
  <c r="D22" i="5"/>
  <c r="E22" i="5"/>
  <c r="I47" i="5"/>
  <c r="H47" i="5"/>
  <c r="H27" i="5"/>
  <c r="I27" i="5"/>
  <c r="J24" i="5"/>
  <c r="L24" i="5" s="1"/>
  <c r="D24" i="5"/>
  <c r="E24" i="5"/>
  <c r="F23" i="5"/>
  <c r="G23" i="5" s="1"/>
  <c r="I37" i="5"/>
  <c r="H37" i="5"/>
  <c r="J25" i="5"/>
  <c r="L25" i="5" s="1"/>
  <c r="D25" i="5"/>
  <c r="F24" i="5"/>
  <c r="G24" i="5" s="1"/>
  <c r="E25" i="5"/>
  <c r="I28" i="5"/>
  <c r="H28" i="5"/>
  <c r="I30" i="5"/>
  <c r="H30" i="5"/>
  <c r="D26" i="5"/>
  <c r="F25" i="5"/>
  <c r="G25" i="5" s="1"/>
  <c r="J26" i="5"/>
  <c r="L26" i="5" s="1"/>
  <c r="E26" i="5"/>
  <c r="J36" i="5"/>
  <c r="L36" i="5" s="1"/>
  <c r="E36" i="5"/>
  <c r="D36" i="5"/>
  <c r="F35" i="5"/>
  <c r="G35" i="5" s="1"/>
  <c r="I42" i="5"/>
  <c r="H42" i="5"/>
  <c r="F18" i="5"/>
  <c r="G18" i="5" s="1"/>
  <c r="J19" i="5"/>
  <c r="L19" i="5" s="1"/>
  <c r="D19" i="5"/>
  <c r="E19" i="5"/>
  <c r="I46" i="5"/>
  <c r="H46" i="5"/>
  <c r="I44" i="5"/>
  <c r="H44" i="5"/>
  <c r="F33" i="5"/>
  <c r="G33" i="5" s="1"/>
  <c r="J34" i="5"/>
  <c r="L34" i="5" s="1"/>
  <c r="D34" i="5"/>
  <c r="E34" i="5"/>
  <c r="I49" i="5"/>
  <c r="H49" i="5"/>
  <c r="J29" i="5"/>
  <c r="L29" i="5" s="1"/>
  <c r="D29" i="5"/>
  <c r="F28" i="5"/>
  <c r="G28" i="5" s="1"/>
  <c r="E29" i="5"/>
  <c r="D15" i="5"/>
  <c r="J15" i="5"/>
  <c r="L15" i="5" s="1"/>
  <c r="F14" i="5"/>
  <c r="G14" i="5" s="1"/>
  <c r="E15" i="5"/>
  <c r="H39" i="5"/>
  <c r="I39" i="5"/>
  <c r="I32" i="5"/>
  <c r="H32" i="5"/>
  <c r="F32" i="5"/>
  <c r="G32" i="5" s="1"/>
  <c r="J33" i="5"/>
  <c r="L33" i="5" s="1"/>
  <c r="D33" i="5"/>
  <c r="E33" i="5"/>
  <c r="H38" i="5"/>
  <c r="I38" i="5"/>
  <c r="I24" i="5" l="1"/>
  <c r="H24" i="5"/>
  <c r="J12" i="5"/>
  <c r="L12" i="5" s="1"/>
  <c r="D12" i="5"/>
  <c r="E12" i="5"/>
  <c r="F11" i="5"/>
  <c r="G11" i="5" s="1"/>
  <c r="F17" i="5"/>
  <c r="G17" i="5" s="1"/>
  <c r="D18" i="5"/>
  <c r="J18" i="5"/>
  <c r="L18" i="5" s="1"/>
  <c r="E18" i="5"/>
  <c r="H14" i="5"/>
  <c r="I14" i="5"/>
  <c r="I36" i="5"/>
  <c r="H36" i="5"/>
  <c r="I31" i="5"/>
  <c r="H31" i="5"/>
  <c r="I34" i="5"/>
  <c r="H34" i="5"/>
  <c r="J21" i="5"/>
  <c r="L21" i="5" s="1"/>
  <c r="F20" i="5"/>
  <c r="G20" i="5" s="1"/>
  <c r="D21" i="5"/>
  <c r="E21" i="5"/>
  <c r="D2" i="5"/>
  <c r="D5" i="4"/>
  <c r="F5" i="4" s="1"/>
  <c r="H5" i="4" s="1"/>
  <c r="J2" i="5"/>
  <c r="L2" i="5" s="1"/>
  <c r="D12" i="4"/>
  <c r="F12" i="4" s="1"/>
  <c r="H12" i="4" s="1"/>
  <c r="D11" i="4"/>
  <c r="F11" i="4" s="1"/>
  <c r="H11" i="4" s="1"/>
  <c r="D6" i="4"/>
  <c r="F6" i="4" s="1"/>
  <c r="H6" i="4" s="1"/>
  <c r="D3" i="4"/>
  <c r="F3" i="4" s="1"/>
  <c r="H3" i="4" s="1"/>
  <c r="E2" i="5"/>
  <c r="D2" i="4"/>
  <c r="F2" i="4" s="1"/>
  <c r="H2" i="4" s="1"/>
  <c r="D7" i="4"/>
  <c r="F7" i="4" s="1"/>
  <c r="H7" i="4" s="1"/>
  <c r="H15" i="5"/>
  <c r="I15" i="5"/>
  <c r="J20" i="5"/>
  <c r="L20" i="5" s="1"/>
  <c r="F19" i="5"/>
  <c r="G19" i="5" s="1"/>
  <c r="D20" i="5"/>
  <c r="E20" i="5"/>
  <c r="D9" i="4" s="1"/>
  <c r="F9" i="4" s="1"/>
  <c r="H9" i="4" s="1"/>
  <c r="J4" i="5"/>
  <c r="L4" i="5" s="1"/>
  <c r="F3" i="5"/>
  <c r="G3" i="5" s="1"/>
  <c r="D4" i="5"/>
  <c r="E4" i="5"/>
  <c r="F22" i="5"/>
  <c r="G22" i="5" s="1"/>
  <c r="E23" i="5"/>
  <c r="D23" i="5"/>
  <c r="J23" i="5"/>
  <c r="L23" i="5" s="1"/>
  <c r="I25" i="5"/>
  <c r="H25" i="5"/>
  <c r="I22" i="5"/>
  <c r="H22" i="5"/>
  <c r="J13" i="5"/>
  <c r="L13" i="5" s="1"/>
  <c r="E13" i="5"/>
  <c r="F12" i="5"/>
  <c r="G12" i="5" s="1"/>
  <c r="D13" i="5"/>
  <c r="I29" i="5"/>
  <c r="H29" i="5"/>
  <c r="J6" i="5"/>
  <c r="L6" i="5" s="1"/>
  <c r="D6" i="5"/>
  <c r="F5" i="5"/>
  <c r="G5" i="5" s="1"/>
  <c r="E6" i="5"/>
  <c r="I17" i="5"/>
  <c r="H17" i="5"/>
  <c r="J9" i="5"/>
  <c r="L9" i="5" s="1"/>
  <c r="D9" i="5"/>
  <c r="F8" i="5"/>
  <c r="G8" i="5" s="1"/>
  <c r="E9" i="5"/>
  <c r="J16" i="5"/>
  <c r="L16" i="5" s="1"/>
  <c r="D16" i="5"/>
  <c r="F15" i="5"/>
  <c r="G15" i="5" s="1"/>
  <c r="E16" i="5"/>
  <c r="I33" i="5"/>
  <c r="H33" i="5"/>
  <c r="I19" i="5"/>
  <c r="H19" i="5"/>
  <c r="H26" i="5"/>
  <c r="I26" i="5"/>
  <c r="F10" i="5"/>
  <c r="G10" i="5" s="1"/>
  <c r="J11" i="5"/>
  <c r="L11" i="5" s="1"/>
  <c r="D11" i="5"/>
  <c r="E11" i="5"/>
  <c r="H2" i="5" l="1"/>
  <c r="I2" i="5"/>
  <c r="I13" i="5"/>
  <c r="H13" i="5"/>
  <c r="I4" i="5"/>
  <c r="H4" i="5"/>
  <c r="J8" i="5"/>
  <c r="L8" i="5" s="1"/>
  <c r="E8" i="5"/>
  <c r="D8" i="5"/>
  <c r="F7" i="5"/>
  <c r="G7" i="5" s="1"/>
  <c r="J5" i="5"/>
  <c r="L5" i="5" s="1"/>
  <c r="F4" i="5"/>
  <c r="G4" i="5" s="1"/>
  <c r="E5" i="5"/>
  <c r="D5" i="5"/>
  <c r="I21" i="5"/>
  <c r="H21" i="5"/>
  <c r="I18" i="5"/>
  <c r="H18" i="5"/>
  <c r="I11" i="5"/>
  <c r="H11" i="5"/>
  <c r="I12" i="5"/>
  <c r="H12" i="5"/>
  <c r="I20" i="5"/>
  <c r="H20" i="5"/>
  <c r="D3" i="5"/>
  <c r="J3" i="5"/>
  <c r="L3" i="5" s="1"/>
  <c r="E3" i="5"/>
  <c r="F2" i="5"/>
  <c r="G2" i="5" s="1"/>
  <c r="I6" i="5"/>
  <c r="H6" i="5"/>
  <c r="D13" i="4"/>
  <c r="F13" i="4" s="1"/>
  <c r="H13" i="4" s="1"/>
  <c r="I9" i="5"/>
  <c r="H9" i="5"/>
  <c r="J7" i="5"/>
  <c r="L7" i="5" s="1"/>
  <c r="E7" i="5"/>
  <c r="D7" i="5"/>
  <c r="F6" i="5"/>
  <c r="G6" i="5" s="1"/>
  <c r="I23" i="5"/>
  <c r="H23" i="5"/>
  <c r="D10" i="4"/>
  <c r="F10" i="4" s="1"/>
  <c r="H10" i="4" s="1"/>
  <c r="I16" i="5"/>
  <c r="H16" i="5"/>
  <c r="F9" i="5"/>
  <c r="G9" i="5" s="1"/>
  <c r="E10" i="5"/>
  <c r="J10" i="5"/>
  <c r="L10" i="5" s="1"/>
  <c r="D10" i="5"/>
  <c r="D4" i="4"/>
  <c r="F4" i="4" s="1"/>
  <c r="H4" i="4" s="1"/>
  <c r="D8" i="4"/>
  <c r="F8" i="4" s="1"/>
  <c r="H8" i="4" s="1"/>
  <c r="I5" i="5" l="1"/>
  <c r="H5" i="5"/>
  <c r="I7" i="5"/>
  <c r="H7" i="5"/>
  <c r="I10" i="5"/>
  <c r="H10" i="5"/>
  <c r="I8" i="5"/>
  <c r="H8" i="5"/>
  <c r="H3" i="5"/>
  <c r="I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<sst xmlns="http://schemas.openxmlformats.org/spreadsheetml/2006/main" count="1174" uniqueCount="701">
  <si>
    <t>sales_id</t>
  </si>
  <si>
    <t>sales_date</t>
  </si>
  <si>
    <t>customer_id</t>
  </si>
  <si>
    <t>product_id</t>
  </si>
  <si>
    <t>quantity</t>
  </si>
  <si>
    <t>unit_price</t>
  </si>
  <si>
    <t>total_revenue</t>
  </si>
  <si>
    <t>cogs</t>
  </si>
  <si>
    <t>profit</t>
  </si>
  <si>
    <t>PRD007</t>
  </si>
  <si>
    <t>PRD006</t>
  </si>
  <si>
    <t>PRD005</t>
  </si>
  <si>
    <t>PRD011</t>
  </si>
  <si>
    <t>PRD003</t>
  </si>
  <si>
    <t>PRD009</t>
  </si>
  <si>
    <t>PRD001</t>
  </si>
  <si>
    <t>PRD004</t>
  </si>
  <si>
    <t>PRD012</t>
  </si>
  <si>
    <t>PRD010</t>
  </si>
  <si>
    <t>PRD008</t>
  </si>
  <si>
    <t>PRD002</t>
  </si>
  <si>
    <t>purchase_id</t>
  </si>
  <si>
    <t>purchase_date</t>
  </si>
  <si>
    <t>supplier_id</t>
  </si>
  <si>
    <t>total_cost</t>
  </si>
  <si>
    <t>SUP002</t>
  </si>
  <si>
    <t>SUP001</t>
  </si>
  <si>
    <t>SUP004</t>
  </si>
  <si>
    <t>SUP005</t>
  </si>
  <si>
    <t>SUP003</t>
  </si>
  <si>
    <t>product_name</t>
  </si>
  <si>
    <t>category_id</t>
  </si>
  <si>
    <t>buy_price</t>
  </si>
  <si>
    <t>sell_price</t>
  </si>
  <si>
    <t>min_stock</t>
  </si>
  <si>
    <t>initial_stock</t>
  </si>
  <si>
    <t>current_stock</t>
  </si>
  <si>
    <t>category_name</t>
  </si>
  <si>
    <t>supplier_name</t>
  </si>
  <si>
    <t>contact_person</t>
  </si>
  <si>
    <t>phone</t>
  </si>
  <si>
    <t>city</t>
  </si>
  <si>
    <t>Bandung</t>
  </si>
  <si>
    <t>Jakarta</t>
  </si>
  <si>
    <t>Bogor</t>
  </si>
  <si>
    <t>Tangerang</t>
  </si>
  <si>
    <t>Depok</t>
  </si>
  <si>
    <t>Product ID</t>
  </si>
  <si>
    <t>Product Name</t>
  </si>
  <si>
    <t>Initial Stock</t>
  </si>
  <si>
    <t>Stock In</t>
  </si>
  <si>
    <t>Stock Out</t>
  </si>
  <si>
    <t>Current Stock</t>
  </si>
  <si>
    <t>Min Stock</t>
  </si>
  <si>
    <t>Stock Status</t>
  </si>
  <si>
    <t>Row Labels</t>
  </si>
  <si>
    <t>Grand Total</t>
  </si>
  <si>
    <t>2025</t>
  </si>
  <si>
    <t>2026</t>
  </si>
  <si>
    <t>Sum of profit</t>
  </si>
  <si>
    <t>Sum of total_revenue</t>
  </si>
  <si>
    <t>CAT001</t>
  </si>
  <si>
    <t>Coffee Bean</t>
  </si>
  <si>
    <t>CAT002</t>
  </si>
  <si>
    <t>Tea</t>
  </si>
  <si>
    <t>CAT003</t>
  </si>
  <si>
    <t>Milk</t>
  </si>
  <si>
    <t>CAT004</t>
  </si>
  <si>
    <t>Syrup</t>
  </si>
  <si>
    <t>CAT005</t>
  </si>
  <si>
    <t>Powder</t>
  </si>
  <si>
    <t>CAT006</t>
  </si>
  <si>
    <t>Topping</t>
  </si>
  <si>
    <t>CAT007</t>
  </si>
  <si>
    <t>Cup &amp; Packaging</t>
  </si>
  <si>
    <t>CAT008</t>
  </si>
  <si>
    <t>Snack</t>
  </si>
  <si>
    <t>CAT009</t>
  </si>
  <si>
    <t>Machine Supply</t>
  </si>
  <si>
    <t>CAT010</t>
  </si>
  <si>
    <t>Cleaning</t>
  </si>
  <si>
    <t>customer_name</t>
  </si>
  <si>
    <t>customer_type</t>
  </si>
  <si>
    <t>CUS001</t>
  </si>
  <si>
    <t>CV Marpaung Nugroho</t>
  </si>
  <si>
    <t>Restaurant</t>
  </si>
  <si>
    <t>Aisyah Nugroho</t>
  </si>
  <si>
    <t>Bekasi</t>
  </si>
  <si>
    <t>CUS002</t>
  </si>
  <si>
    <t>UD Samosir Pradana (Persero) Tbk</t>
  </si>
  <si>
    <t>Cafe</t>
  </si>
  <si>
    <t>Maryanto Nababan</t>
  </si>
  <si>
    <t>CUS004</t>
  </si>
  <si>
    <t>Perum Nainggolan Rajasa (Persero) Tbk</t>
  </si>
  <si>
    <t>Coffee Shop</t>
  </si>
  <si>
    <t>Maya Adriansyah, M.TI.</t>
  </si>
  <si>
    <t>Surabaya</t>
  </si>
  <si>
    <t>CUS005</t>
  </si>
  <si>
    <t>Perum Saragih Tbk</t>
  </si>
  <si>
    <t>Latika Sihombing</t>
  </si>
  <si>
    <t>CUS006</t>
  </si>
  <si>
    <t>Perum Adriansyah Sihombing Tbk</t>
  </si>
  <si>
    <t>Irfan Prastuti</t>
  </si>
  <si>
    <t>Malang</t>
  </si>
  <si>
    <t>CUS007</t>
  </si>
  <si>
    <t>PT Prakasa Tbk</t>
  </si>
  <si>
    <t>Reksa Napitupulu</t>
  </si>
  <si>
    <t>CUS009</t>
  </si>
  <si>
    <t>PD Mansur</t>
  </si>
  <si>
    <t>Retail</t>
  </si>
  <si>
    <t>drg. Mulyanto Nuraini, M.Pd</t>
  </si>
  <si>
    <t>CUS010</t>
  </si>
  <si>
    <t>UD Nurdiyanti Laksita</t>
  </si>
  <si>
    <t>Bakery</t>
  </si>
  <si>
    <t>Digdaya Saefullah, M.M.</t>
  </si>
  <si>
    <t>CUS011</t>
  </si>
  <si>
    <t>PD Mangunsong Prabowo</t>
  </si>
  <si>
    <t>Heryanto Wasita</t>
  </si>
  <si>
    <t>CUS012</t>
  </si>
  <si>
    <t>PD Ardianto Thamrin Tbk</t>
  </si>
  <si>
    <t>Office</t>
  </si>
  <si>
    <t>dr. Simon Andriani, M.Pd</t>
  </si>
  <si>
    <t>CUS013</t>
  </si>
  <si>
    <t>UD Winarsih Wastuti Tbk</t>
  </si>
  <si>
    <t>Eli Hastuti, S.E.I</t>
  </si>
  <si>
    <t>CUS014</t>
  </si>
  <si>
    <t>CV Hardiansyah Rajata Tbk</t>
  </si>
  <si>
    <t>Gabriella Hasanah</t>
  </si>
  <si>
    <t>CUS017</t>
  </si>
  <si>
    <t>Perum Lazuardi (Persero) Tbk</t>
  </si>
  <si>
    <t>Patricia Aryani</t>
  </si>
  <si>
    <t>CUS018</t>
  </si>
  <si>
    <t>PD Nugroho Nurdiyanti</t>
  </si>
  <si>
    <t>Emong Susanti, M.Pd</t>
  </si>
  <si>
    <t>CUS019</t>
  </si>
  <si>
    <t>Perum Suryatmi Winarsih Tbk</t>
  </si>
  <si>
    <t>Ana Lailasari</t>
  </si>
  <si>
    <t>CUS020</t>
  </si>
  <si>
    <t>Perum Nainggolan</t>
  </si>
  <si>
    <t>Dimas Wasita</t>
  </si>
  <si>
    <t>CUS021</t>
  </si>
  <si>
    <t>UD Wijayanti Prastuti</t>
  </si>
  <si>
    <t>Nabila Puspasari</t>
  </si>
  <si>
    <t>CUS022</t>
  </si>
  <si>
    <t>CV Lazuardi (Persero) Tbk</t>
  </si>
  <si>
    <t>Devi Nasyiah</t>
  </si>
  <si>
    <t>CUS023</t>
  </si>
  <si>
    <t>UD Pradana Tarihoran</t>
  </si>
  <si>
    <t>Gada Budiman</t>
  </si>
  <si>
    <t>CUS024</t>
  </si>
  <si>
    <t>PT Pertiwi</t>
  </si>
  <si>
    <t>Nadine Kuswandari</t>
  </si>
  <si>
    <t>CUS026</t>
  </si>
  <si>
    <t>UD Rahmawati Aryani Tbk</t>
  </si>
  <si>
    <t>Ir. Almira Suryatmi</t>
  </si>
  <si>
    <t>Semarang</t>
  </si>
  <si>
    <t>CUS028</t>
  </si>
  <si>
    <t>PT Palastri Prasetyo (Persero) Tbk</t>
  </si>
  <si>
    <t>Yunita Megantara</t>
  </si>
  <si>
    <t>Yogyakarta</t>
  </si>
  <si>
    <t>CUS030</t>
  </si>
  <si>
    <t>UD Permata</t>
  </si>
  <si>
    <t>Prabowo Natsir</t>
  </si>
  <si>
    <t>CUS031</t>
  </si>
  <si>
    <t>UD Sinaga Winarsih (Persero) Tbk</t>
  </si>
  <si>
    <t>R. Julia Zulkarnain, M.Kom.</t>
  </si>
  <si>
    <t>CUS032</t>
  </si>
  <si>
    <t>Perum Hariyah</t>
  </si>
  <si>
    <t>Anastasia Nainggolan</t>
  </si>
  <si>
    <t>CUS034</t>
  </si>
  <si>
    <t>CV Mandasari</t>
  </si>
  <si>
    <t>Icha Melani, S.T.</t>
  </si>
  <si>
    <t>CUS035</t>
  </si>
  <si>
    <t>PT Saefullah Agustina</t>
  </si>
  <si>
    <t>Winda Mayasari</t>
  </si>
  <si>
    <t>CUS037</t>
  </si>
  <si>
    <t>PT Mahendra Mardhiyah Tbk</t>
  </si>
  <si>
    <t>Puti Zulfa Farida, S.IP</t>
  </si>
  <si>
    <t>CUS038</t>
  </si>
  <si>
    <t>Perum Widodo (Persero) Tbk</t>
  </si>
  <si>
    <t>dr. Zulaikha Wulandari, M.Pd</t>
  </si>
  <si>
    <t>CUS039</t>
  </si>
  <si>
    <t>PD Januar</t>
  </si>
  <si>
    <t>Ir. Niyaga Januar, M.M.</t>
  </si>
  <si>
    <t>CUS040</t>
  </si>
  <si>
    <t>CV Nuraini Zulkarnain</t>
  </si>
  <si>
    <t>Hj. Widya Najmudin</t>
  </si>
  <si>
    <t>CUS042</t>
  </si>
  <si>
    <t>UD Hasanah Sihombing (Persero) Tbk</t>
  </si>
  <si>
    <t>Zulaikha Laksmiwati</t>
  </si>
  <si>
    <t>CUS044</t>
  </si>
  <si>
    <t>PT Prastuti Utama (Persero) Tbk</t>
  </si>
  <si>
    <t>Upik Sihombing</t>
  </si>
  <si>
    <t>CUS046</t>
  </si>
  <si>
    <t>UD Padmasari Tbk</t>
  </si>
  <si>
    <t>Hj. Kasiyah Kurniawan, S.H.</t>
  </si>
  <si>
    <t>CUS047</t>
  </si>
  <si>
    <t>CV Gunawan</t>
  </si>
  <si>
    <t>Gadang Lailasari</t>
  </si>
  <si>
    <t>CUS049</t>
  </si>
  <si>
    <t>PT Widodo Tbk</t>
  </si>
  <si>
    <t>Banawi Hasanah</t>
  </si>
  <si>
    <t>CUS050</t>
  </si>
  <si>
    <t>Perum Pranowo</t>
  </si>
  <si>
    <t>R.A. Yulia Pradipta</t>
  </si>
  <si>
    <t>CUS051</t>
  </si>
  <si>
    <t>CV Budiman</t>
  </si>
  <si>
    <t>Widya Prakasa</t>
  </si>
  <si>
    <t>CUS053</t>
  </si>
  <si>
    <t>PD Hidayanto Hutapea Tbk</t>
  </si>
  <si>
    <t>R. Bella Mahendra</t>
  </si>
  <si>
    <t>CUS054</t>
  </si>
  <si>
    <t>PT Latupono Yolanda (Persero) Tbk</t>
  </si>
  <si>
    <t>Mila Pradana</t>
  </si>
  <si>
    <t>CUS055</t>
  </si>
  <si>
    <t>CV Kusmawati (Persero) Tbk</t>
  </si>
  <si>
    <t>Radika Hutasoit</t>
  </si>
  <si>
    <t>CUS056</t>
  </si>
  <si>
    <t>PT Zulkarnain Tbk</t>
  </si>
  <si>
    <t>Hj. Umi Anggraini, S.Gz</t>
  </si>
  <si>
    <t>CUS058</t>
  </si>
  <si>
    <t>UD Sirait Tbk</t>
  </si>
  <si>
    <t>Cemeti Megantara</t>
  </si>
  <si>
    <t>CUS059</t>
  </si>
  <si>
    <t>CV Uwais Tbk</t>
  </si>
  <si>
    <t>Jane Purnawati, M.Ak</t>
  </si>
  <si>
    <t>CUS060</t>
  </si>
  <si>
    <t>Perum Handayani Agustina Tbk</t>
  </si>
  <si>
    <t>Perkasa Mulyani</t>
  </si>
  <si>
    <t>CUS062</t>
  </si>
  <si>
    <t>Perum Pradana Mardhiyah Tbk</t>
  </si>
  <si>
    <t>Hasta Gunarto</t>
  </si>
  <si>
    <t>CUS063</t>
  </si>
  <si>
    <t>PT Waskita (Persero) Tbk</t>
  </si>
  <si>
    <t>Ella Safitri</t>
  </si>
  <si>
    <t>CUS064</t>
  </si>
  <si>
    <t>UD Sirait Prasetya Tbk</t>
  </si>
  <si>
    <t>R.M. Bahuwarna Melani, S.IP</t>
  </si>
  <si>
    <t>CUS065</t>
  </si>
  <si>
    <t>CV Natsir (Persero) Tbk</t>
  </si>
  <si>
    <t>KH. Marwata Hutagalung, S.E.</t>
  </si>
  <si>
    <t>CUS067</t>
  </si>
  <si>
    <t>PT Yuliarti (Persero) Tbk</t>
  </si>
  <si>
    <t>Ir. Ophelia Winarno</t>
  </si>
  <si>
    <t>CUS068</t>
  </si>
  <si>
    <t>PT Hartati Jailani</t>
  </si>
  <si>
    <t>Tgk. Nasab Hutasoit, M.TI.</t>
  </si>
  <si>
    <t>CUS069</t>
  </si>
  <si>
    <t>UD Wibisono Tbk</t>
  </si>
  <si>
    <t>Tgk. Mustika Rahimah, S.Gz</t>
  </si>
  <si>
    <t>CUS070</t>
  </si>
  <si>
    <t>Perum Wijayanti</t>
  </si>
  <si>
    <t>Vero Tampubolon</t>
  </si>
  <si>
    <t>CUS071</t>
  </si>
  <si>
    <t>PD Melani</t>
  </si>
  <si>
    <t>Anita Tarihoran</t>
  </si>
  <si>
    <t>CUS072</t>
  </si>
  <si>
    <t>Perum Namaga</t>
  </si>
  <si>
    <t>Drs. Ani Wijayanti, S.Psi</t>
  </si>
  <si>
    <t>CUS074</t>
  </si>
  <si>
    <t>Perum Nuraini Andriani (Persero) Tbk</t>
  </si>
  <si>
    <t>R.A. Wani Suartini, S.E.I</t>
  </si>
  <si>
    <t>CUS075</t>
  </si>
  <si>
    <t>PD Mulyani (Persero) Tbk</t>
  </si>
  <si>
    <t>drg. Cornelia Prasetya, M.M.</t>
  </si>
  <si>
    <t>CUS078</t>
  </si>
  <si>
    <t>Perum Permata</t>
  </si>
  <si>
    <t>Nasim Megantara</t>
  </si>
  <si>
    <t>CUS079</t>
  </si>
  <si>
    <t>PT Novitasari (Persero) Tbk</t>
  </si>
  <si>
    <t>Nadine Gunawan</t>
  </si>
  <si>
    <t>CUS080</t>
  </si>
  <si>
    <t>CV Gunawan Tbk</t>
  </si>
  <si>
    <t>Tgk. Rahmat Yuniar</t>
  </si>
  <si>
    <t>CUS081</t>
  </si>
  <si>
    <t>CV Gunarto</t>
  </si>
  <si>
    <t>Ira Mulyani</t>
  </si>
  <si>
    <t>CUS082</t>
  </si>
  <si>
    <t>PT Uwais Tbk</t>
  </si>
  <si>
    <t>Uli Farida</t>
  </si>
  <si>
    <t>CUS083</t>
  </si>
  <si>
    <t>PD Suartini</t>
  </si>
  <si>
    <t>R. Puji Sihombing, S.Psi</t>
  </si>
  <si>
    <t>CUS085</t>
  </si>
  <si>
    <t>CV Hidayat</t>
  </si>
  <si>
    <t>Prayogo Yuliarti</t>
  </si>
  <si>
    <t>CUS086</t>
  </si>
  <si>
    <t>Perum Mandala</t>
  </si>
  <si>
    <t>Tgk. Hasta Sihotang</t>
  </si>
  <si>
    <t>CUS087</t>
  </si>
  <si>
    <t>PD Prabowo Tbk</t>
  </si>
  <si>
    <t>Nurul Pangestu, S.IP</t>
  </si>
  <si>
    <t>CUS089</t>
  </si>
  <si>
    <t>Perum Irawan Haryanto</t>
  </si>
  <si>
    <t>Lala Kuswandari</t>
  </si>
  <si>
    <t>CUS090</t>
  </si>
  <si>
    <t>Perum Situmorang Mahendra (Persero) Tbk</t>
  </si>
  <si>
    <t>R.M. Ian Mardhiyah, S.Gz</t>
  </si>
  <si>
    <t>CUS091</t>
  </si>
  <si>
    <t>PT Ramadan (Persero) Tbk</t>
  </si>
  <si>
    <t>Yahya Puspasari, S.T.</t>
  </si>
  <si>
    <t>CUS093</t>
  </si>
  <si>
    <t>UD Laksmiwati (Persero) Tbk</t>
  </si>
  <si>
    <t>KH. Mahdi Waskita, S.Pd</t>
  </si>
  <si>
    <t>CUS094</t>
  </si>
  <si>
    <t>UD Simanjuntak Situmorang</t>
  </si>
  <si>
    <t>Diah Uwais</t>
  </si>
  <si>
    <t>CUS095</t>
  </si>
  <si>
    <t>CV Kuswoyo Hardiansyah</t>
  </si>
  <si>
    <t>Kiandra Susanti</t>
  </si>
  <si>
    <t>CUS096</t>
  </si>
  <si>
    <t>PD Samosir Mandasari (Persero) Tbk</t>
  </si>
  <si>
    <t>Warsa Wijaya</t>
  </si>
  <si>
    <t>CUS097</t>
  </si>
  <si>
    <t>Perum Yolanda Wulandari Tbk</t>
  </si>
  <si>
    <t>Paulin Anggriawan</t>
  </si>
  <si>
    <t>CUS098</t>
  </si>
  <si>
    <t>UD Puspasari Suwarno</t>
  </si>
  <si>
    <t>Harsana Mayasari</t>
  </si>
  <si>
    <t>CUS099</t>
  </si>
  <si>
    <t>CV Napitupulu Tbk</t>
  </si>
  <si>
    <t>Dt. Arsipatra Firgantoro</t>
  </si>
  <si>
    <t>CUS100</t>
  </si>
  <si>
    <t>CV Wijaya Tbk</t>
  </si>
  <si>
    <t>dr. Ophelia Melani</t>
  </si>
  <si>
    <t>CUS102</t>
  </si>
  <si>
    <t>CV Budiyanto</t>
  </si>
  <si>
    <t>Iriana Andriani</t>
  </si>
  <si>
    <t>CUS103</t>
  </si>
  <si>
    <t>Perum Simbolon Wijayanti</t>
  </si>
  <si>
    <t>Paramita Waluyo</t>
  </si>
  <si>
    <t>CUS104</t>
  </si>
  <si>
    <t>UD Puspita Salahudin</t>
  </si>
  <si>
    <t>Wardaya Salahudin</t>
  </si>
  <si>
    <t>CUS105</t>
  </si>
  <si>
    <t>PD Situmorang Maulana Tbk</t>
  </si>
  <si>
    <t>Edward Hutapea</t>
  </si>
  <si>
    <t>CUS106</t>
  </si>
  <si>
    <t>Perum Rahmawati</t>
  </si>
  <si>
    <t>Dimaz Hardiansyah</t>
  </si>
  <si>
    <t>CUS107</t>
  </si>
  <si>
    <t>PT Pudjiastuti Manullang</t>
  </si>
  <si>
    <t>Safina Kusmawati</t>
  </si>
  <si>
    <t>CUS108</t>
  </si>
  <si>
    <t>PD Nugroho Firgantoro</t>
  </si>
  <si>
    <t>drg. Winda Lailasari, S.E.</t>
  </si>
  <si>
    <t>CUS109</t>
  </si>
  <si>
    <t>CV Mayasari Hastuti Tbk</t>
  </si>
  <si>
    <t>Rusman Kusumo</t>
  </si>
  <si>
    <t>CUS110</t>
  </si>
  <si>
    <t>PD Mulyani Simbolon (Persero) Tbk</t>
  </si>
  <si>
    <t>Salsabila Kuswoyo</t>
  </si>
  <si>
    <t>CUS112</t>
  </si>
  <si>
    <t>Perum Prasetya (Persero) Tbk</t>
  </si>
  <si>
    <t>Jati Mangunsong</t>
  </si>
  <si>
    <t>CUS113</t>
  </si>
  <si>
    <t>Perum Tarihoran Hutagalung (Persero) Tbk</t>
  </si>
  <si>
    <t>Radit Pudjiastuti</t>
  </si>
  <si>
    <t>CUS114</t>
  </si>
  <si>
    <t>CV Padmasari</t>
  </si>
  <si>
    <t>Cornelia Melani</t>
  </si>
  <si>
    <t>CUS115</t>
  </si>
  <si>
    <t>Cut Uli Pratama, M.Farm</t>
  </si>
  <si>
    <t>CUS116</t>
  </si>
  <si>
    <t>PD Najmudin (Persero) Tbk</t>
  </si>
  <si>
    <t>Ir. Omar Yuliarti, S.Farm</t>
  </si>
  <si>
    <t>CUS117</t>
  </si>
  <si>
    <t>Perum Mahendra Prasetyo (Persero) Tbk</t>
  </si>
  <si>
    <t>Dt. Emin Hariyah, M.Pd</t>
  </si>
  <si>
    <t>CUS119</t>
  </si>
  <si>
    <t>PD Pradipta Namaga (Persero) Tbk</t>
  </si>
  <si>
    <t>KH. Asman Mandala, M.TI.</t>
  </si>
  <si>
    <t>CUS120</t>
  </si>
  <si>
    <t>PD Salahudin Saefullah</t>
  </si>
  <si>
    <t>Kalim Rahayu</t>
  </si>
  <si>
    <t>CUS121</t>
  </si>
  <si>
    <t>CV Salahudin Waluyo (Persero) Tbk</t>
  </si>
  <si>
    <t>Dr. Jasmani Permadi, S.H.</t>
  </si>
  <si>
    <t>CUS122</t>
  </si>
  <si>
    <t>UD Putra Sitompul</t>
  </si>
  <si>
    <t>Bahuwirya Hartati, S.I.Kom</t>
  </si>
  <si>
    <t>CUS123</t>
  </si>
  <si>
    <t>Perum Winarsih Purwanti</t>
  </si>
  <si>
    <t>Jatmiko Pranowo</t>
  </si>
  <si>
    <t>CUS124</t>
  </si>
  <si>
    <t>Perum Sinaga Suryono</t>
  </si>
  <si>
    <t>Nadia Nasyidah</t>
  </si>
  <si>
    <t>CUS126</t>
  </si>
  <si>
    <t>PD Purnawati Prasasta</t>
  </si>
  <si>
    <t>Pia Yolanda</t>
  </si>
  <si>
    <t>CUS128</t>
  </si>
  <si>
    <t>UD Halim Safitri Tbk</t>
  </si>
  <si>
    <t>Jinawi Budiyanto, S.Ked</t>
  </si>
  <si>
    <t>CUS129</t>
  </si>
  <si>
    <t>Perum Wulandari</t>
  </si>
  <si>
    <t>Yani Nugroho</t>
  </si>
  <si>
    <t>CUS131</t>
  </si>
  <si>
    <t>PT Narpati</t>
  </si>
  <si>
    <t>Jamil Fujiati</t>
  </si>
  <si>
    <t>CUS132</t>
  </si>
  <si>
    <t>UD Palastri</t>
  </si>
  <si>
    <t>Hj. Ami Nugroho</t>
  </si>
  <si>
    <t>CUS133</t>
  </si>
  <si>
    <t>Perum Sitompul Winarno (Persero) Tbk</t>
  </si>
  <si>
    <t>H. Nyoman Hutapea, M.TI.</t>
  </si>
  <si>
    <t>CUS134</t>
  </si>
  <si>
    <t>PT Usada Tbk</t>
  </si>
  <si>
    <t>drg. Joko Pradana, S.I.Kom</t>
  </si>
  <si>
    <t>CUS135</t>
  </si>
  <si>
    <t>PT Hutasoit Santoso</t>
  </si>
  <si>
    <t>Harjasa Usada</t>
  </si>
  <si>
    <t>CUS136</t>
  </si>
  <si>
    <t>PT Mustofa (Persero) Tbk</t>
  </si>
  <si>
    <t>Irfan Hassanah</t>
  </si>
  <si>
    <t>CUS137</t>
  </si>
  <si>
    <t>Perum Rahimah</t>
  </si>
  <si>
    <t>Tgk. Saka Winarno, S.Ked</t>
  </si>
  <si>
    <t>CUS138</t>
  </si>
  <si>
    <t>UD Sihombing Santoso</t>
  </si>
  <si>
    <t>Dalima Haryanto</t>
  </si>
  <si>
    <t>CUS140</t>
  </si>
  <si>
    <t>UD Sinaga Suartini</t>
  </si>
  <si>
    <t>Farah Kuswandari, S.Psi</t>
  </si>
  <si>
    <t>CUS141</t>
  </si>
  <si>
    <t>UD Latupono Pratiwi (Persero) Tbk</t>
  </si>
  <si>
    <t>Drs. Elvina Zulaika</t>
  </si>
  <si>
    <t>CUS142</t>
  </si>
  <si>
    <t>UD Permadi Ramadan</t>
  </si>
  <si>
    <t>Candra Anggraini, S.Sos</t>
  </si>
  <si>
    <t>CUS145</t>
  </si>
  <si>
    <t>UD Agustina</t>
  </si>
  <si>
    <t>Bambang Megantara</t>
  </si>
  <si>
    <t>CUS146</t>
  </si>
  <si>
    <t>UD Hidayat Salahudin (Persero) Tbk</t>
  </si>
  <si>
    <t>H. Balijan Damanik, S.Psi</t>
  </si>
  <si>
    <t>CUS147</t>
  </si>
  <si>
    <t>CV Waskita Usamah (Persero) Tbk</t>
  </si>
  <si>
    <t>Manah Wahyuni</t>
  </si>
  <si>
    <t>CUS148</t>
  </si>
  <si>
    <t>CV Setiawan Haryanto</t>
  </si>
  <si>
    <t>Puti Wirda Nasyiah</t>
  </si>
  <si>
    <t>CUS149</t>
  </si>
  <si>
    <t>Perum Wijaya Rahmawati (Persero) Tbk</t>
  </si>
  <si>
    <t>Kamila Haryanti</t>
  </si>
  <si>
    <t>CUS150</t>
  </si>
  <si>
    <t>CV Wahyudin</t>
  </si>
  <si>
    <t>Dinda Melani, S.Sos</t>
  </si>
  <si>
    <t>Espresso Blend</t>
  </si>
  <si>
    <t>SUP020</t>
  </si>
  <si>
    <t>Arabica Gayo</t>
  </si>
  <si>
    <t>SUP013</t>
  </si>
  <si>
    <t>Arabica Toraja</t>
  </si>
  <si>
    <t>Robusta Lampung</t>
  </si>
  <si>
    <t>SUP021</t>
  </si>
  <si>
    <t>House Blend</t>
  </si>
  <si>
    <t>SUP029</t>
  </si>
  <si>
    <t>Green Tea</t>
  </si>
  <si>
    <t>Earl Grey</t>
  </si>
  <si>
    <t>SUP022</t>
  </si>
  <si>
    <t>Chamomile</t>
  </si>
  <si>
    <t>SUP016</t>
  </si>
  <si>
    <t>Fresh Milk</t>
  </si>
  <si>
    <t>Oat Milk</t>
  </si>
  <si>
    <t>SUP019</t>
  </si>
  <si>
    <t>Soy Milk</t>
  </si>
  <si>
    <t>Hazelnut Syrup</t>
  </si>
  <si>
    <t>SUP024</t>
  </si>
  <si>
    <t>PRD013</t>
  </si>
  <si>
    <t>Caramel Syrup</t>
  </si>
  <si>
    <t>PRD014</t>
  </si>
  <si>
    <t>Vanilla Syrup</t>
  </si>
  <si>
    <t>SUP008</t>
  </si>
  <si>
    <t>PRD015</t>
  </si>
  <si>
    <t>Chocolate Syrup</t>
  </si>
  <si>
    <t>SUP012</t>
  </si>
  <si>
    <t>PRD016</t>
  </si>
  <si>
    <t>Matcha Powder</t>
  </si>
  <si>
    <t>SUP028</t>
  </si>
  <si>
    <t>PRD017</t>
  </si>
  <si>
    <t>Chocolate Powder</t>
  </si>
  <si>
    <t>PRD018</t>
  </si>
  <si>
    <t>Taro Powder</t>
  </si>
  <si>
    <t>SUP023</t>
  </si>
  <si>
    <t>PRD019</t>
  </si>
  <si>
    <t>Red Velvet Powder</t>
  </si>
  <si>
    <t>SUP006</t>
  </si>
  <si>
    <t>PRD020</t>
  </si>
  <si>
    <t>Boba</t>
  </si>
  <si>
    <t>PRD021</t>
  </si>
  <si>
    <t>Whipping Cream</t>
  </si>
  <si>
    <t>SUP007</t>
  </si>
  <si>
    <t>PRD022</t>
  </si>
  <si>
    <t>Cheese Foam</t>
  </si>
  <si>
    <t>PRD023</t>
  </si>
  <si>
    <t>Cup 12 oz</t>
  </si>
  <si>
    <t>PRD024</t>
  </si>
  <si>
    <t>Cup 16 oz</t>
  </si>
  <si>
    <t>PRD025</t>
  </si>
  <si>
    <t>Paper Bag</t>
  </si>
  <si>
    <t>SUP014</t>
  </si>
  <si>
    <t>PRD026</t>
  </si>
  <si>
    <t>Plastic Lid</t>
  </si>
  <si>
    <t>SUP025</t>
  </si>
  <si>
    <t>PRD027</t>
  </si>
  <si>
    <t>Brownies</t>
  </si>
  <si>
    <t>SUP010</t>
  </si>
  <si>
    <t>PRD028</t>
  </si>
  <si>
    <t>Cookies</t>
  </si>
  <si>
    <t>PRD029</t>
  </si>
  <si>
    <t>Croissant</t>
  </si>
  <si>
    <t>PRD030</t>
  </si>
  <si>
    <t>Muffin</t>
  </si>
  <si>
    <t>PRD031</t>
  </si>
  <si>
    <t>Coffee Machine Cleaner</t>
  </si>
  <si>
    <t>PRD032</t>
  </si>
  <si>
    <t>Filter Paper</t>
  </si>
  <si>
    <t>PRD033</t>
  </si>
  <si>
    <t>Milk Pitcher</t>
  </si>
  <si>
    <t>PRD034</t>
  </si>
  <si>
    <t>Sanitizer</t>
  </si>
  <si>
    <t>SUP030</t>
  </si>
  <si>
    <t>PRD035</t>
  </si>
  <si>
    <t>Dishwashing Liquid</t>
  </si>
  <si>
    <t>PRD036</t>
  </si>
  <si>
    <t>Quos Product</t>
  </si>
  <si>
    <t>PRD037</t>
  </si>
  <si>
    <t>Doloremque Product</t>
  </si>
  <si>
    <t>PRD038</t>
  </si>
  <si>
    <t>Porro Product</t>
  </si>
  <si>
    <t>PRD039</t>
  </si>
  <si>
    <t>Illo Product</t>
  </si>
  <si>
    <t>PRD040</t>
  </si>
  <si>
    <t>Deserunt Product</t>
  </si>
  <si>
    <t>PRD041</t>
  </si>
  <si>
    <t>Ea Product</t>
  </si>
  <si>
    <t>SUP017</t>
  </si>
  <si>
    <t>PRD042</t>
  </si>
  <si>
    <t>Ipsam Product</t>
  </si>
  <si>
    <t>SUP027</t>
  </si>
  <si>
    <t>PRD043</t>
  </si>
  <si>
    <t>Odio Product</t>
  </si>
  <si>
    <t>SUP009</t>
  </si>
  <si>
    <t>PRD044</t>
  </si>
  <si>
    <t>Sit Product</t>
  </si>
  <si>
    <t>PRD045</t>
  </si>
  <si>
    <t>Asperiores Product</t>
  </si>
  <si>
    <t>PRD046</t>
  </si>
  <si>
    <t>Magnam Product</t>
  </si>
  <si>
    <t>PRD047</t>
  </si>
  <si>
    <t>Accusamus Product</t>
  </si>
  <si>
    <t>PRD048</t>
  </si>
  <si>
    <t>Placeat Product</t>
  </si>
  <si>
    <t>PRD049</t>
  </si>
  <si>
    <t>Deleniti Product</t>
  </si>
  <si>
    <t>SUP015</t>
  </si>
  <si>
    <t>PRD050</t>
  </si>
  <si>
    <t>Earum Product</t>
  </si>
  <si>
    <t>PRD051</t>
  </si>
  <si>
    <t>Molestiae Product</t>
  </si>
  <si>
    <t>PRD052</t>
  </si>
  <si>
    <t>Ratione Product</t>
  </si>
  <si>
    <t>PRD053</t>
  </si>
  <si>
    <t>Quae Product</t>
  </si>
  <si>
    <t>PRD054</t>
  </si>
  <si>
    <t>Ullam Product</t>
  </si>
  <si>
    <t>PRD055</t>
  </si>
  <si>
    <t>Possimus Product</t>
  </si>
  <si>
    <t>PRD056</t>
  </si>
  <si>
    <t>Nemo Product</t>
  </si>
  <si>
    <t>PRD057</t>
  </si>
  <si>
    <t>Vitae Product</t>
  </si>
  <si>
    <t>PRD058</t>
  </si>
  <si>
    <t>PRD059</t>
  </si>
  <si>
    <t>Nesciunt Product</t>
  </si>
  <si>
    <t>SUP018</t>
  </si>
  <si>
    <t>PRD060</t>
  </si>
  <si>
    <t>Voluptatum Product</t>
  </si>
  <si>
    <t>PRD061</t>
  </si>
  <si>
    <t>Numquam Product</t>
  </si>
  <si>
    <t>PRD062</t>
  </si>
  <si>
    <t>PRD063</t>
  </si>
  <si>
    <t>PRD064</t>
  </si>
  <si>
    <t>Blanditiis Product</t>
  </si>
  <si>
    <t>SUP011</t>
  </si>
  <si>
    <t>PRD065</t>
  </si>
  <si>
    <t>Recusandae Product</t>
  </si>
  <si>
    <t>PRD066</t>
  </si>
  <si>
    <t>Aliquam Product</t>
  </si>
  <si>
    <t>PRD067</t>
  </si>
  <si>
    <t>Est Product</t>
  </si>
  <si>
    <t>PRD068</t>
  </si>
  <si>
    <t>Illum Product</t>
  </si>
  <si>
    <t>PRD069</t>
  </si>
  <si>
    <t>Aliquid Product</t>
  </si>
  <si>
    <t>PRD070</t>
  </si>
  <si>
    <t>Harum Product</t>
  </si>
  <si>
    <t>PRD071</t>
  </si>
  <si>
    <t>Et Product</t>
  </si>
  <si>
    <t>PRD072</t>
  </si>
  <si>
    <t>Quidem Product</t>
  </si>
  <si>
    <t>PRD073</t>
  </si>
  <si>
    <t>PRD074</t>
  </si>
  <si>
    <t>Dolores Product</t>
  </si>
  <si>
    <t>PRD075</t>
  </si>
  <si>
    <t>Officia Product</t>
  </si>
  <si>
    <t>PRD076</t>
  </si>
  <si>
    <t>PRD077</t>
  </si>
  <si>
    <t>SUP026</t>
  </si>
  <si>
    <t>PRD078</t>
  </si>
  <si>
    <t>Quo Product</t>
  </si>
  <si>
    <t>PRD079</t>
  </si>
  <si>
    <t>Quaerat Product</t>
  </si>
  <si>
    <t>PRD080</t>
  </si>
  <si>
    <t>Culpa Product</t>
  </si>
  <si>
    <t>PRD081</t>
  </si>
  <si>
    <t>Rem Product</t>
  </si>
  <si>
    <t>PRD082</t>
  </si>
  <si>
    <t>Cum Product</t>
  </si>
  <si>
    <t>PRD083</t>
  </si>
  <si>
    <t>Fugiat Product</t>
  </si>
  <si>
    <t>PRD084</t>
  </si>
  <si>
    <t>Quisquam Product</t>
  </si>
  <si>
    <t>PRD085</t>
  </si>
  <si>
    <t>Maiores Product</t>
  </si>
  <si>
    <t>PRD086</t>
  </si>
  <si>
    <t>Quis Product</t>
  </si>
  <si>
    <t>PRD087</t>
  </si>
  <si>
    <t>Animi Product</t>
  </si>
  <si>
    <t>PRD088</t>
  </si>
  <si>
    <t>Nulla Product</t>
  </si>
  <si>
    <t>PRD089</t>
  </si>
  <si>
    <t>PRD090</t>
  </si>
  <si>
    <t>Esse Product</t>
  </si>
  <si>
    <t>PRD091</t>
  </si>
  <si>
    <t>Nisi Product</t>
  </si>
  <si>
    <t>PRD092</t>
  </si>
  <si>
    <t>Corporis Product</t>
  </si>
  <si>
    <t>PRD093</t>
  </si>
  <si>
    <t>PRD094</t>
  </si>
  <si>
    <t>Expedita Product</t>
  </si>
  <si>
    <t>PRD095</t>
  </si>
  <si>
    <t>In Product</t>
  </si>
  <si>
    <t>PRD096</t>
  </si>
  <si>
    <t>PRD097</t>
  </si>
  <si>
    <t>PRD098</t>
  </si>
  <si>
    <t>Fuga Product</t>
  </si>
  <si>
    <t>PRD099</t>
  </si>
  <si>
    <t>Laudantium Product</t>
  </si>
  <si>
    <t>PRD100</t>
  </si>
  <si>
    <t>Commodi Product</t>
  </si>
  <si>
    <t>CV Barista Indonesia</t>
  </si>
  <si>
    <t>KH. Capa Anggraini, S.Psi</t>
  </si>
  <si>
    <t>PT Dairy Fresh</t>
  </si>
  <si>
    <t>Yani Gunawan</t>
  </si>
  <si>
    <t>PT Beverage Supply</t>
  </si>
  <si>
    <t>Betania Gunawan, S.H.</t>
  </si>
  <si>
    <t>CV Java Coffee</t>
  </si>
  <si>
    <t>Mumpuni Santoso</t>
  </si>
  <si>
    <t>PT Packaging Solution</t>
  </si>
  <si>
    <t>Marwata Mandasari</t>
  </si>
  <si>
    <t>CV Nusantara Food</t>
  </si>
  <si>
    <t>Restu Wacana</t>
  </si>
  <si>
    <t>PT Gula Manis</t>
  </si>
  <si>
    <t>Puti Kiandra Wibowo</t>
  </si>
  <si>
    <t>PT Tea Indonesia</t>
  </si>
  <si>
    <t>Hardi Marpaung</t>
  </si>
  <si>
    <t>PT Coffee Trading</t>
  </si>
  <si>
    <t>Tgk. Halima Hakim, S.H.</t>
  </si>
  <si>
    <t>PT Food Ingredients</t>
  </si>
  <si>
    <t>Paris Sudiati</t>
  </si>
  <si>
    <t>CV Kopi Indonesia</t>
  </si>
  <si>
    <t>Dirja Prasetyo</t>
  </si>
  <si>
    <t>PT Espresso Supply</t>
  </si>
  <si>
    <t>Siti Halim, S.H.</t>
  </si>
  <si>
    <t>PT Premium Beans</t>
  </si>
  <si>
    <t>Nyoman Pertiwi</t>
  </si>
  <si>
    <t>PT Coffee Roastery</t>
  </si>
  <si>
    <t>Zelaya Habibi</t>
  </si>
  <si>
    <t>PT Indo Beverage</t>
  </si>
  <si>
    <t>Indra Najmudin</t>
  </si>
  <si>
    <t>PT Clean Solution</t>
  </si>
  <si>
    <t>Sutan Caturangga Wasita, M.Kom.</t>
  </si>
  <si>
    <t>PT Coffee Packaging</t>
  </si>
  <si>
    <t>Tami Puspita</t>
  </si>
  <si>
    <t>CV Biji Nusantara</t>
  </si>
  <si>
    <t>Lanang Kuswandari</t>
  </si>
  <si>
    <t>PT Mesin Kopi Indonesia</t>
  </si>
  <si>
    <t>Mursita Prakasa</t>
  </si>
  <si>
    <t>PT Coffee Chemical</t>
  </si>
  <si>
    <t>Lamar Pratiwi, M.TI.</t>
  </si>
  <si>
    <t>PT Arabica Indonesia</t>
  </si>
  <si>
    <t>R. Adika Haryanti, M.Ak</t>
  </si>
  <si>
    <t>PT Robusta Indonesia</t>
  </si>
  <si>
    <t>Intan Manullang</t>
  </si>
  <si>
    <t>CV Premium Supplier</t>
  </si>
  <si>
    <t>Tirtayasa Kurniawan</t>
  </si>
  <si>
    <t>PT Beverage Nusantara</t>
  </si>
  <si>
    <t>drg. Dwi Habibi</t>
  </si>
  <si>
    <t>PT Smart Packaging</t>
  </si>
  <si>
    <t>Dian Gunarto</t>
  </si>
  <si>
    <t>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</si>
</sst>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p&quot;#,##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164" fontId="0" fillId="0" borderId="0" xfId="0" applyNumberFormat="1"/>
    <xf numFmtId="0" fontId="1" fillId="3" borderId="0" xfId="2" applyFont="1"/>
    <xf numFmtId="0" fontId="2" fillId="4" borderId="0" xfId="1" applyFill="1"/>
    <xf numFmtId="0" fontId="1" fillId="4" borderId="0" xfId="0" applyFont="1" applyFill="1"/>
  </cellXfs>
  <cellStyles count="3">
    <cellStyle name="Accent1" xfId="1" builtinId="29"/>
    <cellStyle name="Accent6" xfId="2" builtinId="49"/>
    <cellStyle name="Normal" xfId="0" builtinId="0"/>
  </cellStyles>
  <dxfs count="1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khmal Novanda" refreshedDate="46233.110522453702" createdVersion="8" refreshedVersion="8" minRefreshableVersion="3" recordCount="3853" xr:uid="{669F8DCC-2993-47D9-B093-F9DCE517983C}">
  <cacheSource type="worksheet">
    <worksheetSource name="Table_StockOut"/>
  </cacheSource>
  <cacheFields count="12">
    <cacheField name="sales_id" numFmtId="0">
      <sharedItems/>
    </cacheField>
    <cacheField name="sales_date" numFmtId="14">
      <sharedItems containsSemiMixedTypes="0" containsNonDate="0" containsDate="1" containsString="0" minDate="2025-01-01T00:00:00" maxDate="2026-07-01T00:00:00" count="546">
        <d v="2025-01-01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</sharedItems>
      <fieldGroup par="11"/>
    </cacheField>
    <cacheField name="customer_id" numFmtId="0">
      <sharedItems/>
    </cacheField>
    <cacheField name="product_id" numFmtId="0">
      <sharedItems/>
    </cacheField>
    <cacheField name="quantity" numFmtId="0">
      <sharedItems containsSemiMixedTypes="0" containsString="0" containsNumber="1" containsInteger="1" minValue="1" maxValue="8"/>
    </cacheField>
    <cacheField name="unit_price" numFmtId="0">
      <sharedItems containsSemiMixedTypes="0" containsString="0" containsNumber="1" containsInteger="1" minValue="20000" maxValue="225000"/>
    </cacheField>
    <cacheField name="total_revenue" numFmtId="0">
      <sharedItems containsSemiMixedTypes="0" containsString="0" containsNumber="1" containsInteger="1" minValue="20000" maxValue="1800000"/>
    </cacheField>
    <cacheField name="cogs" numFmtId="0">
      <sharedItems containsSemiMixedTypes="0" containsString="0" containsNumber="1" containsInteger="1" minValue="12000" maxValue="1440000"/>
    </cacheField>
    <cacheField name="profit" numFmtId="0">
      <sharedItems containsSemiMixedTypes="0" containsString="0" containsNumber="1" containsInteger="1" minValue="8000" maxValue="440000"/>
    </cacheField>
    <cacheField name="Months (sales_date)" numFmtId="0" databaseField="0">
      <fieldGroup base="1">
        <rangePr groupBy="months" startDate="2025-01-01T00:00:00" endDate="2026-07-01T00:00:00"/>
        <groupItems count="14">
          <s v="&lt;01/01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/07/2026"/>
        </groupItems>
      </fieldGroup>
    </cacheField>
    <cacheField name="Quarters (sales_date)" numFmtId="0" databaseField="0">
      <fieldGroup base="1">
        <rangePr groupBy="quarters" startDate="2025-01-01T00:00:00" endDate="2026-07-01T00:00:00"/>
        <groupItems count="6">
          <s v="&lt;01/01/2025"/>
          <s v="Qtr1"/>
          <s v="Qtr2"/>
          <s v="Qtr3"/>
          <s v="Qtr4"/>
          <s v="&gt;01/07/2026"/>
        </groupItems>
      </fieldGroup>
    </cacheField>
    <cacheField name="Years (sales_date)" numFmtId="0" databaseField="0">
      <fieldGroup base="1">
        <rangePr groupBy="years" startDate="2025-01-01T00:00:00" endDate="2026-07-01T00:00:00"/>
        <groupItems count="4">
          <s v="&lt;01/01/2025"/>
          <s v="2025"/>
          <s v="2026"/>
          <s v="&gt;01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53">
  <r>
    <s v="TRX-202501-0001"/>
    <x v="0"/>
    <s v="CUST003"/>
    <s v="PRD007"/>
    <n v="3"/>
    <n v="225000"/>
    <n v="675000"/>
    <n v="540000"/>
    <n v="135000"/>
  </r>
  <r>
    <s v="TRX-202501-0001"/>
    <x v="0"/>
    <s v="CUST003"/>
    <s v="PRD006"/>
    <n v="4"/>
    <n v="110000"/>
    <n v="440000"/>
    <n v="300000"/>
    <n v="140000"/>
  </r>
  <r>
    <s v="TRX-202501-0001"/>
    <x v="0"/>
    <s v="CUST003"/>
    <s v="PRD005"/>
    <n v="6"/>
    <n v="105000"/>
    <n v="630000"/>
    <n v="420000"/>
    <n v="210000"/>
  </r>
  <r>
    <s v="TRX-202501-0002"/>
    <x v="0"/>
    <s v="CUST002"/>
    <s v="PRD007"/>
    <n v="2"/>
    <n v="225000"/>
    <n v="450000"/>
    <n v="360000"/>
    <n v="90000"/>
  </r>
  <r>
    <s v="TRX-202501-0003"/>
    <x v="1"/>
    <s v="CUST005"/>
    <s v="PRD011"/>
    <n v="3"/>
    <n v="35000"/>
    <n v="105000"/>
    <n v="66000"/>
    <n v="39000"/>
  </r>
  <r>
    <s v="TRX-202501-0003"/>
    <x v="1"/>
    <s v="CUST005"/>
    <s v="PRD006"/>
    <n v="6"/>
    <n v="110000"/>
    <n v="660000"/>
    <n v="450000"/>
    <n v="210000"/>
  </r>
  <r>
    <s v="TRX-202501-0004"/>
    <x v="1"/>
    <s v="CUST006"/>
    <s v="PRD011"/>
    <n v="5"/>
    <n v="35000"/>
    <n v="175000"/>
    <n v="110000"/>
    <n v="65000"/>
  </r>
  <r>
    <s v="TRX-202501-0005"/>
    <x v="1"/>
    <s v="CUST002"/>
    <s v="PRD011"/>
    <n v="4"/>
    <n v="35000"/>
    <n v="140000"/>
    <n v="88000"/>
    <n v="52000"/>
  </r>
  <r>
    <s v="TRX-202501-0005"/>
    <x v="1"/>
    <s v="CUST002"/>
    <s v="PRD003"/>
    <n v="3"/>
    <n v="130000"/>
    <n v="390000"/>
    <n v="255000"/>
    <n v="135000"/>
  </r>
  <r>
    <s v="TRX-202501-0005"/>
    <x v="1"/>
    <s v="CUST002"/>
    <s v="PRD009"/>
    <n v="8"/>
    <n v="52000"/>
    <n v="416000"/>
    <n v="280000"/>
    <n v="136000"/>
  </r>
  <r>
    <s v="TRX-202501-0006"/>
    <x v="1"/>
    <s v="CUST007"/>
    <s v="PRD011"/>
    <n v="4"/>
    <n v="35000"/>
    <n v="140000"/>
    <n v="88000"/>
    <n v="52000"/>
  </r>
  <r>
    <s v="TRX-202501-0006"/>
    <x v="1"/>
    <s v="CUST007"/>
    <s v="PRD009"/>
    <n v="6"/>
    <n v="52000"/>
    <n v="312000"/>
    <n v="210000"/>
    <n v="102000"/>
  </r>
  <r>
    <s v="TRX-202501-0007"/>
    <x v="1"/>
    <s v="CUST001"/>
    <s v="PRD001"/>
    <n v="6"/>
    <n v="175000"/>
    <n v="1050000"/>
    <n v="720000"/>
    <n v="330000"/>
  </r>
  <r>
    <s v="TRX-202501-0008"/>
    <x v="2"/>
    <s v="CUST008"/>
    <s v="PRD001"/>
    <n v="2"/>
    <n v="175000"/>
    <n v="350000"/>
    <n v="240000"/>
    <n v="110000"/>
  </r>
  <r>
    <s v="TRX-202501-0009"/>
    <x v="2"/>
    <s v="CUST003"/>
    <s v="PRD003"/>
    <n v="2"/>
    <n v="130000"/>
    <n v="260000"/>
    <n v="170000"/>
    <n v="90000"/>
  </r>
  <r>
    <s v="TRX-202501-0009"/>
    <x v="2"/>
    <s v="CUST003"/>
    <s v="PRD011"/>
    <n v="7"/>
    <n v="35000"/>
    <n v="245000"/>
    <n v="154000"/>
    <n v="91000"/>
  </r>
  <r>
    <s v="TRX-202501-0009"/>
    <x v="2"/>
    <s v="CUST003"/>
    <s v="PRD007"/>
    <n v="7"/>
    <n v="225000"/>
    <n v="1575000"/>
    <n v="1260000"/>
    <n v="315000"/>
  </r>
  <r>
    <s v="TRX-202501-0010"/>
    <x v="2"/>
    <s v="CUST008"/>
    <s v="PRD005"/>
    <n v="2"/>
    <n v="105000"/>
    <n v="210000"/>
    <n v="140000"/>
    <n v="70000"/>
  </r>
  <r>
    <s v="TRX-202501-0010"/>
    <x v="2"/>
    <s v="CUST008"/>
    <s v="PRD009"/>
    <n v="5"/>
    <n v="52000"/>
    <n v="260000"/>
    <n v="175000"/>
    <n v="85000"/>
  </r>
  <r>
    <s v="TRX-202501-0010"/>
    <x v="2"/>
    <s v="CUST008"/>
    <s v="PRD001"/>
    <n v="6"/>
    <n v="175000"/>
    <n v="1050000"/>
    <n v="720000"/>
    <n v="330000"/>
  </r>
  <r>
    <s v="TRX-202501-0011"/>
    <x v="3"/>
    <s v="CUST002"/>
    <s v="PRD005"/>
    <n v="1"/>
    <n v="105000"/>
    <n v="105000"/>
    <n v="70000"/>
    <n v="35000"/>
  </r>
  <r>
    <s v="TRX-202501-0011"/>
    <x v="3"/>
    <s v="CUST002"/>
    <s v="PRD004"/>
    <n v="4"/>
    <n v="105000"/>
    <n v="420000"/>
    <n v="280000"/>
    <n v="140000"/>
  </r>
  <r>
    <s v="TRX-202501-0012"/>
    <x v="3"/>
    <s v="CUST002"/>
    <s v="PRD012"/>
    <n v="8"/>
    <n v="48000"/>
    <n v="384000"/>
    <n v="256000"/>
    <n v="128000"/>
  </r>
  <r>
    <s v="TRX-202501-0013"/>
    <x v="4"/>
    <s v="CUST002"/>
    <s v="PRD001"/>
    <n v="4"/>
    <n v="175000"/>
    <n v="700000"/>
    <n v="480000"/>
    <n v="220000"/>
  </r>
  <r>
    <s v="TRX-202501-0013"/>
    <x v="4"/>
    <s v="CUST002"/>
    <s v="PRD010"/>
    <n v="4"/>
    <n v="20000"/>
    <n v="80000"/>
    <n v="48000"/>
    <n v="32000"/>
  </r>
  <r>
    <s v="TRX-202501-0014"/>
    <x v="4"/>
    <s v="CUST001"/>
    <s v="PRD012"/>
    <n v="1"/>
    <n v="48000"/>
    <n v="48000"/>
    <n v="32000"/>
    <n v="16000"/>
  </r>
  <r>
    <s v="TRX-202501-0015"/>
    <x v="4"/>
    <s v="CUST004"/>
    <s v="PRD001"/>
    <n v="6"/>
    <n v="175000"/>
    <n v="1050000"/>
    <n v="720000"/>
    <n v="330000"/>
  </r>
  <r>
    <s v="TRX-202501-0016"/>
    <x v="5"/>
    <s v="CUST006"/>
    <s v="PRD004"/>
    <n v="4"/>
    <n v="105000"/>
    <n v="420000"/>
    <n v="280000"/>
    <n v="140000"/>
  </r>
  <r>
    <s v="TRX-202501-0017"/>
    <x v="5"/>
    <s v="CUST004"/>
    <s v="PRD008"/>
    <n v="3"/>
    <n v="40000"/>
    <n v="120000"/>
    <n v="84000"/>
    <n v="36000"/>
  </r>
  <r>
    <s v="TRX-202501-0017"/>
    <x v="5"/>
    <s v="CUST004"/>
    <s v="PRD003"/>
    <n v="5"/>
    <n v="130000"/>
    <n v="650000"/>
    <n v="425000"/>
    <n v="225000"/>
  </r>
  <r>
    <s v="TRX-202501-0017"/>
    <x v="5"/>
    <s v="CUST004"/>
    <s v="PRD007"/>
    <n v="8"/>
    <n v="225000"/>
    <n v="1800000"/>
    <n v="1440000"/>
    <n v="360000"/>
  </r>
  <r>
    <s v="TRX-202501-0018"/>
    <x v="5"/>
    <s v="CUST004"/>
    <s v="PRD008"/>
    <n v="2"/>
    <n v="40000"/>
    <n v="80000"/>
    <n v="56000"/>
    <n v="24000"/>
  </r>
  <r>
    <s v="TRX-202501-0019"/>
    <x v="5"/>
    <s v="CUST001"/>
    <s v="PRD009"/>
    <n v="4"/>
    <n v="52000"/>
    <n v="208000"/>
    <n v="140000"/>
    <n v="68000"/>
  </r>
  <r>
    <s v="TRX-202501-0019"/>
    <x v="5"/>
    <s v="CUST001"/>
    <s v="PRD001"/>
    <n v="3"/>
    <n v="175000"/>
    <n v="525000"/>
    <n v="360000"/>
    <n v="165000"/>
  </r>
  <r>
    <s v="TRX-202501-0019"/>
    <x v="5"/>
    <s v="CUST001"/>
    <s v="PRD002"/>
    <n v="7"/>
    <n v="70000"/>
    <n v="490000"/>
    <n v="315000"/>
    <n v="175000"/>
  </r>
  <r>
    <s v="TRX-202501-0020"/>
    <x v="5"/>
    <s v="CUST008"/>
    <s v="PRD004"/>
    <n v="1"/>
    <n v="105000"/>
    <n v="105000"/>
    <n v="70000"/>
    <n v="35000"/>
  </r>
  <r>
    <s v="TRX-202501-0020"/>
    <x v="5"/>
    <s v="CUST008"/>
    <s v="PRD007"/>
    <n v="3"/>
    <n v="225000"/>
    <n v="675000"/>
    <n v="540000"/>
    <n v="135000"/>
  </r>
  <r>
    <s v="TRX-202501-0021"/>
    <x v="6"/>
    <s v="CUST003"/>
    <s v="PRD010"/>
    <n v="2"/>
    <n v="20000"/>
    <n v="40000"/>
    <n v="24000"/>
    <n v="16000"/>
  </r>
  <r>
    <s v="TRX-202501-0022"/>
    <x v="6"/>
    <s v="CUST004"/>
    <s v="PRD002"/>
    <n v="4"/>
    <n v="70000"/>
    <n v="280000"/>
    <n v="180000"/>
    <n v="100000"/>
  </r>
  <r>
    <s v="TRX-202501-0022"/>
    <x v="6"/>
    <s v="CUST004"/>
    <s v="PRD010"/>
    <n v="1"/>
    <n v="20000"/>
    <n v="20000"/>
    <n v="12000"/>
    <n v="8000"/>
  </r>
  <r>
    <s v="TRX-202501-0023"/>
    <x v="7"/>
    <s v="CUST002"/>
    <s v="PRD006"/>
    <n v="5"/>
    <n v="110000"/>
    <n v="550000"/>
    <n v="375000"/>
    <n v="175000"/>
  </r>
  <r>
    <s v="TRX-202501-0024"/>
    <x v="7"/>
    <s v="CUST003"/>
    <s v="PRD009"/>
    <n v="1"/>
    <n v="52000"/>
    <n v="52000"/>
    <n v="35000"/>
    <n v="17000"/>
  </r>
  <r>
    <s v="TRX-202501-0024"/>
    <x v="7"/>
    <s v="CUST003"/>
    <s v="PRD005"/>
    <n v="5"/>
    <n v="105000"/>
    <n v="525000"/>
    <n v="350000"/>
    <n v="175000"/>
  </r>
  <r>
    <s v="TRX-202501-0025"/>
    <x v="7"/>
    <s v="CUST002"/>
    <s v="PRD005"/>
    <n v="2"/>
    <n v="105000"/>
    <n v="210000"/>
    <n v="140000"/>
    <n v="70000"/>
  </r>
  <r>
    <s v="TRX-202501-0026"/>
    <x v="7"/>
    <s v="CUST002"/>
    <s v="PRD009"/>
    <n v="5"/>
    <n v="52000"/>
    <n v="260000"/>
    <n v="175000"/>
    <n v="85000"/>
  </r>
  <r>
    <s v="TRX-202501-0026"/>
    <x v="7"/>
    <s v="CUST002"/>
    <s v="PRD003"/>
    <n v="4"/>
    <n v="130000"/>
    <n v="520000"/>
    <n v="340000"/>
    <n v="180000"/>
  </r>
  <r>
    <s v="TRX-202501-0026"/>
    <x v="7"/>
    <s v="CUST002"/>
    <s v="PRD005"/>
    <n v="6"/>
    <n v="105000"/>
    <n v="630000"/>
    <n v="420000"/>
    <n v="210000"/>
  </r>
  <r>
    <s v="TRX-202501-0027"/>
    <x v="8"/>
    <s v="CUST003"/>
    <s v="PRD003"/>
    <n v="5"/>
    <n v="130000"/>
    <n v="650000"/>
    <n v="425000"/>
    <n v="225000"/>
  </r>
  <r>
    <s v="TRX-202501-0027"/>
    <x v="8"/>
    <s v="CUST003"/>
    <s v="PRD001"/>
    <n v="6"/>
    <n v="175000"/>
    <n v="1050000"/>
    <n v="720000"/>
    <n v="330000"/>
  </r>
  <r>
    <s v="TRX-202501-0028"/>
    <x v="8"/>
    <s v="CUST001"/>
    <s v="PRD004"/>
    <n v="4"/>
    <n v="105000"/>
    <n v="420000"/>
    <n v="280000"/>
    <n v="140000"/>
  </r>
  <r>
    <s v="TRX-202501-0028"/>
    <x v="8"/>
    <s v="CUST001"/>
    <s v="PRD011"/>
    <n v="2"/>
    <n v="35000"/>
    <n v="70000"/>
    <n v="44000"/>
    <n v="26000"/>
  </r>
  <r>
    <s v="TRX-202501-0029"/>
    <x v="8"/>
    <s v="CUST006"/>
    <s v="PRD007"/>
    <n v="4"/>
    <n v="225000"/>
    <n v="900000"/>
    <n v="720000"/>
    <n v="180000"/>
  </r>
  <r>
    <s v="TRX-202501-0029"/>
    <x v="8"/>
    <s v="CUST006"/>
    <s v="PRD010"/>
    <n v="3"/>
    <n v="20000"/>
    <n v="60000"/>
    <n v="36000"/>
    <n v="24000"/>
  </r>
  <r>
    <s v="TRX-202501-0029"/>
    <x v="8"/>
    <s v="CUST006"/>
    <s v="PRD003"/>
    <n v="3"/>
    <n v="130000"/>
    <n v="390000"/>
    <n v="255000"/>
    <n v="135000"/>
  </r>
  <r>
    <s v="TRX-202501-0030"/>
    <x v="8"/>
    <s v="CUST007"/>
    <s v="PRD003"/>
    <n v="6"/>
    <n v="130000"/>
    <n v="780000"/>
    <n v="510000"/>
    <n v="270000"/>
  </r>
  <r>
    <s v="TRX-202501-0031"/>
    <x v="9"/>
    <s v="CUST006"/>
    <s v="PRD002"/>
    <n v="5"/>
    <n v="70000"/>
    <n v="350000"/>
    <n v="225000"/>
    <n v="125000"/>
  </r>
  <r>
    <s v="TRX-202501-0032"/>
    <x v="9"/>
    <s v="CUST003"/>
    <s v="PRD005"/>
    <n v="7"/>
    <n v="105000"/>
    <n v="735000"/>
    <n v="490000"/>
    <n v="245000"/>
  </r>
  <r>
    <s v="TRX-202501-0032"/>
    <x v="9"/>
    <s v="CUST003"/>
    <s v="PRD001"/>
    <n v="6"/>
    <n v="175000"/>
    <n v="1050000"/>
    <n v="720000"/>
    <n v="330000"/>
  </r>
  <r>
    <s v="TRX-202501-0032"/>
    <x v="9"/>
    <s v="CUST003"/>
    <s v="PRD002"/>
    <n v="6"/>
    <n v="70000"/>
    <n v="420000"/>
    <n v="270000"/>
    <n v="150000"/>
  </r>
  <r>
    <s v="TRX-202501-0033"/>
    <x v="9"/>
    <s v="CUST007"/>
    <s v="PRD009"/>
    <n v="4"/>
    <n v="52000"/>
    <n v="208000"/>
    <n v="140000"/>
    <n v="68000"/>
  </r>
  <r>
    <s v="TRX-202501-0033"/>
    <x v="9"/>
    <s v="CUST007"/>
    <s v="PRD002"/>
    <n v="5"/>
    <n v="70000"/>
    <n v="350000"/>
    <n v="225000"/>
    <n v="125000"/>
  </r>
  <r>
    <s v="TRX-202501-0033"/>
    <x v="9"/>
    <s v="CUST007"/>
    <s v="PRD007"/>
    <n v="1"/>
    <n v="225000"/>
    <n v="225000"/>
    <n v="180000"/>
    <n v="45000"/>
  </r>
  <r>
    <s v="TRX-202501-0034"/>
    <x v="9"/>
    <s v="CUST007"/>
    <s v="PRD009"/>
    <n v="4"/>
    <n v="52000"/>
    <n v="208000"/>
    <n v="140000"/>
    <n v="68000"/>
  </r>
  <r>
    <s v="TRX-202501-0035"/>
    <x v="9"/>
    <s v="CUST006"/>
    <s v="PRD002"/>
    <n v="6"/>
    <n v="70000"/>
    <n v="420000"/>
    <n v="270000"/>
    <n v="150000"/>
  </r>
  <r>
    <s v="TRX-202501-0035"/>
    <x v="9"/>
    <s v="CUST006"/>
    <s v="PRD011"/>
    <n v="6"/>
    <n v="35000"/>
    <n v="210000"/>
    <n v="132000"/>
    <n v="78000"/>
  </r>
  <r>
    <s v="TRX-202501-0036"/>
    <x v="10"/>
    <s v="CUST008"/>
    <s v="PRD008"/>
    <n v="4"/>
    <n v="40000"/>
    <n v="160000"/>
    <n v="112000"/>
    <n v="48000"/>
  </r>
  <r>
    <s v="TRX-202501-0036"/>
    <x v="10"/>
    <s v="CUST008"/>
    <s v="PRD011"/>
    <n v="8"/>
    <n v="35000"/>
    <n v="280000"/>
    <n v="176000"/>
    <n v="104000"/>
  </r>
  <r>
    <s v="TRX-202501-0037"/>
    <x v="10"/>
    <s v="CUST003"/>
    <s v="PRD002"/>
    <n v="6"/>
    <n v="70000"/>
    <n v="420000"/>
    <n v="270000"/>
    <n v="150000"/>
  </r>
  <r>
    <s v="TRX-202501-0037"/>
    <x v="10"/>
    <s v="CUST003"/>
    <s v="PRD005"/>
    <n v="2"/>
    <n v="105000"/>
    <n v="210000"/>
    <n v="140000"/>
    <n v="70000"/>
  </r>
  <r>
    <s v="TRX-202501-0037"/>
    <x v="10"/>
    <s v="CUST003"/>
    <s v="PRD009"/>
    <n v="4"/>
    <n v="52000"/>
    <n v="208000"/>
    <n v="140000"/>
    <n v="68000"/>
  </r>
  <r>
    <s v="TRX-202501-0038"/>
    <x v="10"/>
    <s v="CUST005"/>
    <s v="PRD004"/>
    <n v="3"/>
    <n v="105000"/>
    <n v="315000"/>
    <n v="210000"/>
    <n v="105000"/>
  </r>
  <r>
    <s v="TRX-202501-0039"/>
    <x v="10"/>
    <s v="CUST001"/>
    <s v="PRD004"/>
    <n v="8"/>
    <n v="105000"/>
    <n v="840000"/>
    <n v="560000"/>
    <n v="280000"/>
  </r>
  <r>
    <s v="TRX-202501-0040"/>
    <x v="11"/>
    <s v="CUST006"/>
    <s v="PRD010"/>
    <n v="7"/>
    <n v="20000"/>
    <n v="140000"/>
    <n v="84000"/>
    <n v="56000"/>
  </r>
  <r>
    <s v="TRX-202501-0040"/>
    <x v="11"/>
    <s v="CUST006"/>
    <s v="PRD009"/>
    <n v="8"/>
    <n v="52000"/>
    <n v="416000"/>
    <n v="280000"/>
    <n v="136000"/>
  </r>
  <r>
    <s v="TRX-202501-0041"/>
    <x v="11"/>
    <s v="CUST003"/>
    <s v="PRD008"/>
    <n v="4"/>
    <n v="40000"/>
    <n v="160000"/>
    <n v="112000"/>
    <n v="48000"/>
  </r>
  <r>
    <s v="TRX-202501-0041"/>
    <x v="11"/>
    <s v="CUST003"/>
    <s v="PRD012"/>
    <n v="5"/>
    <n v="48000"/>
    <n v="240000"/>
    <n v="160000"/>
    <n v="80000"/>
  </r>
  <r>
    <s v="TRX-202501-0041"/>
    <x v="11"/>
    <s v="CUST003"/>
    <s v="PRD005"/>
    <n v="8"/>
    <n v="105000"/>
    <n v="840000"/>
    <n v="560000"/>
    <n v="280000"/>
  </r>
  <r>
    <s v="TRX-202501-0042"/>
    <x v="11"/>
    <s v="CUST004"/>
    <s v="PRD008"/>
    <n v="5"/>
    <n v="40000"/>
    <n v="200000"/>
    <n v="140000"/>
    <n v="60000"/>
  </r>
  <r>
    <s v="TRX-202501-0042"/>
    <x v="11"/>
    <s v="CUST004"/>
    <s v="PRD002"/>
    <n v="4"/>
    <n v="70000"/>
    <n v="280000"/>
    <n v="180000"/>
    <n v="100000"/>
  </r>
  <r>
    <s v="TRX-202501-0043"/>
    <x v="11"/>
    <s v="CUST005"/>
    <s v="PRD006"/>
    <n v="2"/>
    <n v="110000"/>
    <n v="220000"/>
    <n v="150000"/>
    <n v="70000"/>
  </r>
  <r>
    <s v="TRX-202501-0043"/>
    <x v="11"/>
    <s v="CUST005"/>
    <s v="PRD009"/>
    <n v="3"/>
    <n v="52000"/>
    <n v="156000"/>
    <n v="105000"/>
    <n v="51000"/>
  </r>
  <r>
    <s v="TRX-202501-0044"/>
    <x v="11"/>
    <s v="CUST003"/>
    <s v="PRD007"/>
    <n v="3"/>
    <n v="225000"/>
    <n v="675000"/>
    <n v="540000"/>
    <n v="135000"/>
  </r>
  <r>
    <s v="TRX-202501-0045"/>
    <x v="12"/>
    <s v="CUST008"/>
    <s v="PRD005"/>
    <n v="7"/>
    <n v="105000"/>
    <n v="735000"/>
    <n v="490000"/>
    <n v="245000"/>
  </r>
  <r>
    <s v="TRX-202501-0046"/>
    <x v="12"/>
    <s v="CUST008"/>
    <s v="PRD007"/>
    <n v="6"/>
    <n v="225000"/>
    <n v="1350000"/>
    <n v="1080000"/>
    <n v="270000"/>
  </r>
  <r>
    <s v="TRX-202501-0047"/>
    <x v="12"/>
    <s v="CUST007"/>
    <s v="PRD003"/>
    <n v="1"/>
    <n v="130000"/>
    <n v="130000"/>
    <n v="85000"/>
    <n v="45000"/>
  </r>
  <r>
    <s v="TRX-202501-0047"/>
    <x v="12"/>
    <s v="CUST007"/>
    <s v="PRD008"/>
    <n v="7"/>
    <n v="40000"/>
    <n v="280000"/>
    <n v="196000"/>
    <n v="84000"/>
  </r>
  <r>
    <s v="TRX-202501-0047"/>
    <x v="12"/>
    <s v="CUST007"/>
    <s v="PRD012"/>
    <n v="1"/>
    <n v="48000"/>
    <n v="48000"/>
    <n v="32000"/>
    <n v="16000"/>
  </r>
  <r>
    <s v="TRX-202501-0048"/>
    <x v="13"/>
    <s v="CUST004"/>
    <s v="PRD001"/>
    <n v="3"/>
    <n v="175000"/>
    <n v="525000"/>
    <n v="360000"/>
    <n v="165000"/>
  </r>
  <r>
    <s v="TRX-202501-0049"/>
    <x v="13"/>
    <s v="CUST004"/>
    <s v="PRD008"/>
    <n v="2"/>
    <n v="40000"/>
    <n v="80000"/>
    <n v="56000"/>
    <n v="24000"/>
  </r>
  <r>
    <s v="TRX-202501-0050"/>
    <x v="14"/>
    <s v="CUST002"/>
    <s v="PRD001"/>
    <n v="7"/>
    <n v="175000"/>
    <n v="1225000"/>
    <n v="840000"/>
    <n v="385000"/>
  </r>
  <r>
    <s v="TRX-202501-0050"/>
    <x v="14"/>
    <s v="CUST002"/>
    <s v="PRD006"/>
    <n v="6"/>
    <n v="110000"/>
    <n v="660000"/>
    <n v="450000"/>
    <n v="210000"/>
  </r>
  <r>
    <s v="TRX-202501-0050"/>
    <x v="14"/>
    <s v="CUST002"/>
    <s v="PRD009"/>
    <n v="2"/>
    <n v="52000"/>
    <n v="104000"/>
    <n v="70000"/>
    <n v="34000"/>
  </r>
  <r>
    <s v="TRX-202501-0051"/>
    <x v="14"/>
    <s v="CUST006"/>
    <s v="PRD007"/>
    <n v="8"/>
    <n v="225000"/>
    <n v="1800000"/>
    <n v="1440000"/>
    <n v="360000"/>
  </r>
  <r>
    <s v="TRX-202501-0052"/>
    <x v="14"/>
    <s v="CUST002"/>
    <s v="PRD006"/>
    <n v="8"/>
    <n v="110000"/>
    <n v="880000"/>
    <n v="600000"/>
    <n v="280000"/>
  </r>
  <r>
    <s v="TRX-202501-0052"/>
    <x v="14"/>
    <s v="CUST002"/>
    <s v="PRD011"/>
    <n v="3"/>
    <n v="35000"/>
    <n v="105000"/>
    <n v="66000"/>
    <n v="39000"/>
  </r>
  <r>
    <s v="TRX-202501-0053"/>
    <x v="14"/>
    <s v="CUST007"/>
    <s v="PRD012"/>
    <n v="5"/>
    <n v="48000"/>
    <n v="240000"/>
    <n v="160000"/>
    <n v="80000"/>
  </r>
  <r>
    <s v="TRX-202501-0054"/>
    <x v="15"/>
    <s v="CUST005"/>
    <s v="PRD012"/>
    <n v="1"/>
    <n v="48000"/>
    <n v="48000"/>
    <n v="32000"/>
    <n v="16000"/>
  </r>
  <r>
    <s v="TRX-202501-0054"/>
    <x v="15"/>
    <s v="CUST005"/>
    <s v="PRD005"/>
    <n v="4"/>
    <n v="105000"/>
    <n v="420000"/>
    <n v="280000"/>
    <n v="140000"/>
  </r>
  <r>
    <s v="TRX-202501-0054"/>
    <x v="15"/>
    <s v="CUST005"/>
    <s v="PRD009"/>
    <n v="2"/>
    <n v="52000"/>
    <n v="104000"/>
    <n v="70000"/>
    <n v="34000"/>
  </r>
  <r>
    <s v="TRX-202501-0055"/>
    <x v="15"/>
    <s v="CUST004"/>
    <s v="PRD007"/>
    <n v="4"/>
    <n v="225000"/>
    <n v="900000"/>
    <n v="720000"/>
    <n v="180000"/>
  </r>
  <r>
    <s v="TRX-202501-0055"/>
    <x v="15"/>
    <s v="CUST004"/>
    <s v="PRD008"/>
    <n v="8"/>
    <n v="40000"/>
    <n v="320000"/>
    <n v="224000"/>
    <n v="96000"/>
  </r>
  <r>
    <s v="TRX-202501-0055"/>
    <x v="15"/>
    <s v="CUST004"/>
    <s v="PRD009"/>
    <n v="8"/>
    <n v="52000"/>
    <n v="416000"/>
    <n v="280000"/>
    <n v="136000"/>
  </r>
  <r>
    <s v="TRX-202501-0056"/>
    <x v="15"/>
    <s v="CUST008"/>
    <s v="PRD002"/>
    <n v="5"/>
    <n v="70000"/>
    <n v="350000"/>
    <n v="225000"/>
    <n v="125000"/>
  </r>
  <r>
    <s v="TRX-202501-0057"/>
    <x v="15"/>
    <s v="CUST004"/>
    <s v="PRD012"/>
    <n v="5"/>
    <n v="48000"/>
    <n v="240000"/>
    <n v="160000"/>
    <n v="80000"/>
  </r>
  <r>
    <s v="TRX-202501-0057"/>
    <x v="15"/>
    <s v="CUST004"/>
    <s v="PRD004"/>
    <n v="6"/>
    <n v="105000"/>
    <n v="630000"/>
    <n v="420000"/>
    <n v="210000"/>
  </r>
  <r>
    <s v="TRX-202501-0058"/>
    <x v="16"/>
    <s v="CUST002"/>
    <s v="PRD005"/>
    <n v="4"/>
    <n v="105000"/>
    <n v="420000"/>
    <n v="280000"/>
    <n v="140000"/>
  </r>
  <r>
    <s v="TRX-202501-0059"/>
    <x v="16"/>
    <s v="CUST006"/>
    <s v="PRD005"/>
    <n v="1"/>
    <n v="105000"/>
    <n v="105000"/>
    <n v="70000"/>
    <n v="35000"/>
  </r>
  <r>
    <s v="TRX-202501-0060"/>
    <x v="16"/>
    <s v="CUST003"/>
    <s v="PRD001"/>
    <n v="5"/>
    <n v="175000"/>
    <n v="875000"/>
    <n v="600000"/>
    <n v="275000"/>
  </r>
  <r>
    <s v="TRX-202501-0060"/>
    <x v="16"/>
    <s v="CUST003"/>
    <s v="PRD012"/>
    <n v="3"/>
    <n v="48000"/>
    <n v="144000"/>
    <n v="96000"/>
    <n v="48000"/>
  </r>
  <r>
    <s v="TRX-202501-0061"/>
    <x v="16"/>
    <s v="CUST008"/>
    <s v="PRD001"/>
    <n v="5"/>
    <n v="175000"/>
    <n v="875000"/>
    <n v="600000"/>
    <n v="275000"/>
  </r>
  <r>
    <s v="TRX-202501-0062"/>
    <x v="17"/>
    <s v="CUST008"/>
    <s v="PRD005"/>
    <n v="7"/>
    <n v="105000"/>
    <n v="735000"/>
    <n v="490000"/>
    <n v="245000"/>
  </r>
  <r>
    <s v="TRX-202501-0062"/>
    <x v="17"/>
    <s v="CUST008"/>
    <s v="PRD010"/>
    <n v="5"/>
    <n v="20000"/>
    <n v="100000"/>
    <n v="60000"/>
    <n v="40000"/>
  </r>
  <r>
    <s v="TRX-202501-0063"/>
    <x v="17"/>
    <s v="CUST001"/>
    <s v="PRD012"/>
    <n v="4"/>
    <n v="48000"/>
    <n v="192000"/>
    <n v="128000"/>
    <n v="64000"/>
  </r>
  <r>
    <s v="TRX-202501-0063"/>
    <x v="17"/>
    <s v="CUST001"/>
    <s v="PRD002"/>
    <n v="5"/>
    <n v="70000"/>
    <n v="350000"/>
    <n v="225000"/>
    <n v="125000"/>
  </r>
  <r>
    <s v="TRX-202501-0063"/>
    <x v="17"/>
    <s v="CUST001"/>
    <s v="PRD004"/>
    <n v="2"/>
    <n v="105000"/>
    <n v="210000"/>
    <n v="140000"/>
    <n v="70000"/>
  </r>
  <r>
    <s v="TRX-202501-0064"/>
    <x v="17"/>
    <s v="CUST003"/>
    <s v="PRD003"/>
    <n v="2"/>
    <n v="130000"/>
    <n v="260000"/>
    <n v="170000"/>
    <n v="90000"/>
  </r>
  <r>
    <s v="TRX-202501-0065"/>
    <x v="17"/>
    <s v="CUST003"/>
    <s v="PRD007"/>
    <n v="8"/>
    <n v="225000"/>
    <n v="1800000"/>
    <n v="1440000"/>
    <n v="360000"/>
  </r>
  <r>
    <s v="TRX-202501-0066"/>
    <x v="17"/>
    <s v="CUST008"/>
    <s v="PRD001"/>
    <n v="5"/>
    <n v="175000"/>
    <n v="875000"/>
    <n v="600000"/>
    <n v="275000"/>
  </r>
  <r>
    <s v="TRX-202501-0066"/>
    <x v="17"/>
    <s v="CUST008"/>
    <s v="PRD004"/>
    <n v="5"/>
    <n v="105000"/>
    <n v="525000"/>
    <n v="350000"/>
    <n v="175000"/>
  </r>
  <r>
    <s v="TRX-202501-0067"/>
    <x v="18"/>
    <s v="CUST007"/>
    <s v="PRD009"/>
    <n v="8"/>
    <n v="52000"/>
    <n v="416000"/>
    <n v="280000"/>
    <n v="136000"/>
  </r>
  <r>
    <s v="TRX-202501-0067"/>
    <x v="18"/>
    <s v="CUST007"/>
    <s v="PRD012"/>
    <n v="8"/>
    <n v="48000"/>
    <n v="384000"/>
    <n v="256000"/>
    <n v="128000"/>
  </r>
  <r>
    <s v="TRX-202501-0068"/>
    <x v="18"/>
    <s v="CUST002"/>
    <s v="PRD001"/>
    <n v="5"/>
    <n v="175000"/>
    <n v="875000"/>
    <n v="600000"/>
    <n v="275000"/>
  </r>
  <r>
    <s v="TRX-202501-0068"/>
    <x v="18"/>
    <s v="CUST002"/>
    <s v="PRD007"/>
    <n v="1"/>
    <n v="225000"/>
    <n v="225000"/>
    <n v="180000"/>
    <n v="45000"/>
  </r>
  <r>
    <s v="TRX-202501-0068"/>
    <x v="18"/>
    <s v="CUST002"/>
    <s v="PRD006"/>
    <n v="2"/>
    <n v="110000"/>
    <n v="220000"/>
    <n v="150000"/>
    <n v="70000"/>
  </r>
  <r>
    <s v="TRX-202501-0069"/>
    <x v="18"/>
    <s v="CUST004"/>
    <s v="PRD010"/>
    <n v="5"/>
    <n v="20000"/>
    <n v="100000"/>
    <n v="60000"/>
    <n v="40000"/>
  </r>
  <r>
    <s v="TRX-202501-0069"/>
    <x v="18"/>
    <s v="CUST004"/>
    <s v="PRD012"/>
    <n v="1"/>
    <n v="48000"/>
    <n v="48000"/>
    <n v="32000"/>
    <n v="16000"/>
  </r>
  <r>
    <s v="TRX-202501-0069"/>
    <x v="18"/>
    <s v="CUST004"/>
    <s v="PRD001"/>
    <n v="3"/>
    <n v="175000"/>
    <n v="525000"/>
    <n v="360000"/>
    <n v="165000"/>
  </r>
  <r>
    <s v="TRX-202501-0070"/>
    <x v="18"/>
    <s v="CUST008"/>
    <s v="PRD011"/>
    <n v="3"/>
    <n v="35000"/>
    <n v="105000"/>
    <n v="66000"/>
    <n v="39000"/>
  </r>
  <r>
    <s v="TRX-202501-0070"/>
    <x v="18"/>
    <s v="CUST008"/>
    <s v="PRD008"/>
    <n v="7"/>
    <n v="40000"/>
    <n v="280000"/>
    <n v="196000"/>
    <n v="84000"/>
  </r>
  <r>
    <s v="TRX-202501-0070"/>
    <x v="18"/>
    <s v="CUST008"/>
    <s v="PRD005"/>
    <n v="8"/>
    <n v="105000"/>
    <n v="840000"/>
    <n v="560000"/>
    <n v="280000"/>
  </r>
  <r>
    <s v="TRX-202501-0071"/>
    <x v="19"/>
    <s v="CUST004"/>
    <s v="PRD006"/>
    <n v="8"/>
    <n v="110000"/>
    <n v="880000"/>
    <n v="600000"/>
    <n v="280000"/>
  </r>
  <r>
    <s v="TRX-202501-0071"/>
    <x v="19"/>
    <s v="CUST004"/>
    <s v="PRD010"/>
    <n v="1"/>
    <n v="20000"/>
    <n v="20000"/>
    <n v="12000"/>
    <n v="8000"/>
  </r>
  <r>
    <s v="TRX-202501-0071"/>
    <x v="19"/>
    <s v="CUST004"/>
    <s v="PRD008"/>
    <n v="4"/>
    <n v="40000"/>
    <n v="160000"/>
    <n v="112000"/>
    <n v="48000"/>
  </r>
  <r>
    <s v="TRX-202501-0072"/>
    <x v="19"/>
    <s v="CUST005"/>
    <s v="PRD003"/>
    <n v="8"/>
    <n v="130000"/>
    <n v="1040000"/>
    <n v="680000"/>
    <n v="360000"/>
  </r>
  <r>
    <s v="TRX-202501-0072"/>
    <x v="19"/>
    <s v="CUST005"/>
    <s v="PRD005"/>
    <n v="2"/>
    <n v="105000"/>
    <n v="210000"/>
    <n v="140000"/>
    <n v="70000"/>
  </r>
  <r>
    <s v="TRX-202501-0072"/>
    <x v="19"/>
    <s v="CUST005"/>
    <s v="PRD008"/>
    <n v="1"/>
    <n v="40000"/>
    <n v="40000"/>
    <n v="28000"/>
    <n v="12000"/>
  </r>
  <r>
    <s v="TRX-202501-0073"/>
    <x v="20"/>
    <s v="CUST007"/>
    <s v="PRD010"/>
    <n v="3"/>
    <n v="20000"/>
    <n v="60000"/>
    <n v="36000"/>
    <n v="24000"/>
  </r>
  <r>
    <s v="TRX-202501-0074"/>
    <x v="20"/>
    <s v="CUST002"/>
    <s v="PRD007"/>
    <n v="5"/>
    <n v="225000"/>
    <n v="1125000"/>
    <n v="900000"/>
    <n v="225000"/>
  </r>
  <r>
    <s v="TRX-202501-0074"/>
    <x v="20"/>
    <s v="CUST002"/>
    <s v="PRD006"/>
    <n v="1"/>
    <n v="110000"/>
    <n v="110000"/>
    <n v="75000"/>
    <n v="35000"/>
  </r>
  <r>
    <s v="TRX-202501-0075"/>
    <x v="20"/>
    <s v="CUST005"/>
    <s v="PRD005"/>
    <n v="8"/>
    <n v="105000"/>
    <n v="840000"/>
    <n v="560000"/>
    <n v="280000"/>
  </r>
  <r>
    <s v="TRX-202501-0075"/>
    <x v="20"/>
    <s v="CUST005"/>
    <s v="PRD010"/>
    <n v="3"/>
    <n v="20000"/>
    <n v="60000"/>
    <n v="36000"/>
    <n v="24000"/>
  </r>
  <r>
    <s v="TRX-202501-0075"/>
    <x v="20"/>
    <s v="CUST005"/>
    <s v="PRD011"/>
    <n v="8"/>
    <n v="35000"/>
    <n v="280000"/>
    <n v="176000"/>
    <n v="104000"/>
  </r>
  <r>
    <s v="TRX-202501-0076"/>
    <x v="21"/>
    <s v="CUST006"/>
    <s v="PRD008"/>
    <n v="2"/>
    <n v="40000"/>
    <n v="80000"/>
    <n v="56000"/>
    <n v="24000"/>
  </r>
  <r>
    <s v="TRX-202501-0077"/>
    <x v="21"/>
    <s v="CUST008"/>
    <s v="PRD012"/>
    <n v="3"/>
    <n v="48000"/>
    <n v="144000"/>
    <n v="96000"/>
    <n v="48000"/>
  </r>
  <r>
    <s v="TRX-202501-0078"/>
    <x v="21"/>
    <s v="CUST007"/>
    <s v="PRD003"/>
    <n v="5"/>
    <n v="130000"/>
    <n v="650000"/>
    <n v="425000"/>
    <n v="225000"/>
  </r>
  <r>
    <s v="TRX-202501-0078"/>
    <x v="21"/>
    <s v="CUST007"/>
    <s v="PRD002"/>
    <n v="6"/>
    <n v="70000"/>
    <n v="420000"/>
    <n v="270000"/>
    <n v="150000"/>
  </r>
  <r>
    <s v="TRX-202501-0078"/>
    <x v="21"/>
    <s v="CUST007"/>
    <s v="PRD008"/>
    <n v="7"/>
    <n v="40000"/>
    <n v="280000"/>
    <n v="196000"/>
    <n v="84000"/>
  </r>
  <r>
    <s v="TRX-202501-0079"/>
    <x v="22"/>
    <s v="CUST001"/>
    <s v="PRD006"/>
    <n v="1"/>
    <n v="110000"/>
    <n v="110000"/>
    <n v="75000"/>
    <n v="35000"/>
  </r>
  <r>
    <s v="TRX-202501-0080"/>
    <x v="22"/>
    <s v="CUST005"/>
    <s v="PRD006"/>
    <n v="3"/>
    <n v="110000"/>
    <n v="330000"/>
    <n v="225000"/>
    <n v="105000"/>
  </r>
  <r>
    <s v="TRX-202501-0080"/>
    <x v="22"/>
    <s v="CUST005"/>
    <s v="PRD007"/>
    <n v="4"/>
    <n v="225000"/>
    <n v="900000"/>
    <n v="720000"/>
    <n v="180000"/>
  </r>
  <r>
    <s v="TRX-202501-0081"/>
    <x v="22"/>
    <s v="CUST007"/>
    <s v="PRD011"/>
    <n v="3"/>
    <n v="35000"/>
    <n v="105000"/>
    <n v="66000"/>
    <n v="39000"/>
  </r>
  <r>
    <s v="TRX-202501-0081"/>
    <x v="22"/>
    <s v="CUST007"/>
    <s v="PRD003"/>
    <n v="2"/>
    <n v="130000"/>
    <n v="260000"/>
    <n v="170000"/>
    <n v="90000"/>
  </r>
  <r>
    <s v="TRX-202501-0081"/>
    <x v="22"/>
    <s v="CUST007"/>
    <s v="PRD012"/>
    <n v="7"/>
    <n v="48000"/>
    <n v="336000"/>
    <n v="224000"/>
    <n v="112000"/>
  </r>
  <r>
    <s v="TRX-202501-0082"/>
    <x v="22"/>
    <s v="CUST004"/>
    <s v="PRD010"/>
    <n v="4"/>
    <n v="20000"/>
    <n v="80000"/>
    <n v="48000"/>
    <n v="32000"/>
  </r>
  <r>
    <s v="TRX-202501-0082"/>
    <x v="22"/>
    <s v="CUST004"/>
    <s v="PRD003"/>
    <n v="8"/>
    <n v="130000"/>
    <n v="1040000"/>
    <n v="680000"/>
    <n v="360000"/>
  </r>
  <r>
    <s v="TRX-202501-0083"/>
    <x v="23"/>
    <s v="CUST005"/>
    <s v="PRD011"/>
    <n v="7"/>
    <n v="35000"/>
    <n v="245000"/>
    <n v="154000"/>
    <n v="91000"/>
  </r>
  <r>
    <s v="TRX-202501-0084"/>
    <x v="23"/>
    <s v="CUST005"/>
    <s v="PRD010"/>
    <n v="1"/>
    <n v="20000"/>
    <n v="20000"/>
    <n v="12000"/>
    <n v="8000"/>
  </r>
  <r>
    <s v="TRX-202501-0085"/>
    <x v="23"/>
    <s v="CUST008"/>
    <s v="PRD004"/>
    <n v="6"/>
    <n v="105000"/>
    <n v="630000"/>
    <n v="420000"/>
    <n v="210000"/>
  </r>
  <r>
    <s v="TRX-202501-0085"/>
    <x v="23"/>
    <s v="CUST008"/>
    <s v="PRD010"/>
    <n v="4"/>
    <n v="20000"/>
    <n v="80000"/>
    <n v="48000"/>
    <n v="32000"/>
  </r>
  <r>
    <s v="TRX-202501-0086"/>
    <x v="23"/>
    <s v="CUST004"/>
    <s v="PRD005"/>
    <n v="2"/>
    <n v="105000"/>
    <n v="210000"/>
    <n v="140000"/>
    <n v="70000"/>
  </r>
  <r>
    <s v="TRX-202501-0086"/>
    <x v="23"/>
    <s v="CUST004"/>
    <s v="PRD011"/>
    <n v="1"/>
    <n v="35000"/>
    <n v="35000"/>
    <n v="22000"/>
    <n v="13000"/>
  </r>
  <r>
    <s v="TRX-202501-0086"/>
    <x v="23"/>
    <s v="CUST004"/>
    <s v="PRD003"/>
    <n v="5"/>
    <n v="130000"/>
    <n v="650000"/>
    <n v="425000"/>
    <n v="225000"/>
  </r>
  <r>
    <s v="TRX-202501-0087"/>
    <x v="24"/>
    <s v="CUST002"/>
    <s v="PRD004"/>
    <n v="7"/>
    <n v="105000"/>
    <n v="735000"/>
    <n v="490000"/>
    <n v="245000"/>
  </r>
  <r>
    <s v="TRX-202501-0088"/>
    <x v="24"/>
    <s v="CUST006"/>
    <s v="PRD007"/>
    <n v="1"/>
    <n v="225000"/>
    <n v="225000"/>
    <n v="180000"/>
    <n v="45000"/>
  </r>
  <r>
    <s v="TRX-202501-0089"/>
    <x v="24"/>
    <s v="CUST005"/>
    <s v="PRD002"/>
    <n v="5"/>
    <n v="70000"/>
    <n v="350000"/>
    <n v="225000"/>
    <n v="125000"/>
  </r>
  <r>
    <s v="TRX-202501-0089"/>
    <x v="24"/>
    <s v="CUST005"/>
    <s v="PRD008"/>
    <n v="7"/>
    <n v="40000"/>
    <n v="280000"/>
    <n v="196000"/>
    <n v="84000"/>
  </r>
  <r>
    <s v="TRX-202501-0089"/>
    <x v="24"/>
    <s v="CUST005"/>
    <s v="PRD006"/>
    <n v="6"/>
    <n v="110000"/>
    <n v="660000"/>
    <n v="450000"/>
    <n v="210000"/>
  </r>
  <r>
    <s v="TRX-202501-0090"/>
    <x v="24"/>
    <s v="CUST002"/>
    <s v="PRD004"/>
    <n v="6"/>
    <n v="105000"/>
    <n v="630000"/>
    <n v="420000"/>
    <n v="210000"/>
  </r>
  <r>
    <s v="TRX-202501-0090"/>
    <x v="24"/>
    <s v="CUST002"/>
    <s v="PRD008"/>
    <n v="4"/>
    <n v="40000"/>
    <n v="160000"/>
    <n v="112000"/>
    <n v="48000"/>
  </r>
  <r>
    <s v="TRX-202501-0090"/>
    <x v="24"/>
    <s v="CUST002"/>
    <s v="PRD001"/>
    <n v="2"/>
    <n v="175000"/>
    <n v="350000"/>
    <n v="240000"/>
    <n v="110000"/>
  </r>
  <r>
    <s v="TRX-202501-0091"/>
    <x v="24"/>
    <s v="CUST008"/>
    <s v="PRD005"/>
    <n v="2"/>
    <n v="105000"/>
    <n v="210000"/>
    <n v="140000"/>
    <n v="70000"/>
  </r>
  <r>
    <s v="TRX-202501-0091"/>
    <x v="24"/>
    <s v="CUST008"/>
    <s v="PRD011"/>
    <n v="3"/>
    <n v="35000"/>
    <n v="105000"/>
    <n v="66000"/>
    <n v="39000"/>
  </r>
  <r>
    <s v="TRX-202501-0091"/>
    <x v="24"/>
    <s v="CUST008"/>
    <s v="PRD007"/>
    <n v="1"/>
    <n v="225000"/>
    <n v="225000"/>
    <n v="180000"/>
    <n v="45000"/>
  </r>
  <r>
    <s v="TRX-202501-0092"/>
    <x v="25"/>
    <s v="CUST004"/>
    <s v="PRD002"/>
    <n v="6"/>
    <n v="70000"/>
    <n v="420000"/>
    <n v="270000"/>
    <n v="150000"/>
  </r>
  <r>
    <s v="TRX-202501-0092"/>
    <x v="25"/>
    <s v="CUST004"/>
    <s v="PRD011"/>
    <n v="6"/>
    <n v="35000"/>
    <n v="210000"/>
    <n v="132000"/>
    <n v="78000"/>
  </r>
  <r>
    <s v="TRX-202501-0093"/>
    <x v="25"/>
    <s v="CUST001"/>
    <s v="PRD005"/>
    <n v="2"/>
    <n v="105000"/>
    <n v="210000"/>
    <n v="140000"/>
    <n v="70000"/>
  </r>
  <r>
    <s v="TRX-202501-0093"/>
    <x v="25"/>
    <s v="CUST001"/>
    <s v="PRD004"/>
    <n v="8"/>
    <n v="105000"/>
    <n v="840000"/>
    <n v="560000"/>
    <n v="280000"/>
  </r>
  <r>
    <s v="TRX-202501-0094"/>
    <x v="25"/>
    <s v="CUST002"/>
    <s v="PRD004"/>
    <n v="1"/>
    <n v="105000"/>
    <n v="105000"/>
    <n v="70000"/>
    <n v="35000"/>
  </r>
  <r>
    <s v="TRX-202501-0094"/>
    <x v="25"/>
    <s v="CUST002"/>
    <s v="PRD011"/>
    <n v="1"/>
    <n v="35000"/>
    <n v="35000"/>
    <n v="22000"/>
    <n v="13000"/>
  </r>
  <r>
    <s v="TRX-202501-0094"/>
    <x v="25"/>
    <s v="CUST002"/>
    <s v="PRD010"/>
    <n v="6"/>
    <n v="20000"/>
    <n v="120000"/>
    <n v="72000"/>
    <n v="48000"/>
  </r>
  <r>
    <s v="TRX-202501-0095"/>
    <x v="25"/>
    <s v="CUST004"/>
    <s v="PRD010"/>
    <n v="4"/>
    <n v="20000"/>
    <n v="80000"/>
    <n v="48000"/>
    <n v="32000"/>
  </r>
  <r>
    <s v="TRX-202501-0096"/>
    <x v="25"/>
    <s v="CUST002"/>
    <s v="PRD004"/>
    <n v="4"/>
    <n v="105000"/>
    <n v="420000"/>
    <n v="280000"/>
    <n v="140000"/>
  </r>
  <r>
    <s v="TRX-202501-0096"/>
    <x v="25"/>
    <s v="CUST002"/>
    <s v="PRD010"/>
    <n v="6"/>
    <n v="20000"/>
    <n v="120000"/>
    <n v="72000"/>
    <n v="48000"/>
  </r>
  <r>
    <s v="TRX-202501-0096"/>
    <x v="25"/>
    <s v="CUST002"/>
    <s v="PRD012"/>
    <n v="3"/>
    <n v="48000"/>
    <n v="144000"/>
    <n v="96000"/>
    <n v="48000"/>
  </r>
  <r>
    <s v="TRX-202501-0097"/>
    <x v="26"/>
    <s v="CUST002"/>
    <s v="PRD009"/>
    <n v="1"/>
    <n v="52000"/>
    <n v="52000"/>
    <n v="35000"/>
    <n v="17000"/>
  </r>
  <r>
    <s v="TRX-202501-0097"/>
    <x v="26"/>
    <s v="CUST002"/>
    <s v="PRD004"/>
    <n v="5"/>
    <n v="105000"/>
    <n v="525000"/>
    <n v="350000"/>
    <n v="175000"/>
  </r>
  <r>
    <s v="TRX-202501-0098"/>
    <x v="26"/>
    <s v="CUST008"/>
    <s v="PRD001"/>
    <n v="7"/>
    <n v="175000"/>
    <n v="1225000"/>
    <n v="840000"/>
    <n v="385000"/>
  </r>
  <r>
    <s v="TRX-202501-0098"/>
    <x v="26"/>
    <s v="CUST008"/>
    <s v="PRD012"/>
    <n v="7"/>
    <n v="48000"/>
    <n v="336000"/>
    <n v="224000"/>
    <n v="112000"/>
  </r>
  <r>
    <s v="TRX-202501-0098"/>
    <x v="26"/>
    <s v="CUST008"/>
    <s v="PRD008"/>
    <n v="2"/>
    <n v="40000"/>
    <n v="80000"/>
    <n v="56000"/>
    <n v="24000"/>
  </r>
  <r>
    <s v="TRX-202501-0099"/>
    <x v="26"/>
    <s v="CUST008"/>
    <s v="PRD008"/>
    <n v="6"/>
    <n v="40000"/>
    <n v="240000"/>
    <n v="168000"/>
    <n v="72000"/>
  </r>
  <r>
    <s v="TRX-202501-0099"/>
    <x v="26"/>
    <s v="CUST008"/>
    <s v="PRD002"/>
    <n v="3"/>
    <n v="70000"/>
    <n v="210000"/>
    <n v="135000"/>
    <n v="75000"/>
  </r>
  <r>
    <s v="TRX-202501-0099"/>
    <x v="26"/>
    <s v="CUST008"/>
    <s v="PRD011"/>
    <n v="2"/>
    <n v="35000"/>
    <n v="70000"/>
    <n v="44000"/>
    <n v="26000"/>
  </r>
  <r>
    <s v="TRX-202501-0100"/>
    <x v="26"/>
    <s v="CUST003"/>
    <s v="PRD010"/>
    <n v="6"/>
    <n v="20000"/>
    <n v="120000"/>
    <n v="72000"/>
    <n v="48000"/>
  </r>
  <r>
    <s v="TRX-202501-0100"/>
    <x v="26"/>
    <s v="CUST003"/>
    <s v="PRD011"/>
    <n v="7"/>
    <n v="35000"/>
    <n v="245000"/>
    <n v="154000"/>
    <n v="91000"/>
  </r>
  <r>
    <s v="TRX-202501-0101"/>
    <x v="27"/>
    <s v="CUST008"/>
    <s v="PRD002"/>
    <n v="2"/>
    <n v="70000"/>
    <n v="140000"/>
    <n v="90000"/>
    <n v="50000"/>
  </r>
  <r>
    <s v="TRX-202501-0102"/>
    <x v="27"/>
    <s v="CUST002"/>
    <s v="PRD002"/>
    <n v="3"/>
    <n v="70000"/>
    <n v="210000"/>
    <n v="135000"/>
    <n v="75000"/>
  </r>
  <r>
    <s v="TRX-202501-0102"/>
    <x v="27"/>
    <s v="CUST002"/>
    <s v="PRD006"/>
    <n v="1"/>
    <n v="110000"/>
    <n v="110000"/>
    <n v="75000"/>
    <n v="35000"/>
  </r>
  <r>
    <s v="TRX-202501-0103"/>
    <x v="27"/>
    <s v="CUST006"/>
    <s v="PRD002"/>
    <n v="7"/>
    <n v="70000"/>
    <n v="490000"/>
    <n v="315000"/>
    <n v="175000"/>
  </r>
  <r>
    <s v="TRX-202501-0103"/>
    <x v="27"/>
    <s v="CUST006"/>
    <s v="PRD007"/>
    <n v="1"/>
    <n v="225000"/>
    <n v="225000"/>
    <n v="180000"/>
    <n v="45000"/>
  </r>
  <r>
    <s v="TRX-202501-0103"/>
    <x v="27"/>
    <s v="CUST006"/>
    <s v="PRD006"/>
    <n v="5"/>
    <n v="110000"/>
    <n v="550000"/>
    <n v="375000"/>
    <n v="175000"/>
  </r>
  <r>
    <s v="TRX-202501-0104"/>
    <x v="28"/>
    <s v="CUST005"/>
    <s v="PRD005"/>
    <n v="1"/>
    <n v="105000"/>
    <n v="105000"/>
    <n v="70000"/>
    <n v="35000"/>
  </r>
  <r>
    <s v="TRX-202501-0104"/>
    <x v="28"/>
    <s v="CUST005"/>
    <s v="PRD006"/>
    <n v="3"/>
    <n v="110000"/>
    <n v="330000"/>
    <n v="225000"/>
    <n v="105000"/>
  </r>
  <r>
    <s v="TRX-202501-0104"/>
    <x v="28"/>
    <s v="CUST005"/>
    <s v="PRD011"/>
    <n v="3"/>
    <n v="35000"/>
    <n v="105000"/>
    <n v="66000"/>
    <n v="39000"/>
  </r>
  <r>
    <s v="TRX-202501-0105"/>
    <x v="28"/>
    <s v="CUST007"/>
    <s v="PRD003"/>
    <n v="1"/>
    <n v="130000"/>
    <n v="130000"/>
    <n v="85000"/>
    <n v="45000"/>
  </r>
  <r>
    <s v="TRX-202501-0106"/>
    <x v="28"/>
    <s v="CUST002"/>
    <s v="PRD009"/>
    <n v="7"/>
    <n v="52000"/>
    <n v="364000"/>
    <n v="245000"/>
    <n v="119000"/>
  </r>
  <r>
    <s v="TRX-202501-0106"/>
    <x v="28"/>
    <s v="CUST002"/>
    <s v="PRD004"/>
    <n v="8"/>
    <n v="105000"/>
    <n v="840000"/>
    <n v="560000"/>
    <n v="280000"/>
  </r>
  <r>
    <s v="TRX-202501-0106"/>
    <x v="28"/>
    <s v="CUST002"/>
    <s v="PRD007"/>
    <n v="6"/>
    <n v="225000"/>
    <n v="1350000"/>
    <n v="1080000"/>
    <n v="270000"/>
  </r>
  <r>
    <s v="TRX-202501-0107"/>
    <x v="29"/>
    <s v="CUST005"/>
    <s v="PRD004"/>
    <n v="7"/>
    <n v="105000"/>
    <n v="735000"/>
    <n v="490000"/>
    <n v="245000"/>
  </r>
  <r>
    <s v="TRX-202501-0108"/>
    <x v="29"/>
    <s v="CUST001"/>
    <s v="PRD004"/>
    <n v="5"/>
    <n v="105000"/>
    <n v="525000"/>
    <n v="350000"/>
    <n v="175000"/>
  </r>
  <r>
    <s v="TRX-202501-0109"/>
    <x v="29"/>
    <s v="CUST004"/>
    <s v="PRD005"/>
    <n v="5"/>
    <n v="105000"/>
    <n v="525000"/>
    <n v="350000"/>
    <n v="175000"/>
  </r>
  <r>
    <s v="TRX-202501-0110"/>
    <x v="29"/>
    <s v="CUST006"/>
    <s v="PRD001"/>
    <n v="8"/>
    <n v="175000"/>
    <n v="1400000"/>
    <n v="960000"/>
    <n v="440000"/>
  </r>
  <r>
    <s v="TRX-202501-0111"/>
    <x v="29"/>
    <s v="CUST007"/>
    <s v="PRD003"/>
    <n v="7"/>
    <n v="130000"/>
    <n v="910000"/>
    <n v="595000"/>
    <n v="315000"/>
  </r>
  <r>
    <s v="TRX-202501-0112"/>
    <x v="30"/>
    <s v="CUST006"/>
    <s v="PRD007"/>
    <n v="2"/>
    <n v="225000"/>
    <n v="450000"/>
    <n v="360000"/>
    <n v="90000"/>
  </r>
  <r>
    <s v="TRX-202501-0113"/>
    <x v="30"/>
    <s v="CUST004"/>
    <s v="PRD010"/>
    <n v="2"/>
    <n v="20000"/>
    <n v="40000"/>
    <n v="24000"/>
    <n v="16000"/>
  </r>
  <r>
    <s v="TRX-202501-0113"/>
    <x v="30"/>
    <s v="CUST004"/>
    <s v="PRD007"/>
    <n v="7"/>
    <n v="225000"/>
    <n v="1575000"/>
    <n v="1260000"/>
    <n v="315000"/>
  </r>
  <r>
    <s v="TRX-202501-0114"/>
    <x v="30"/>
    <s v="CUST005"/>
    <s v="PRD006"/>
    <n v="3"/>
    <n v="110000"/>
    <n v="330000"/>
    <n v="225000"/>
    <n v="105000"/>
  </r>
  <r>
    <s v="TRX-202501-0114"/>
    <x v="30"/>
    <s v="CUST005"/>
    <s v="PRD004"/>
    <n v="2"/>
    <n v="105000"/>
    <n v="210000"/>
    <n v="140000"/>
    <n v="70000"/>
  </r>
  <r>
    <s v="TRX-202501-0114"/>
    <x v="30"/>
    <s v="CUST005"/>
    <s v="PRD012"/>
    <n v="2"/>
    <n v="48000"/>
    <n v="96000"/>
    <n v="64000"/>
    <n v="32000"/>
  </r>
  <r>
    <s v="TRX-202501-0115"/>
    <x v="30"/>
    <s v="CUST004"/>
    <s v="PRD006"/>
    <n v="3"/>
    <n v="110000"/>
    <n v="330000"/>
    <n v="225000"/>
    <n v="105000"/>
  </r>
  <r>
    <s v="TRX-202501-0115"/>
    <x v="30"/>
    <s v="CUST004"/>
    <s v="PRD011"/>
    <n v="4"/>
    <n v="35000"/>
    <n v="140000"/>
    <n v="88000"/>
    <n v="52000"/>
  </r>
  <r>
    <s v="TRX-202501-0116"/>
    <x v="30"/>
    <s v="CUST002"/>
    <s v="PRD005"/>
    <n v="4"/>
    <n v="105000"/>
    <n v="420000"/>
    <n v="280000"/>
    <n v="140000"/>
  </r>
  <r>
    <s v="TRX-202502-0117"/>
    <x v="31"/>
    <s v="CUST008"/>
    <s v="PRD001"/>
    <n v="6"/>
    <n v="175000"/>
    <n v="1050000"/>
    <n v="720000"/>
    <n v="330000"/>
  </r>
  <r>
    <s v="TRX-202502-0117"/>
    <x v="31"/>
    <s v="CUST008"/>
    <s v="PRD012"/>
    <n v="5"/>
    <n v="48000"/>
    <n v="240000"/>
    <n v="160000"/>
    <n v="80000"/>
  </r>
  <r>
    <s v="TRX-202502-0118"/>
    <x v="31"/>
    <s v="CUST002"/>
    <s v="PRD002"/>
    <n v="7"/>
    <n v="70000"/>
    <n v="490000"/>
    <n v="315000"/>
    <n v="175000"/>
  </r>
  <r>
    <s v="TRX-202502-0118"/>
    <x v="31"/>
    <s v="CUST002"/>
    <s v="PRD010"/>
    <n v="8"/>
    <n v="20000"/>
    <n v="160000"/>
    <n v="96000"/>
    <n v="64000"/>
  </r>
  <r>
    <s v="TRX-202502-0118"/>
    <x v="31"/>
    <s v="CUST002"/>
    <s v="PRD011"/>
    <n v="1"/>
    <n v="35000"/>
    <n v="35000"/>
    <n v="22000"/>
    <n v="13000"/>
  </r>
  <r>
    <s v="TRX-202502-0119"/>
    <x v="31"/>
    <s v="CUST008"/>
    <s v="PRD011"/>
    <n v="8"/>
    <n v="35000"/>
    <n v="280000"/>
    <n v="176000"/>
    <n v="104000"/>
  </r>
  <r>
    <s v="TRX-202502-0119"/>
    <x v="31"/>
    <s v="CUST008"/>
    <s v="PRD004"/>
    <n v="3"/>
    <n v="105000"/>
    <n v="315000"/>
    <n v="210000"/>
    <n v="105000"/>
  </r>
  <r>
    <s v="TRX-202502-0119"/>
    <x v="31"/>
    <s v="CUST008"/>
    <s v="PRD006"/>
    <n v="1"/>
    <n v="110000"/>
    <n v="110000"/>
    <n v="75000"/>
    <n v="35000"/>
  </r>
  <r>
    <s v="TRX-202502-0120"/>
    <x v="31"/>
    <s v="CUST008"/>
    <s v="PRD006"/>
    <n v="2"/>
    <n v="110000"/>
    <n v="220000"/>
    <n v="150000"/>
    <n v="70000"/>
  </r>
  <r>
    <s v="TRX-202502-0121"/>
    <x v="32"/>
    <s v="CUST006"/>
    <s v="PRD010"/>
    <n v="3"/>
    <n v="20000"/>
    <n v="60000"/>
    <n v="36000"/>
    <n v="24000"/>
  </r>
  <r>
    <s v="TRX-202502-0122"/>
    <x v="32"/>
    <s v="CUST006"/>
    <s v="PRD011"/>
    <n v="7"/>
    <n v="35000"/>
    <n v="245000"/>
    <n v="154000"/>
    <n v="91000"/>
  </r>
  <r>
    <s v="TRX-202502-0122"/>
    <x v="32"/>
    <s v="CUST006"/>
    <s v="PRD012"/>
    <n v="3"/>
    <n v="48000"/>
    <n v="144000"/>
    <n v="96000"/>
    <n v="48000"/>
  </r>
  <r>
    <s v="TRX-202502-0123"/>
    <x v="32"/>
    <s v="CUST002"/>
    <s v="PRD009"/>
    <n v="6"/>
    <n v="52000"/>
    <n v="312000"/>
    <n v="210000"/>
    <n v="102000"/>
  </r>
  <r>
    <s v="TRX-202502-0123"/>
    <x v="32"/>
    <s v="CUST002"/>
    <s v="PRD007"/>
    <n v="3"/>
    <n v="225000"/>
    <n v="675000"/>
    <n v="540000"/>
    <n v="135000"/>
  </r>
  <r>
    <s v="TRX-202502-0124"/>
    <x v="33"/>
    <s v="CUST006"/>
    <s v="PRD003"/>
    <n v="3"/>
    <n v="130000"/>
    <n v="390000"/>
    <n v="255000"/>
    <n v="135000"/>
  </r>
  <r>
    <s v="TRX-202502-0124"/>
    <x v="33"/>
    <s v="CUST006"/>
    <s v="PRD010"/>
    <n v="3"/>
    <n v="20000"/>
    <n v="60000"/>
    <n v="36000"/>
    <n v="24000"/>
  </r>
  <r>
    <s v="TRX-202502-0124"/>
    <x v="33"/>
    <s v="CUST006"/>
    <s v="PRD007"/>
    <n v="3"/>
    <n v="225000"/>
    <n v="675000"/>
    <n v="540000"/>
    <n v="135000"/>
  </r>
  <r>
    <s v="TRX-202502-0125"/>
    <x v="33"/>
    <s v="CUST003"/>
    <s v="PRD008"/>
    <n v="6"/>
    <n v="40000"/>
    <n v="240000"/>
    <n v="168000"/>
    <n v="72000"/>
  </r>
  <r>
    <s v="TRX-202502-0125"/>
    <x v="33"/>
    <s v="CUST003"/>
    <s v="PRD001"/>
    <n v="4"/>
    <n v="175000"/>
    <n v="700000"/>
    <n v="480000"/>
    <n v="220000"/>
  </r>
  <r>
    <s v="TRX-202502-0125"/>
    <x v="33"/>
    <s v="CUST003"/>
    <s v="PRD007"/>
    <n v="8"/>
    <n v="225000"/>
    <n v="1800000"/>
    <n v="1440000"/>
    <n v="360000"/>
  </r>
  <r>
    <s v="TRX-202502-0126"/>
    <x v="34"/>
    <s v="CUST008"/>
    <s v="PRD009"/>
    <n v="2"/>
    <n v="52000"/>
    <n v="104000"/>
    <n v="70000"/>
    <n v="34000"/>
  </r>
  <r>
    <s v="TRX-202502-0126"/>
    <x v="34"/>
    <s v="CUST008"/>
    <s v="PRD002"/>
    <n v="5"/>
    <n v="70000"/>
    <n v="350000"/>
    <n v="225000"/>
    <n v="125000"/>
  </r>
  <r>
    <s v="TRX-202502-0127"/>
    <x v="34"/>
    <s v="CUST002"/>
    <s v="PRD005"/>
    <n v="8"/>
    <n v="105000"/>
    <n v="840000"/>
    <n v="560000"/>
    <n v="280000"/>
  </r>
  <r>
    <s v="TRX-202502-0128"/>
    <x v="35"/>
    <s v="CUST003"/>
    <s v="PRD008"/>
    <n v="1"/>
    <n v="40000"/>
    <n v="40000"/>
    <n v="28000"/>
    <n v="12000"/>
  </r>
  <r>
    <s v="TRX-202502-0128"/>
    <x v="35"/>
    <s v="CUST003"/>
    <s v="PRD012"/>
    <n v="2"/>
    <n v="48000"/>
    <n v="96000"/>
    <n v="64000"/>
    <n v="32000"/>
  </r>
  <r>
    <s v="TRX-202502-0128"/>
    <x v="35"/>
    <s v="CUST003"/>
    <s v="PRD010"/>
    <n v="1"/>
    <n v="20000"/>
    <n v="20000"/>
    <n v="12000"/>
    <n v="8000"/>
  </r>
  <r>
    <s v="TRX-202502-0129"/>
    <x v="35"/>
    <s v="CUST005"/>
    <s v="PRD003"/>
    <n v="7"/>
    <n v="130000"/>
    <n v="910000"/>
    <n v="595000"/>
    <n v="315000"/>
  </r>
  <r>
    <s v="TRX-202502-0130"/>
    <x v="35"/>
    <s v="CUST002"/>
    <s v="PRD004"/>
    <n v="2"/>
    <n v="105000"/>
    <n v="210000"/>
    <n v="140000"/>
    <n v="70000"/>
  </r>
  <r>
    <s v="TRX-202502-0130"/>
    <x v="35"/>
    <s v="CUST002"/>
    <s v="PRD005"/>
    <n v="1"/>
    <n v="105000"/>
    <n v="105000"/>
    <n v="70000"/>
    <n v="35000"/>
  </r>
  <r>
    <s v="TRX-202502-0131"/>
    <x v="35"/>
    <s v="CUST004"/>
    <s v="PRD011"/>
    <n v="8"/>
    <n v="35000"/>
    <n v="280000"/>
    <n v="176000"/>
    <n v="104000"/>
  </r>
  <r>
    <s v="TRX-202502-0131"/>
    <x v="35"/>
    <s v="CUST004"/>
    <s v="PRD010"/>
    <n v="2"/>
    <n v="20000"/>
    <n v="40000"/>
    <n v="24000"/>
    <n v="16000"/>
  </r>
  <r>
    <s v="TRX-202502-0132"/>
    <x v="35"/>
    <s v="CUST002"/>
    <s v="PRD010"/>
    <n v="1"/>
    <n v="20000"/>
    <n v="20000"/>
    <n v="12000"/>
    <n v="8000"/>
  </r>
  <r>
    <s v="TRX-202502-0132"/>
    <x v="35"/>
    <s v="CUST002"/>
    <s v="PRD009"/>
    <n v="4"/>
    <n v="52000"/>
    <n v="208000"/>
    <n v="140000"/>
    <n v="68000"/>
  </r>
  <r>
    <s v="TRX-202502-0133"/>
    <x v="36"/>
    <s v="CUST006"/>
    <s v="PRD012"/>
    <n v="2"/>
    <n v="48000"/>
    <n v="96000"/>
    <n v="64000"/>
    <n v="32000"/>
  </r>
  <r>
    <s v="TRX-202502-0134"/>
    <x v="36"/>
    <s v="CUST006"/>
    <s v="PRD001"/>
    <n v="6"/>
    <n v="175000"/>
    <n v="1050000"/>
    <n v="720000"/>
    <n v="330000"/>
  </r>
  <r>
    <s v="TRX-202502-0135"/>
    <x v="37"/>
    <s v="CUST004"/>
    <s v="PRD006"/>
    <n v="6"/>
    <n v="110000"/>
    <n v="660000"/>
    <n v="450000"/>
    <n v="210000"/>
  </r>
  <r>
    <s v="TRX-202502-0135"/>
    <x v="37"/>
    <s v="CUST004"/>
    <s v="PRD001"/>
    <n v="5"/>
    <n v="175000"/>
    <n v="875000"/>
    <n v="600000"/>
    <n v="275000"/>
  </r>
  <r>
    <s v="TRX-202502-0136"/>
    <x v="37"/>
    <s v="CUST002"/>
    <s v="PRD007"/>
    <n v="8"/>
    <n v="225000"/>
    <n v="1800000"/>
    <n v="1440000"/>
    <n v="360000"/>
  </r>
  <r>
    <s v="TRX-202502-0136"/>
    <x v="37"/>
    <s v="CUST002"/>
    <s v="PRD012"/>
    <n v="7"/>
    <n v="48000"/>
    <n v="336000"/>
    <n v="224000"/>
    <n v="112000"/>
  </r>
  <r>
    <s v="TRX-202502-0137"/>
    <x v="38"/>
    <s v="CUST001"/>
    <s v="PRD006"/>
    <n v="5"/>
    <n v="110000"/>
    <n v="550000"/>
    <n v="375000"/>
    <n v="175000"/>
  </r>
  <r>
    <s v="TRX-202502-0137"/>
    <x v="38"/>
    <s v="CUST001"/>
    <s v="PRD010"/>
    <n v="1"/>
    <n v="20000"/>
    <n v="20000"/>
    <n v="12000"/>
    <n v="8000"/>
  </r>
  <r>
    <s v="TRX-202502-0137"/>
    <x v="38"/>
    <s v="CUST001"/>
    <s v="PRD007"/>
    <n v="2"/>
    <n v="225000"/>
    <n v="450000"/>
    <n v="360000"/>
    <n v="90000"/>
  </r>
  <r>
    <s v="TRX-202502-0138"/>
    <x v="38"/>
    <s v="CUST007"/>
    <s v="PRD009"/>
    <n v="3"/>
    <n v="52000"/>
    <n v="156000"/>
    <n v="105000"/>
    <n v="51000"/>
  </r>
  <r>
    <s v="TRX-202502-0138"/>
    <x v="38"/>
    <s v="CUST007"/>
    <s v="PRD011"/>
    <n v="1"/>
    <n v="35000"/>
    <n v="35000"/>
    <n v="22000"/>
    <n v="13000"/>
  </r>
  <r>
    <s v="TRX-202502-0139"/>
    <x v="38"/>
    <s v="CUST003"/>
    <s v="PRD011"/>
    <n v="3"/>
    <n v="35000"/>
    <n v="105000"/>
    <n v="66000"/>
    <n v="39000"/>
  </r>
  <r>
    <s v="TRX-202502-0139"/>
    <x v="38"/>
    <s v="CUST003"/>
    <s v="PRD008"/>
    <n v="2"/>
    <n v="40000"/>
    <n v="80000"/>
    <n v="56000"/>
    <n v="24000"/>
  </r>
  <r>
    <s v="TRX-202502-0139"/>
    <x v="38"/>
    <s v="CUST003"/>
    <s v="PRD001"/>
    <n v="4"/>
    <n v="175000"/>
    <n v="700000"/>
    <n v="480000"/>
    <n v="220000"/>
  </r>
  <r>
    <s v="TRX-202502-0140"/>
    <x v="38"/>
    <s v="CUST006"/>
    <s v="PRD007"/>
    <n v="1"/>
    <n v="225000"/>
    <n v="225000"/>
    <n v="180000"/>
    <n v="45000"/>
  </r>
  <r>
    <s v="TRX-202502-0140"/>
    <x v="38"/>
    <s v="CUST006"/>
    <s v="PRD010"/>
    <n v="3"/>
    <n v="20000"/>
    <n v="60000"/>
    <n v="36000"/>
    <n v="24000"/>
  </r>
  <r>
    <s v="TRX-202502-0141"/>
    <x v="38"/>
    <s v="CUST008"/>
    <s v="PRD006"/>
    <n v="2"/>
    <n v="110000"/>
    <n v="220000"/>
    <n v="150000"/>
    <n v="70000"/>
  </r>
  <r>
    <s v="TRX-202502-0141"/>
    <x v="38"/>
    <s v="CUST008"/>
    <s v="PRD008"/>
    <n v="3"/>
    <n v="40000"/>
    <n v="120000"/>
    <n v="84000"/>
    <n v="36000"/>
  </r>
  <r>
    <s v="TRX-202502-0142"/>
    <x v="39"/>
    <s v="CUST002"/>
    <s v="PRD006"/>
    <n v="2"/>
    <n v="110000"/>
    <n v="220000"/>
    <n v="150000"/>
    <n v="70000"/>
  </r>
  <r>
    <s v="TRX-202502-0142"/>
    <x v="39"/>
    <s v="CUST002"/>
    <s v="PRD011"/>
    <n v="5"/>
    <n v="35000"/>
    <n v="175000"/>
    <n v="110000"/>
    <n v="65000"/>
  </r>
  <r>
    <s v="TRX-202502-0142"/>
    <x v="39"/>
    <s v="CUST002"/>
    <s v="PRD012"/>
    <n v="5"/>
    <n v="48000"/>
    <n v="240000"/>
    <n v="160000"/>
    <n v="80000"/>
  </r>
  <r>
    <s v="TRX-202502-0143"/>
    <x v="39"/>
    <s v="CUST003"/>
    <s v="PRD012"/>
    <n v="6"/>
    <n v="48000"/>
    <n v="288000"/>
    <n v="192000"/>
    <n v="96000"/>
  </r>
  <r>
    <s v="TRX-202502-0143"/>
    <x v="39"/>
    <s v="CUST003"/>
    <s v="PRD011"/>
    <n v="4"/>
    <n v="35000"/>
    <n v="140000"/>
    <n v="88000"/>
    <n v="52000"/>
  </r>
  <r>
    <s v="TRX-202502-0143"/>
    <x v="39"/>
    <s v="CUST003"/>
    <s v="PRD003"/>
    <n v="2"/>
    <n v="130000"/>
    <n v="260000"/>
    <n v="170000"/>
    <n v="90000"/>
  </r>
  <r>
    <s v="TRX-202502-0144"/>
    <x v="39"/>
    <s v="CUST004"/>
    <s v="PRD004"/>
    <n v="8"/>
    <n v="105000"/>
    <n v="840000"/>
    <n v="560000"/>
    <n v="280000"/>
  </r>
  <r>
    <s v="TRX-202502-0145"/>
    <x v="39"/>
    <s v="CUST001"/>
    <s v="PRD009"/>
    <n v="6"/>
    <n v="52000"/>
    <n v="312000"/>
    <n v="210000"/>
    <n v="102000"/>
  </r>
  <r>
    <s v="TRX-202502-0145"/>
    <x v="39"/>
    <s v="CUST001"/>
    <s v="PRD010"/>
    <n v="8"/>
    <n v="20000"/>
    <n v="160000"/>
    <n v="96000"/>
    <n v="64000"/>
  </r>
  <r>
    <s v="TRX-202502-0146"/>
    <x v="39"/>
    <s v="CUST003"/>
    <s v="PRD002"/>
    <n v="7"/>
    <n v="70000"/>
    <n v="490000"/>
    <n v="315000"/>
    <n v="175000"/>
  </r>
  <r>
    <s v="TRX-202502-0146"/>
    <x v="39"/>
    <s v="CUST003"/>
    <s v="PRD012"/>
    <n v="8"/>
    <n v="48000"/>
    <n v="384000"/>
    <n v="256000"/>
    <n v="128000"/>
  </r>
  <r>
    <s v="TRX-202502-0146"/>
    <x v="39"/>
    <s v="CUST003"/>
    <s v="PRD005"/>
    <n v="7"/>
    <n v="105000"/>
    <n v="735000"/>
    <n v="490000"/>
    <n v="245000"/>
  </r>
  <r>
    <s v="TRX-202502-0147"/>
    <x v="40"/>
    <s v="CUST005"/>
    <s v="PRD005"/>
    <n v="4"/>
    <n v="105000"/>
    <n v="420000"/>
    <n v="280000"/>
    <n v="140000"/>
  </r>
  <r>
    <s v="TRX-202502-0148"/>
    <x v="40"/>
    <s v="CUST005"/>
    <s v="PRD011"/>
    <n v="5"/>
    <n v="35000"/>
    <n v="175000"/>
    <n v="110000"/>
    <n v="65000"/>
  </r>
  <r>
    <s v="TRX-202502-0149"/>
    <x v="40"/>
    <s v="CUST002"/>
    <s v="PRD011"/>
    <n v="3"/>
    <n v="35000"/>
    <n v="105000"/>
    <n v="66000"/>
    <n v="39000"/>
  </r>
  <r>
    <s v="TRX-202502-0149"/>
    <x v="40"/>
    <s v="CUST002"/>
    <s v="PRD003"/>
    <n v="3"/>
    <n v="130000"/>
    <n v="390000"/>
    <n v="255000"/>
    <n v="135000"/>
  </r>
  <r>
    <s v="TRX-202502-0149"/>
    <x v="40"/>
    <s v="CUST002"/>
    <s v="PRD010"/>
    <n v="6"/>
    <n v="20000"/>
    <n v="120000"/>
    <n v="72000"/>
    <n v="48000"/>
  </r>
  <r>
    <s v="TRX-202502-0150"/>
    <x v="40"/>
    <s v="CUST001"/>
    <s v="PRD002"/>
    <n v="1"/>
    <n v="70000"/>
    <n v="70000"/>
    <n v="45000"/>
    <n v="25000"/>
  </r>
  <r>
    <s v="TRX-202502-0151"/>
    <x v="41"/>
    <s v="CUST006"/>
    <s v="PRD006"/>
    <n v="3"/>
    <n v="110000"/>
    <n v="330000"/>
    <n v="225000"/>
    <n v="105000"/>
  </r>
  <r>
    <s v="TRX-202502-0151"/>
    <x v="41"/>
    <s v="CUST006"/>
    <s v="PRD012"/>
    <n v="6"/>
    <n v="48000"/>
    <n v="288000"/>
    <n v="192000"/>
    <n v="96000"/>
  </r>
  <r>
    <s v="TRX-202502-0151"/>
    <x v="41"/>
    <s v="CUST006"/>
    <s v="PRD007"/>
    <n v="2"/>
    <n v="225000"/>
    <n v="450000"/>
    <n v="360000"/>
    <n v="90000"/>
  </r>
  <r>
    <s v="TRX-202502-0152"/>
    <x v="41"/>
    <s v="CUST006"/>
    <s v="PRD008"/>
    <n v="2"/>
    <n v="40000"/>
    <n v="80000"/>
    <n v="56000"/>
    <n v="24000"/>
  </r>
  <r>
    <s v="TRX-202502-0153"/>
    <x v="41"/>
    <s v="CUST005"/>
    <s v="PRD004"/>
    <n v="2"/>
    <n v="105000"/>
    <n v="210000"/>
    <n v="140000"/>
    <n v="70000"/>
  </r>
  <r>
    <s v="TRX-202502-0153"/>
    <x v="41"/>
    <s v="CUST005"/>
    <s v="PRD003"/>
    <n v="1"/>
    <n v="130000"/>
    <n v="130000"/>
    <n v="85000"/>
    <n v="45000"/>
  </r>
  <r>
    <s v="TRX-202502-0154"/>
    <x v="42"/>
    <s v="CUST008"/>
    <s v="PRD011"/>
    <n v="5"/>
    <n v="35000"/>
    <n v="175000"/>
    <n v="110000"/>
    <n v="65000"/>
  </r>
  <r>
    <s v="TRX-202502-0154"/>
    <x v="42"/>
    <s v="CUST008"/>
    <s v="PRD012"/>
    <n v="1"/>
    <n v="48000"/>
    <n v="48000"/>
    <n v="32000"/>
    <n v="16000"/>
  </r>
  <r>
    <s v="TRX-202502-0154"/>
    <x v="42"/>
    <s v="CUST008"/>
    <s v="PRD008"/>
    <n v="2"/>
    <n v="40000"/>
    <n v="80000"/>
    <n v="56000"/>
    <n v="24000"/>
  </r>
  <r>
    <s v="TRX-202502-0155"/>
    <x v="42"/>
    <s v="CUST007"/>
    <s v="PRD005"/>
    <n v="6"/>
    <n v="105000"/>
    <n v="630000"/>
    <n v="420000"/>
    <n v="210000"/>
  </r>
  <r>
    <s v="TRX-202502-0156"/>
    <x v="42"/>
    <s v="CUST007"/>
    <s v="PRD001"/>
    <n v="1"/>
    <n v="175000"/>
    <n v="175000"/>
    <n v="120000"/>
    <n v="55000"/>
  </r>
  <r>
    <s v="TRX-202502-0156"/>
    <x v="42"/>
    <s v="CUST007"/>
    <s v="PRD007"/>
    <n v="4"/>
    <n v="225000"/>
    <n v="900000"/>
    <n v="720000"/>
    <n v="180000"/>
  </r>
  <r>
    <s v="TRX-202502-0157"/>
    <x v="42"/>
    <s v="CUST006"/>
    <s v="PRD005"/>
    <n v="8"/>
    <n v="105000"/>
    <n v="840000"/>
    <n v="560000"/>
    <n v="280000"/>
  </r>
  <r>
    <s v="TRX-202502-0157"/>
    <x v="42"/>
    <s v="CUST006"/>
    <s v="PRD002"/>
    <n v="5"/>
    <n v="70000"/>
    <n v="350000"/>
    <n v="225000"/>
    <n v="125000"/>
  </r>
  <r>
    <s v="TRX-202502-0157"/>
    <x v="42"/>
    <s v="CUST006"/>
    <s v="PRD007"/>
    <n v="2"/>
    <n v="225000"/>
    <n v="450000"/>
    <n v="360000"/>
    <n v="90000"/>
  </r>
  <r>
    <s v="TRX-202502-0158"/>
    <x v="43"/>
    <s v="CUST005"/>
    <s v="PRD006"/>
    <n v="8"/>
    <n v="110000"/>
    <n v="880000"/>
    <n v="600000"/>
    <n v="280000"/>
  </r>
  <r>
    <s v="TRX-202502-0158"/>
    <x v="43"/>
    <s v="CUST005"/>
    <s v="PRD009"/>
    <n v="5"/>
    <n v="52000"/>
    <n v="260000"/>
    <n v="175000"/>
    <n v="85000"/>
  </r>
  <r>
    <s v="TRX-202502-0158"/>
    <x v="43"/>
    <s v="CUST005"/>
    <s v="PRD011"/>
    <n v="8"/>
    <n v="35000"/>
    <n v="280000"/>
    <n v="176000"/>
    <n v="104000"/>
  </r>
  <r>
    <s v="TRX-202502-0159"/>
    <x v="43"/>
    <s v="CUST001"/>
    <s v="PRD006"/>
    <n v="2"/>
    <n v="110000"/>
    <n v="220000"/>
    <n v="150000"/>
    <n v="70000"/>
  </r>
  <r>
    <s v="TRX-202502-0159"/>
    <x v="43"/>
    <s v="CUST001"/>
    <s v="PRD011"/>
    <n v="7"/>
    <n v="35000"/>
    <n v="245000"/>
    <n v="154000"/>
    <n v="91000"/>
  </r>
  <r>
    <s v="TRX-202502-0160"/>
    <x v="43"/>
    <s v="CUST005"/>
    <s v="PRD012"/>
    <n v="8"/>
    <n v="48000"/>
    <n v="384000"/>
    <n v="256000"/>
    <n v="128000"/>
  </r>
  <r>
    <s v="TRX-202502-0160"/>
    <x v="43"/>
    <s v="CUST005"/>
    <s v="PRD011"/>
    <n v="5"/>
    <n v="35000"/>
    <n v="175000"/>
    <n v="110000"/>
    <n v="65000"/>
  </r>
  <r>
    <s v="TRX-202502-0160"/>
    <x v="43"/>
    <s v="CUST005"/>
    <s v="PRD001"/>
    <n v="4"/>
    <n v="175000"/>
    <n v="700000"/>
    <n v="480000"/>
    <n v="220000"/>
  </r>
  <r>
    <s v="TRX-202502-0161"/>
    <x v="43"/>
    <s v="CUST001"/>
    <s v="PRD008"/>
    <n v="7"/>
    <n v="40000"/>
    <n v="280000"/>
    <n v="196000"/>
    <n v="84000"/>
  </r>
  <r>
    <s v="TRX-202502-0161"/>
    <x v="43"/>
    <s v="CUST001"/>
    <s v="PRD003"/>
    <n v="3"/>
    <n v="130000"/>
    <n v="390000"/>
    <n v="255000"/>
    <n v="135000"/>
  </r>
  <r>
    <s v="TRX-202502-0161"/>
    <x v="43"/>
    <s v="CUST001"/>
    <s v="PRD009"/>
    <n v="4"/>
    <n v="52000"/>
    <n v="208000"/>
    <n v="140000"/>
    <n v="68000"/>
  </r>
  <r>
    <s v="TRX-202502-0162"/>
    <x v="43"/>
    <s v="CUST001"/>
    <s v="PRD012"/>
    <n v="1"/>
    <n v="48000"/>
    <n v="48000"/>
    <n v="32000"/>
    <n v="16000"/>
  </r>
  <r>
    <s v="TRX-202502-0162"/>
    <x v="43"/>
    <s v="CUST001"/>
    <s v="PRD002"/>
    <n v="8"/>
    <n v="70000"/>
    <n v="560000"/>
    <n v="360000"/>
    <n v="200000"/>
  </r>
  <r>
    <s v="TRX-202502-0162"/>
    <x v="43"/>
    <s v="CUST001"/>
    <s v="PRD004"/>
    <n v="6"/>
    <n v="105000"/>
    <n v="630000"/>
    <n v="420000"/>
    <n v="210000"/>
  </r>
  <r>
    <s v="TRX-202502-0163"/>
    <x v="44"/>
    <s v="CUST008"/>
    <s v="PRD004"/>
    <n v="5"/>
    <n v="105000"/>
    <n v="525000"/>
    <n v="350000"/>
    <n v="175000"/>
  </r>
  <r>
    <s v="TRX-202502-0164"/>
    <x v="44"/>
    <s v="CUST005"/>
    <s v="PRD005"/>
    <n v="5"/>
    <n v="105000"/>
    <n v="525000"/>
    <n v="350000"/>
    <n v="175000"/>
  </r>
  <r>
    <s v="TRX-202502-0165"/>
    <x v="44"/>
    <s v="CUST004"/>
    <s v="PRD012"/>
    <n v="8"/>
    <n v="48000"/>
    <n v="384000"/>
    <n v="256000"/>
    <n v="128000"/>
  </r>
  <r>
    <s v="TRX-202502-0165"/>
    <x v="44"/>
    <s v="CUST004"/>
    <s v="PRD008"/>
    <n v="6"/>
    <n v="40000"/>
    <n v="240000"/>
    <n v="168000"/>
    <n v="72000"/>
  </r>
  <r>
    <s v="TRX-202502-0165"/>
    <x v="44"/>
    <s v="CUST004"/>
    <s v="PRD006"/>
    <n v="5"/>
    <n v="110000"/>
    <n v="550000"/>
    <n v="375000"/>
    <n v="175000"/>
  </r>
  <r>
    <s v="TRX-202502-0166"/>
    <x v="44"/>
    <s v="CUST005"/>
    <s v="PRD010"/>
    <n v="7"/>
    <n v="20000"/>
    <n v="140000"/>
    <n v="84000"/>
    <n v="56000"/>
  </r>
  <r>
    <s v="TRX-202502-0167"/>
    <x v="45"/>
    <s v="CUST004"/>
    <s v="PRD002"/>
    <n v="7"/>
    <n v="70000"/>
    <n v="490000"/>
    <n v="315000"/>
    <n v="175000"/>
  </r>
  <r>
    <s v="TRX-202502-0168"/>
    <x v="45"/>
    <s v="CUST006"/>
    <s v="PRD008"/>
    <n v="1"/>
    <n v="40000"/>
    <n v="40000"/>
    <n v="28000"/>
    <n v="12000"/>
  </r>
  <r>
    <s v="TRX-202502-0168"/>
    <x v="45"/>
    <s v="CUST006"/>
    <s v="PRD002"/>
    <n v="3"/>
    <n v="70000"/>
    <n v="210000"/>
    <n v="135000"/>
    <n v="75000"/>
  </r>
  <r>
    <s v="TRX-202502-0168"/>
    <x v="45"/>
    <s v="CUST006"/>
    <s v="PRD003"/>
    <n v="7"/>
    <n v="130000"/>
    <n v="910000"/>
    <n v="595000"/>
    <n v="315000"/>
  </r>
  <r>
    <s v="TRX-202502-0169"/>
    <x v="45"/>
    <s v="CUST008"/>
    <s v="PRD011"/>
    <n v="5"/>
    <n v="35000"/>
    <n v="175000"/>
    <n v="110000"/>
    <n v="65000"/>
  </r>
  <r>
    <s v="TRX-202502-0169"/>
    <x v="45"/>
    <s v="CUST008"/>
    <s v="PRD004"/>
    <n v="6"/>
    <n v="105000"/>
    <n v="630000"/>
    <n v="420000"/>
    <n v="210000"/>
  </r>
  <r>
    <s v="TRX-202502-0170"/>
    <x v="46"/>
    <s v="CUST006"/>
    <s v="PRD008"/>
    <n v="8"/>
    <n v="40000"/>
    <n v="320000"/>
    <n v="224000"/>
    <n v="96000"/>
  </r>
  <r>
    <s v="TRX-202502-0170"/>
    <x v="46"/>
    <s v="CUST006"/>
    <s v="PRD011"/>
    <n v="3"/>
    <n v="35000"/>
    <n v="105000"/>
    <n v="66000"/>
    <n v="39000"/>
  </r>
  <r>
    <s v="TRX-202502-0171"/>
    <x v="46"/>
    <s v="CUST008"/>
    <s v="PRD004"/>
    <n v="6"/>
    <n v="105000"/>
    <n v="630000"/>
    <n v="420000"/>
    <n v="210000"/>
  </r>
  <r>
    <s v="TRX-202502-0171"/>
    <x v="46"/>
    <s v="CUST008"/>
    <s v="PRD002"/>
    <n v="3"/>
    <n v="70000"/>
    <n v="210000"/>
    <n v="135000"/>
    <n v="75000"/>
  </r>
  <r>
    <s v="TRX-202502-0172"/>
    <x v="47"/>
    <s v="CUST006"/>
    <s v="PRD010"/>
    <n v="1"/>
    <n v="20000"/>
    <n v="20000"/>
    <n v="12000"/>
    <n v="8000"/>
  </r>
  <r>
    <s v="TRX-202502-0172"/>
    <x v="47"/>
    <s v="CUST006"/>
    <s v="PRD012"/>
    <n v="5"/>
    <n v="48000"/>
    <n v="240000"/>
    <n v="160000"/>
    <n v="80000"/>
  </r>
  <r>
    <s v="TRX-202502-0173"/>
    <x v="47"/>
    <s v="CUST006"/>
    <s v="PRD004"/>
    <n v="8"/>
    <n v="105000"/>
    <n v="840000"/>
    <n v="560000"/>
    <n v="280000"/>
  </r>
  <r>
    <s v="TRX-202502-0173"/>
    <x v="47"/>
    <s v="CUST006"/>
    <s v="PRD001"/>
    <n v="5"/>
    <n v="175000"/>
    <n v="875000"/>
    <n v="600000"/>
    <n v="275000"/>
  </r>
  <r>
    <s v="TRX-202502-0173"/>
    <x v="47"/>
    <s v="CUST006"/>
    <s v="PRD002"/>
    <n v="3"/>
    <n v="70000"/>
    <n v="210000"/>
    <n v="135000"/>
    <n v="75000"/>
  </r>
  <r>
    <s v="TRX-202502-0174"/>
    <x v="47"/>
    <s v="CUST007"/>
    <s v="PRD009"/>
    <n v="5"/>
    <n v="52000"/>
    <n v="260000"/>
    <n v="175000"/>
    <n v="85000"/>
  </r>
  <r>
    <s v="TRX-202502-0174"/>
    <x v="47"/>
    <s v="CUST007"/>
    <s v="PRD005"/>
    <n v="6"/>
    <n v="105000"/>
    <n v="630000"/>
    <n v="420000"/>
    <n v="210000"/>
  </r>
  <r>
    <s v="TRX-202502-0174"/>
    <x v="47"/>
    <s v="CUST007"/>
    <s v="PRD002"/>
    <n v="4"/>
    <n v="70000"/>
    <n v="280000"/>
    <n v="180000"/>
    <n v="100000"/>
  </r>
  <r>
    <s v="TRX-202502-0175"/>
    <x v="47"/>
    <s v="CUST004"/>
    <s v="PRD008"/>
    <n v="3"/>
    <n v="40000"/>
    <n v="120000"/>
    <n v="84000"/>
    <n v="36000"/>
  </r>
  <r>
    <s v="TRX-202502-0176"/>
    <x v="48"/>
    <s v="CUST003"/>
    <s v="PRD006"/>
    <n v="8"/>
    <n v="110000"/>
    <n v="880000"/>
    <n v="600000"/>
    <n v="280000"/>
  </r>
  <r>
    <s v="TRX-202502-0177"/>
    <x v="48"/>
    <s v="CUST002"/>
    <s v="PRD004"/>
    <n v="2"/>
    <n v="105000"/>
    <n v="210000"/>
    <n v="140000"/>
    <n v="70000"/>
  </r>
  <r>
    <s v="TRX-202502-0177"/>
    <x v="48"/>
    <s v="CUST002"/>
    <s v="PRD010"/>
    <n v="8"/>
    <n v="20000"/>
    <n v="160000"/>
    <n v="96000"/>
    <n v="64000"/>
  </r>
  <r>
    <s v="TRX-202502-0177"/>
    <x v="48"/>
    <s v="CUST002"/>
    <s v="PRD008"/>
    <n v="1"/>
    <n v="40000"/>
    <n v="40000"/>
    <n v="28000"/>
    <n v="12000"/>
  </r>
  <r>
    <s v="TRX-202502-0178"/>
    <x v="48"/>
    <s v="CUST008"/>
    <s v="PRD009"/>
    <n v="7"/>
    <n v="52000"/>
    <n v="364000"/>
    <n v="245000"/>
    <n v="119000"/>
  </r>
  <r>
    <s v="TRX-202502-0179"/>
    <x v="49"/>
    <s v="CUST006"/>
    <s v="PRD008"/>
    <n v="7"/>
    <n v="40000"/>
    <n v="280000"/>
    <n v="196000"/>
    <n v="84000"/>
  </r>
  <r>
    <s v="TRX-202502-0179"/>
    <x v="49"/>
    <s v="CUST006"/>
    <s v="PRD007"/>
    <n v="2"/>
    <n v="225000"/>
    <n v="450000"/>
    <n v="360000"/>
    <n v="90000"/>
  </r>
  <r>
    <s v="TRX-202502-0180"/>
    <x v="49"/>
    <s v="CUST003"/>
    <s v="PRD006"/>
    <n v="7"/>
    <n v="110000"/>
    <n v="770000"/>
    <n v="525000"/>
    <n v="245000"/>
  </r>
  <r>
    <s v="TRX-202502-0180"/>
    <x v="49"/>
    <s v="CUST003"/>
    <s v="PRD002"/>
    <n v="3"/>
    <n v="70000"/>
    <n v="210000"/>
    <n v="135000"/>
    <n v="75000"/>
  </r>
  <r>
    <s v="TRX-202502-0180"/>
    <x v="49"/>
    <s v="CUST003"/>
    <s v="PRD003"/>
    <n v="4"/>
    <n v="130000"/>
    <n v="520000"/>
    <n v="340000"/>
    <n v="180000"/>
  </r>
  <r>
    <s v="TRX-202502-0181"/>
    <x v="49"/>
    <s v="CUST001"/>
    <s v="PRD005"/>
    <n v="8"/>
    <n v="105000"/>
    <n v="840000"/>
    <n v="560000"/>
    <n v="280000"/>
  </r>
  <r>
    <s v="TRX-202502-0182"/>
    <x v="49"/>
    <s v="CUST007"/>
    <s v="PRD007"/>
    <n v="8"/>
    <n v="225000"/>
    <n v="1800000"/>
    <n v="1440000"/>
    <n v="360000"/>
  </r>
  <r>
    <s v="TRX-202502-0182"/>
    <x v="49"/>
    <s v="CUST007"/>
    <s v="PRD004"/>
    <n v="6"/>
    <n v="105000"/>
    <n v="630000"/>
    <n v="420000"/>
    <n v="210000"/>
  </r>
  <r>
    <s v="TRX-202502-0182"/>
    <x v="49"/>
    <s v="CUST007"/>
    <s v="PRD011"/>
    <n v="3"/>
    <n v="35000"/>
    <n v="105000"/>
    <n v="66000"/>
    <n v="39000"/>
  </r>
  <r>
    <s v="TRX-202502-0183"/>
    <x v="49"/>
    <s v="CUST005"/>
    <s v="PRD012"/>
    <n v="2"/>
    <n v="48000"/>
    <n v="96000"/>
    <n v="64000"/>
    <n v="32000"/>
  </r>
  <r>
    <s v="TRX-202502-0184"/>
    <x v="50"/>
    <s v="CUST004"/>
    <s v="PRD003"/>
    <n v="4"/>
    <n v="130000"/>
    <n v="520000"/>
    <n v="340000"/>
    <n v="180000"/>
  </r>
  <r>
    <s v="TRX-202502-0184"/>
    <x v="50"/>
    <s v="CUST004"/>
    <s v="PRD011"/>
    <n v="7"/>
    <n v="35000"/>
    <n v="245000"/>
    <n v="154000"/>
    <n v="91000"/>
  </r>
  <r>
    <s v="TRX-202502-0185"/>
    <x v="50"/>
    <s v="CUST005"/>
    <s v="PRD001"/>
    <n v="3"/>
    <n v="175000"/>
    <n v="525000"/>
    <n v="360000"/>
    <n v="165000"/>
  </r>
  <r>
    <s v="TRX-202502-0185"/>
    <x v="50"/>
    <s v="CUST005"/>
    <s v="PRD009"/>
    <n v="7"/>
    <n v="52000"/>
    <n v="364000"/>
    <n v="245000"/>
    <n v="119000"/>
  </r>
  <r>
    <s v="TRX-202502-0186"/>
    <x v="50"/>
    <s v="CUST008"/>
    <s v="PRD006"/>
    <n v="7"/>
    <n v="110000"/>
    <n v="770000"/>
    <n v="525000"/>
    <n v="245000"/>
  </r>
  <r>
    <s v="TRX-202502-0187"/>
    <x v="50"/>
    <s v="CUST006"/>
    <s v="PRD007"/>
    <n v="5"/>
    <n v="225000"/>
    <n v="1125000"/>
    <n v="900000"/>
    <n v="225000"/>
  </r>
  <r>
    <s v="TRX-202502-0187"/>
    <x v="50"/>
    <s v="CUST006"/>
    <s v="PRD012"/>
    <n v="7"/>
    <n v="48000"/>
    <n v="336000"/>
    <n v="224000"/>
    <n v="112000"/>
  </r>
  <r>
    <s v="TRX-202502-0187"/>
    <x v="50"/>
    <s v="CUST006"/>
    <s v="PRD003"/>
    <n v="3"/>
    <n v="130000"/>
    <n v="390000"/>
    <n v="255000"/>
    <n v="135000"/>
  </r>
  <r>
    <s v="TRX-202502-0188"/>
    <x v="51"/>
    <s v="CUST005"/>
    <s v="PRD011"/>
    <n v="1"/>
    <n v="35000"/>
    <n v="35000"/>
    <n v="22000"/>
    <n v="13000"/>
  </r>
  <r>
    <s v="TRX-202502-0188"/>
    <x v="51"/>
    <s v="CUST005"/>
    <s v="PRD010"/>
    <n v="2"/>
    <n v="20000"/>
    <n v="40000"/>
    <n v="24000"/>
    <n v="16000"/>
  </r>
  <r>
    <s v="TRX-202502-0189"/>
    <x v="51"/>
    <s v="CUST004"/>
    <s v="PRD012"/>
    <n v="4"/>
    <n v="48000"/>
    <n v="192000"/>
    <n v="128000"/>
    <n v="64000"/>
  </r>
  <r>
    <s v="TRX-202502-0189"/>
    <x v="51"/>
    <s v="CUST004"/>
    <s v="PRD011"/>
    <n v="8"/>
    <n v="35000"/>
    <n v="280000"/>
    <n v="176000"/>
    <n v="104000"/>
  </r>
  <r>
    <s v="TRX-202502-0189"/>
    <x v="51"/>
    <s v="CUST004"/>
    <s v="PRD009"/>
    <n v="4"/>
    <n v="52000"/>
    <n v="208000"/>
    <n v="140000"/>
    <n v="68000"/>
  </r>
  <r>
    <s v="TRX-202502-0190"/>
    <x v="52"/>
    <s v="CUST002"/>
    <s v="PRD008"/>
    <n v="6"/>
    <n v="40000"/>
    <n v="240000"/>
    <n v="168000"/>
    <n v="72000"/>
  </r>
  <r>
    <s v="TRX-202502-0190"/>
    <x v="52"/>
    <s v="CUST002"/>
    <s v="PRD006"/>
    <n v="6"/>
    <n v="110000"/>
    <n v="660000"/>
    <n v="450000"/>
    <n v="210000"/>
  </r>
  <r>
    <s v="TRX-202502-0190"/>
    <x v="52"/>
    <s v="CUST002"/>
    <s v="PRD004"/>
    <n v="7"/>
    <n v="105000"/>
    <n v="735000"/>
    <n v="490000"/>
    <n v="245000"/>
  </r>
  <r>
    <s v="TRX-202502-0191"/>
    <x v="52"/>
    <s v="CUST001"/>
    <s v="PRD004"/>
    <n v="5"/>
    <n v="105000"/>
    <n v="525000"/>
    <n v="350000"/>
    <n v="175000"/>
  </r>
  <r>
    <s v="TRX-202502-0191"/>
    <x v="52"/>
    <s v="CUST001"/>
    <s v="PRD003"/>
    <n v="7"/>
    <n v="130000"/>
    <n v="910000"/>
    <n v="595000"/>
    <n v="315000"/>
  </r>
  <r>
    <s v="TRX-202502-0191"/>
    <x v="52"/>
    <s v="CUST001"/>
    <s v="PRD001"/>
    <n v="5"/>
    <n v="175000"/>
    <n v="875000"/>
    <n v="600000"/>
    <n v="275000"/>
  </r>
  <r>
    <s v="TRX-202502-0192"/>
    <x v="52"/>
    <s v="CUST003"/>
    <s v="PRD006"/>
    <n v="4"/>
    <n v="110000"/>
    <n v="440000"/>
    <n v="300000"/>
    <n v="140000"/>
  </r>
  <r>
    <s v="TRX-202502-0193"/>
    <x v="52"/>
    <s v="CUST007"/>
    <s v="PRD004"/>
    <n v="6"/>
    <n v="105000"/>
    <n v="630000"/>
    <n v="420000"/>
    <n v="210000"/>
  </r>
  <r>
    <s v="TRX-202502-0193"/>
    <x v="52"/>
    <s v="CUST007"/>
    <s v="PRD008"/>
    <n v="5"/>
    <n v="40000"/>
    <n v="200000"/>
    <n v="140000"/>
    <n v="60000"/>
  </r>
  <r>
    <s v="TRX-202502-0193"/>
    <x v="52"/>
    <s v="CUST007"/>
    <s v="PRD009"/>
    <n v="8"/>
    <n v="52000"/>
    <n v="416000"/>
    <n v="280000"/>
    <n v="136000"/>
  </r>
  <r>
    <s v="TRX-202502-0194"/>
    <x v="52"/>
    <s v="CUST008"/>
    <s v="PRD003"/>
    <n v="3"/>
    <n v="130000"/>
    <n v="390000"/>
    <n v="255000"/>
    <n v="135000"/>
  </r>
  <r>
    <s v="TRX-202502-0194"/>
    <x v="52"/>
    <s v="CUST008"/>
    <s v="PRD006"/>
    <n v="3"/>
    <n v="110000"/>
    <n v="330000"/>
    <n v="225000"/>
    <n v="105000"/>
  </r>
  <r>
    <s v="TRX-202502-0195"/>
    <x v="53"/>
    <s v="CUST008"/>
    <s v="PRD001"/>
    <n v="7"/>
    <n v="175000"/>
    <n v="1225000"/>
    <n v="840000"/>
    <n v="385000"/>
  </r>
  <r>
    <s v="TRX-202502-0196"/>
    <x v="53"/>
    <s v="CUST001"/>
    <s v="PRD009"/>
    <n v="5"/>
    <n v="52000"/>
    <n v="260000"/>
    <n v="175000"/>
    <n v="85000"/>
  </r>
  <r>
    <s v="TRX-202502-0197"/>
    <x v="53"/>
    <s v="CUST005"/>
    <s v="PRD009"/>
    <n v="7"/>
    <n v="52000"/>
    <n v="364000"/>
    <n v="245000"/>
    <n v="119000"/>
  </r>
  <r>
    <s v="TRX-202502-0198"/>
    <x v="53"/>
    <s v="CUST003"/>
    <s v="PRD002"/>
    <n v="3"/>
    <n v="70000"/>
    <n v="210000"/>
    <n v="135000"/>
    <n v="75000"/>
  </r>
  <r>
    <s v="TRX-202502-0199"/>
    <x v="53"/>
    <s v="CUST004"/>
    <s v="PRD010"/>
    <n v="5"/>
    <n v="20000"/>
    <n v="100000"/>
    <n v="60000"/>
    <n v="40000"/>
  </r>
  <r>
    <s v="TRX-202502-0200"/>
    <x v="54"/>
    <s v="CUST006"/>
    <s v="PRD002"/>
    <n v="4"/>
    <n v="70000"/>
    <n v="280000"/>
    <n v="180000"/>
    <n v="100000"/>
  </r>
  <r>
    <s v="TRX-202502-0200"/>
    <x v="54"/>
    <s v="CUST006"/>
    <s v="PRD009"/>
    <n v="4"/>
    <n v="52000"/>
    <n v="208000"/>
    <n v="140000"/>
    <n v="68000"/>
  </r>
  <r>
    <s v="TRX-202502-0200"/>
    <x v="54"/>
    <s v="CUST006"/>
    <s v="PRD001"/>
    <n v="8"/>
    <n v="175000"/>
    <n v="1400000"/>
    <n v="960000"/>
    <n v="440000"/>
  </r>
  <r>
    <s v="TRX-202502-0201"/>
    <x v="54"/>
    <s v="CUST005"/>
    <s v="PRD002"/>
    <n v="5"/>
    <n v="70000"/>
    <n v="350000"/>
    <n v="225000"/>
    <n v="125000"/>
  </r>
  <r>
    <s v="TRX-202502-0202"/>
    <x v="54"/>
    <s v="CUST001"/>
    <s v="PRD006"/>
    <n v="1"/>
    <n v="110000"/>
    <n v="110000"/>
    <n v="75000"/>
    <n v="35000"/>
  </r>
  <r>
    <s v="TRX-202502-0203"/>
    <x v="54"/>
    <s v="CUST004"/>
    <s v="PRD003"/>
    <n v="5"/>
    <n v="130000"/>
    <n v="650000"/>
    <n v="425000"/>
    <n v="225000"/>
  </r>
  <r>
    <s v="TRX-202502-0203"/>
    <x v="54"/>
    <s v="CUST004"/>
    <s v="PRD007"/>
    <n v="3"/>
    <n v="225000"/>
    <n v="675000"/>
    <n v="540000"/>
    <n v="135000"/>
  </r>
  <r>
    <s v="TRX-202502-0203"/>
    <x v="54"/>
    <s v="CUST004"/>
    <s v="PRD002"/>
    <n v="4"/>
    <n v="70000"/>
    <n v="280000"/>
    <n v="180000"/>
    <n v="100000"/>
  </r>
  <r>
    <s v="TRX-202502-0204"/>
    <x v="54"/>
    <s v="CUST007"/>
    <s v="PRD009"/>
    <n v="3"/>
    <n v="52000"/>
    <n v="156000"/>
    <n v="105000"/>
    <n v="51000"/>
  </r>
  <r>
    <s v="TRX-202502-0204"/>
    <x v="54"/>
    <s v="CUST007"/>
    <s v="PRD006"/>
    <n v="2"/>
    <n v="110000"/>
    <n v="220000"/>
    <n v="150000"/>
    <n v="70000"/>
  </r>
  <r>
    <s v="TRX-202502-0204"/>
    <x v="54"/>
    <s v="CUST007"/>
    <s v="PRD007"/>
    <n v="6"/>
    <n v="225000"/>
    <n v="1350000"/>
    <n v="1080000"/>
    <n v="270000"/>
  </r>
  <r>
    <s v="TRX-202502-0205"/>
    <x v="55"/>
    <s v="CUST002"/>
    <s v="PRD005"/>
    <n v="3"/>
    <n v="105000"/>
    <n v="315000"/>
    <n v="210000"/>
    <n v="105000"/>
  </r>
  <r>
    <s v="TRX-202502-0206"/>
    <x v="55"/>
    <s v="CUST007"/>
    <s v="PRD011"/>
    <n v="6"/>
    <n v="35000"/>
    <n v="210000"/>
    <n v="132000"/>
    <n v="78000"/>
  </r>
  <r>
    <s v="TRX-202502-0206"/>
    <x v="55"/>
    <s v="CUST007"/>
    <s v="PRD003"/>
    <n v="6"/>
    <n v="130000"/>
    <n v="780000"/>
    <n v="510000"/>
    <n v="270000"/>
  </r>
  <r>
    <s v="TRX-202502-0206"/>
    <x v="55"/>
    <s v="CUST007"/>
    <s v="PRD007"/>
    <n v="2"/>
    <n v="225000"/>
    <n v="450000"/>
    <n v="360000"/>
    <n v="90000"/>
  </r>
  <r>
    <s v="TRX-202502-0207"/>
    <x v="55"/>
    <s v="CUST002"/>
    <s v="PRD005"/>
    <n v="8"/>
    <n v="105000"/>
    <n v="840000"/>
    <n v="560000"/>
    <n v="280000"/>
  </r>
  <r>
    <s v="TRX-202502-0208"/>
    <x v="56"/>
    <s v="CUST007"/>
    <s v="PRD003"/>
    <n v="5"/>
    <n v="130000"/>
    <n v="650000"/>
    <n v="425000"/>
    <n v="225000"/>
  </r>
  <r>
    <s v="TRX-202502-0209"/>
    <x v="56"/>
    <s v="CUST005"/>
    <s v="PRD008"/>
    <n v="2"/>
    <n v="40000"/>
    <n v="80000"/>
    <n v="56000"/>
    <n v="24000"/>
  </r>
  <r>
    <s v="TRX-202502-0209"/>
    <x v="56"/>
    <s v="CUST005"/>
    <s v="PRD003"/>
    <n v="3"/>
    <n v="130000"/>
    <n v="390000"/>
    <n v="255000"/>
    <n v="135000"/>
  </r>
  <r>
    <s v="TRX-202502-0210"/>
    <x v="56"/>
    <s v="CUST007"/>
    <s v="PRD007"/>
    <n v="8"/>
    <n v="225000"/>
    <n v="1800000"/>
    <n v="1440000"/>
    <n v="360000"/>
  </r>
  <r>
    <s v="TRX-202502-0210"/>
    <x v="56"/>
    <s v="CUST007"/>
    <s v="PRD005"/>
    <n v="2"/>
    <n v="105000"/>
    <n v="210000"/>
    <n v="140000"/>
    <n v="70000"/>
  </r>
  <r>
    <s v="TRX-202502-0211"/>
    <x v="57"/>
    <s v="CUST008"/>
    <s v="PRD003"/>
    <n v="6"/>
    <n v="130000"/>
    <n v="780000"/>
    <n v="510000"/>
    <n v="270000"/>
  </r>
  <r>
    <s v="TRX-202502-0211"/>
    <x v="57"/>
    <s v="CUST008"/>
    <s v="PRD007"/>
    <n v="5"/>
    <n v="225000"/>
    <n v="1125000"/>
    <n v="900000"/>
    <n v="225000"/>
  </r>
  <r>
    <s v="TRX-202502-0212"/>
    <x v="57"/>
    <s v="CUST008"/>
    <s v="PRD004"/>
    <n v="5"/>
    <n v="105000"/>
    <n v="525000"/>
    <n v="350000"/>
    <n v="175000"/>
  </r>
  <r>
    <s v="TRX-202502-0212"/>
    <x v="57"/>
    <s v="CUST008"/>
    <s v="PRD006"/>
    <n v="7"/>
    <n v="110000"/>
    <n v="770000"/>
    <n v="525000"/>
    <n v="245000"/>
  </r>
  <r>
    <s v="TRX-202502-0212"/>
    <x v="57"/>
    <s v="CUST008"/>
    <s v="PRD007"/>
    <n v="6"/>
    <n v="225000"/>
    <n v="1350000"/>
    <n v="1080000"/>
    <n v="270000"/>
  </r>
  <r>
    <s v="TRX-202502-0213"/>
    <x v="57"/>
    <s v="CUST002"/>
    <s v="PRD004"/>
    <n v="3"/>
    <n v="105000"/>
    <n v="315000"/>
    <n v="210000"/>
    <n v="105000"/>
  </r>
  <r>
    <s v="TRX-202502-0213"/>
    <x v="57"/>
    <s v="CUST002"/>
    <s v="PRD010"/>
    <n v="1"/>
    <n v="20000"/>
    <n v="20000"/>
    <n v="12000"/>
    <n v="8000"/>
  </r>
  <r>
    <s v="TRX-202502-0213"/>
    <x v="57"/>
    <s v="CUST002"/>
    <s v="PRD009"/>
    <n v="8"/>
    <n v="52000"/>
    <n v="416000"/>
    <n v="280000"/>
    <n v="136000"/>
  </r>
  <r>
    <s v="TRX-202502-0214"/>
    <x v="58"/>
    <s v="CUST006"/>
    <s v="PRD009"/>
    <n v="2"/>
    <n v="52000"/>
    <n v="104000"/>
    <n v="70000"/>
    <n v="34000"/>
  </r>
  <r>
    <s v="TRX-202502-0214"/>
    <x v="58"/>
    <s v="CUST006"/>
    <s v="PRD010"/>
    <n v="4"/>
    <n v="20000"/>
    <n v="80000"/>
    <n v="48000"/>
    <n v="32000"/>
  </r>
  <r>
    <s v="TRX-202502-0214"/>
    <x v="58"/>
    <s v="CUST006"/>
    <s v="PRD002"/>
    <n v="6"/>
    <n v="70000"/>
    <n v="420000"/>
    <n v="270000"/>
    <n v="150000"/>
  </r>
  <r>
    <s v="TRX-202502-0215"/>
    <x v="58"/>
    <s v="CUST003"/>
    <s v="PRD010"/>
    <n v="7"/>
    <n v="20000"/>
    <n v="140000"/>
    <n v="84000"/>
    <n v="56000"/>
  </r>
  <r>
    <s v="TRX-202502-0215"/>
    <x v="58"/>
    <s v="CUST003"/>
    <s v="PRD001"/>
    <n v="6"/>
    <n v="175000"/>
    <n v="1050000"/>
    <n v="720000"/>
    <n v="330000"/>
  </r>
  <r>
    <s v="TRX-202502-0215"/>
    <x v="58"/>
    <s v="CUST003"/>
    <s v="PRD012"/>
    <n v="7"/>
    <n v="48000"/>
    <n v="336000"/>
    <n v="224000"/>
    <n v="112000"/>
  </r>
  <r>
    <s v="TRX-202503-0216"/>
    <x v="59"/>
    <s v="CUST006"/>
    <s v="PRD004"/>
    <n v="8"/>
    <n v="105000"/>
    <n v="840000"/>
    <n v="560000"/>
    <n v="280000"/>
  </r>
  <r>
    <s v="TRX-202503-0216"/>
    <x v="59"/>
    <s v="CUST006"/>
    <s v="PRD009"/>
    <n v="6"/>
    <n v="52000"/>
    <n v="312000"/>
    <n v="210000"/>
    <n v="102000"/>
  </r>
  <r>
    <s v="TRX-202503-0217"/>
    <x v="59"/>
    <s v="CUST008"/>
    <s v="PRD008"/>
    <n v="8"/>
    <n v="40000"/>
    <n v="320000"/>
    <n v="224000"/>
    <n v="96000"/>
  </r>
  <r>
    <s v="TRX-202503-0218"/>
    <x v="59"/>
    <s v="CUST006"/>
    <s v="PRD005"/>
    <n v="1"/>
    <n v="105000"/>
    <n v="105000"/>
    <n v="70000"/>
    <n v="35000"/>
  </r>
  <r>
    <s v="TRX-202503-0219"/>
    <x v="59"/>
    <s v="CUST002"/>
    <s v="PRD006"/>
    <n v="2"/>
    <n v="110000"/>
    <n v="220000"/>
    <n v="150000"/>
    <n v="70000"/>
  </r>
  <r>
    <s v="TRX-202503-0220"/>
    <x v="60"/>
    <s v="CUST002"/>
    <s v="PRD002"/>
    <n v="6"/>
    <n v="70000"/>
    <n v="420000"/>
    <n v="270000"/>
    <n v="150000"/>
  </r>
  <r>
    <s v="TRX-202503-0220"/>
    <x v="60"/>
    <s v="CUST002"/>
    <s v="PRD009"/>
    <n v="6"/>
    <n v="52000"/>
    <n v="312000"/>
    <n v="210000"/>
    <n v="102000"/>
  </r>
  <r>
    <s v="TRX-202503-0220"/>
    <x v="60"/>
    <s v="CUST002"/>
    <s v="PRD003"/>
    <n v="4"/>
    <n v="130000"/>
    <n v="520000"/>
    <n v="340000"/>
    <n v="180000"/>
  </r>
  <r>
    <s v="TRX-202503-0221"/>
    <x v="60"/>
    <s v="CUST008"/>
    <s v="PRD005"/>
    <n v="8"/>
    <n v="105000"/>
    <n v="840000"/>
    <n v="560000"/>
    <n v="280000"/>
  </r>
  <r>
    <s v="TRX-202503-0222"/>
    <x v="60"/>
    <s v="CUST006"/>
    <s v="PRD007"/>
    <n v="2"/>
    <n v="225000"/>
    <n v="450000"/>
    <n v="360000"/>
    <n v="90000"/>
  </r>
  <r>
    <s v="TRX-202503-0222"/>
    <x v="60"/>
    <s v="CUST006"/>
    <s v="PRD010"/>
    <n v="6"/>
    <n v="20000"/>
    <n v="120000"/>
    <n v="72000"/>
    <n v="48000"/>
  </r>
  <r>
    <s v="TRX-202503-0222"/>
    <x v="60"/>
    <s v="CUST006"/>
    <s v="PRD012"/>
    <n v="6"/>
    <n v="48000"/>
    <n v="288000"/>
    <n v="192000"/>
    <n v="96000"/>
  </r>
  <r>
    <s v="TRX-202503-0223"/>
    <x v="60"/>
    <s v="CUST008"/>
    <s v="PRD003"/>
    <n v="2"/>
    <n v="130000"/>
    <n v="260000"/>
    <n v="170000"/>
    <n v="90000"/>
  </r>
  <r>
    <s v="TRX-202503-0223"/>
    <x v="60"/>
    <s v="CUST008"/>
    <s v="PRD011"/>
    <n v="3"/>
    <n v="35000"/>
    <n v="105000"/>
    <n v="66000"/>
    <n v="39000"/>
  </r>
  <r>
    <s v="TRX-202503-0223"/>
    <x v="60"/>
    <s v="CUST008"/>
    <s v="PRD005"/>
    <n v="6"/>
    <n v="105000"/>
    <n v="630000"/>
    <n v="420000"/>
    <n v="210000"/>
  </r>
  <r>
    <s v="TRX-202503-0224"/>
    <x v="61"/>
    <s v="CUST001"/>
    <s v="PRD003"/>
    <n v="7"/>
    <n v="130000"/>
    <n v="910000"/>
    <n v="595000"/>
    <n v="315000"/>
  </r>
  <r>
    <s v="TRX-202503-0224"/>
    <x v="61"/>
    <s v="CUST001"/>
    <s v="PRD004"/>
    <n v="8"/>
    <n v="105000"/>
    <n v="840000"/>
    <n v="560000"/>
    <n v="280000"/>
  </r>
  <r>
    <s v="TRX-202503-0225"/>
    <x v="61"/>
    <s v="CUST007"/>
    <s v="PRD008"/>
    <n v="8"/>
    <n v="40000"/>
    <n v="320000"/>
    <n v="224000"/>
    <n v="96000"/>
  </r>
  <r>
    <s v="TRX-202503-0225"/>
    <x v="61"/>
    <s v="CUST007"/>
    <s v="PRD007"/>
    <n v="3"/>
    <n v="225000"/>
    <n v="675000"/>
    <n v="540000"/>
    <n v="135000"/>
  </r>
  <r>
    <s v="TRX-202503-0225"/>
    <x v="61"/>
    <s v="CUST007"/>
    <s v="PRD012"/>
    <n v="2"/>
    <n v="48000"/>
    <n v="96000"/>
    <n v="64000"/>
    <n v="32000"/>
  </r>
  <r>
    <s v="TRX-202503-0226"/>
    <x v="61"/>
    <s v="CUST001"/>
    <s v="PRD005"/>
    <n v="1"/>
    <n v="105000"/>
    <n v="105000"/>
    <n v="70000"/>
    <n v="35000"/>
  </r>
  <r>
    <s v="TRX-202503-0227"/>
    <x v="61"/>
    <s v="CUST005"/>
    <s v="PRD009"/>
    <n v="5"/>
    <n v="52000"/>
    <n v="260000"/>
    <n v="175000"/>
    <n v="85000"/>
  </r>
  <r>
    <s v="TRX-202503-0228"/>
    <x v="62"/>
    <s v="CUST002"/>
    <s v="PRD002"/>
    <n v="4"/>
    <n v="70000"/>
    <n v="280000"/>
    <n v="180000"/>
    <n v="100000"/>
  </r>
  <r>
    <s v="TRX-202503-0228"/>
    <x v="62"/>
    <s v="CUST002"/>
    <s v="PRD004"/>
    <n v="6"/>
    <n v="105000"/>
    <n v="630000"/>
    <n v="420000"/>
    <n v="210000"/>
  </r>
  <r>
    <s v="TRX-202503-0229"/>
    <x v="62"/>
    <s v="CUST007"/>
    <s v="PRD010"/>
    <n v="3"/>
    <n v="20000"/>
    <n v="60000"/>
    <n v="36000"/>
    <n v="24000"/>
  </r>
  <r>
    <s v="TRX-202503-0230"/>
    <x v="62"/>
    <s v="CUST004"/>
    <s v="PRD001"/>
    <n v="6"/>
    <n v="175000"/>
    <n v="1050000"/>
    <n v="720000"/>
    <n v="330000"/>
  </r>
  <r>
    <s v="TRX-202503-0231"/>
    <x v="62"/>
    <s v="CUST005"/>
    <s v="PRD009"/>
    <n v="5"/>
    <n v="52000"/>
    <n v="260000"/>
    <n v="175000"/>
    <n v="85000"/>
  </r>
  <r>
    <s v="TRX-202503-0231"/>
    <x v="62"/>
    <s v="CUST005"/>
    <s v="PRD003"/>
    <n v="5"/>
    <n v="130000"/>
    <n v="650000"/>
    <n v="425000"/>
    <n v="225000"/>
  </r>
  <r>
    <s v="TRX-202503-0231"/>
    <x v="62"/>
    <s v="CUST005"/>
    <s v="PRD006"/>
    <n v="5"/>
    <n v="110000"/>
    <n v="550000"/>
    <n v="375000"/>
    <n v="175000"/>
  </r>
  <r>
    <s v="TRX-202503-0232"/>
    <x v="63"/>
    <s v="CUST008"/>
    <s v="PRD011"/>
    <n v="2"/>
    <n v="35000"/>
    <n v="70000"/>
    <n v="44000"/>
    <n v="26000"/>
  </r>
  <r>
    <s v="TRX-202503-0233"/>
    <x v="63"/>
    <s v="CUST007"/>
    <s v="PRD012"/>
    <n v="8"/>
    <n v="48000"/>
    <n v="384000"/>
    <n v="256000"/>
    <n v="128000"/>
  </r>
  <r>
    <s v="TRX-202503-0233"/>
    <x v="63"/>
    <s v="CUST007"/>
    <s v="PRD005"/>
    <n v="8"/>
    <n v="105000"/>
    <n v="840000"/>
    <n v="560000"/>
    <n v="280000"/>
  </r>
  <r>
    <s v="TRX-202503-0233"/>
    <x v="63"/>
    <s v="CUST007"/>
    <s v="PRD006"/>
    <n v="6"/>
    <n v="110000"/>
    <n v="660000"/>
    <n v="450000"/>
    <n v="210000"/>
  </r>
  <r>
    <s v="TRX-202503-0234"/>
    <x v="63"/>
    <s v="CUST001"/>
    <s v="PRD002"/>
    <n v="2"/>
    <n v="70000"/>
    <n v="140000"/>
    <n v="90000"/>
    <n v="50000"/>
  </r>
  <r>
    <s v="TRX-202503-0234"/>
    <x v="63"/>
    <s v="CUST001"/>
    <s v="PRD008"/>
    <n v="7"/>
    <n v="40000"/>
    <n v="280000"/>
    <n v="196000"/>
    <n v="84000"/>
  </r>
  <r>
    <s v="TRX-202503-0234"/>
    <x v="63"/>
    <s v="CUST001"/>
    <s v="PRD006"/>
    <n v="4"/>
    <n v="110000"/>
    <n v="440000"/>
    <n v="300000"/>
    <n v="140000"/>
  </r>
  <r>
    <s v="TRX-202503-0235"/>
    <x v="63"/>
    <s v="CUST007"/>
    <s v="PRD008"/>
    <n v="5"/>
    <n v="40000"/>
    <n v="200000"/>
    <n v="140000"/>
    <n v="60000"/>
  </r>
  <r>
    <s v="TRX-202503-0236"/>
    <x v="63"/>
    <s v="CUST006"/>
    <s v="PRD006"/>
    <n v="3"/>
    <n v="110000"/>
    <n v="330000"/>
    <n v="225000"/>
    <n v="105000"/>
  </r>
  <r>
    <s v="TRX-202503-0236"/>
    <x v="63"/>
    <s v="CUST006"/>
    <s v="PRD009"/>
    <n v="8"/>
    <n v="52000"/>
    <n v="416000"/>
    <n v="280000"/>
    <n v="136000"/>
  </r>
  <r>
    <s v="TRX-202503-0237"/>
    <x v="64"/>
    <s v="CUST001"/>
    <s v="PRD011"/>
    <n v="4"/>
    <n v="35000"/>
    <n v="140000"/>
    <n v="88000"/>
    <n v="52000"/>
  </r>
  <r>
    <s v="TRX-202503-0237"/>
    <x v="64"/>
    <s v="CUST001"/>
    <s v="PRD005"/>
    <n v="7"/>
    <n v="105000"/>
    <n v="735000"/>
    <n v="490000"/>
    <n v="245000"/>
  </r>
  <r>
    <s v="TRX-202503-0238"/>
    <x v="64"/>
    <s v="CUST002"/>
    <s v="PRD002"/>
    <n v="8"/>
    <n v="70000"/>
    <n v="560000"/>
    <n v="360000"/>
    <n v="200000"/>
  </r>
  <r>
    <s v="TRX-202503-0238"/>
    <x v="64"/>
    <s v="CUST002"/>
    <s v="PRD001"/>
    <n v="2"/>
    <n v="175000"/>
    <n v="350000"/>
    <n v="240000"/>
    <n v="110000"/>
  </r>
  <r>
    <s v="TRX-202503-0238"/>
    <x v="64"/>
    <s v="CUST002"/>
    <s v="PRD004"/>
    <n v="3"/>
    <n v="105000"/>
    <n v="315000"/>
    <n v="210000"/>
    <n v="105000"/>
  </r>
  <r>
    <s v="TRX-202503-0239"/>
    <x v="64"/>
    <s v="CUST004"/>
    <s v="PRD011"/>
    <n v="1"/>
    <n v="35000"/>
    <n v="35000"/>
    <n v="22000"/>
    <n v="13000"/>
  </r>
  <r>
    <s v="TRX-202503-0239"/>
    <x v="64"/>
    <s v="CUST004"/>
    <s v="PRD008"/>
    <n v="6"/>
    <n v="40000"/>
    <n v="240000"/>
    <n v="168000"/>
    <n v="72000"/>
  </r>
  <r>
    <s v="TRX-202503-0239"/>
    <x v="64"/>
    <s v="CUST004"/>
    <s v="PRD001"/>
    <n v="2"/>
    <n v="175000"/>
    <n v="350000"/>
    <n v="240000"/>
    <n v="110000"/>
  </r>
  <r>
    <s v="TRX-202503-0240"/>
    <x v="65"/>
    <s v="CUST007"/>
    <s v="PRD011"/>
    <n v="2"/>
    <n v="35000"/>
    <n v="70000"/>
    <n v="44000"/>
    <n v="26000"/>
  </r>
  <r>
    <s v="TRX-202503-0240"/>
    <x v="65"/>
    <s v="CUST007"/>
    <s v="PRD008"/>
    <n v="2"/>
    <n v="40000"/>
    <n v="80000"/>
    <n v="56000"/>
    <n v="24000"/>
  </r>
  <r>
    <s v="TRX-202503-0240"/>
    <x v="65"/>
    <s v="CUST007"/>
    <s v="PRD004"/>
    <n v="3"/>
    <n v="105000"/>
    <n v="315000"/>
    <n v="210000"/>
    <n v="105000"/>
  </r>
  <r>
    <s v="TRX-202503-0241"/>
    <x v="65"/>
    <s v="CUST002"/>
    <s v="PRD012"/>
    <n v="7"/>
    <n v="48000"/>
    <n v="336000"/>
    <n v="224000"/>
    <n v="112000"/>
  </r>
  <r>
    <s v="TRX-202503-0241"/>
    <x v="65"/>
    <s v="CUST002"/>
    <s v="PRD007"/>
    <n v="6"/>
    <n v="225000"/>
    <n v="1350000"/>
    <n v="1080000"/>
    <n v="270000"/>
  </r>
  <r>
    <s v="TRX-202503-0241"/>
    <x v="65"/>
    <s v="CUST002"/>
    <s v="PRD006"/>
    <n v="3"/>
    <n v="110000"/>
    <n v="330000"/>
    <n v="225000"/>
    <n v="105000"/>
  </r>
  <r>
    <s v="TRX-202503-0242"/>
    <x v="65"/>
    <s v="CUST004"/>
    <s v="PRD011"/>
    <n v="4"/>
    <n v="35000"/>
    <n v="140000"/>
    <n v="88000"/>
    <n v="52000"/>
  </r>
  <r>
    <s v="TRX-202503-0242"/>
    <x v="65"/>
    <s v="CUST004"/>
    <s v="PRD002"/>
    <n v="5"/>
    <n v="70000"/>
    <n v="350000"/>
    <n v="225000"/>
    <n v="125000"/>
  </r>
  <r>
    <s v="TRX-202503-0243"/>
    <x v="66"/>
    <s v="CUST008"/>
    <s v="PRD001"/>
    <n v="2"/>
    <n v="175000"/>
    <n v="350000"/>
    <n v="240000"/>
    <n v="110000"/>
  </r>
  <r>
    <s v="TRX-202503-0244"/>
    <x v="66"/>
    <s v="CUST001"/>
    <s v="PRD004"/>
    <n v="1"/>
    <n v="105000"/>
    <n v="105000"/>
    <n v="70000"/>
    <n v="35000"/>
  </r>
  <r>
    <s v="TRX-202503-0244"/>
    <x v="66"/>
    <s v="CUST001"/>
    <s v="PRD001"/>
    <n v="7"/>
    <n v="175000"/>
    <n v="1225000"/>
    <n v="840000"/>
    <n v="385000"/>
  </r>
  <r>
    <s v="TRX-202503-0245"/>
    <x v="66"/>
    <s v="CUST005"/>
    <s v="PRD012"/>
    <n v="7"/>
    <n v="48000"/>
    <n v="336000"/>
    <n v="224000"/>
    <n v="112000"/>
  </r>
  <r>
    <s v="TRX-202503-0245"/>
    <x v="66"/>
    <s v="CUST005"/>
    <s v="PRD009"/>
    <n v="7"/>
    <n v="52000"/>
    <n v="364000"/>
    <n v="245000"/>
    <n v="119000"/>
  </r>
  <r>
    <s v="TRX-202503-0245"/>
    <x v="66"/>
    <s v="CUST005"/>
    <s v="PRD007"/>
    <n v="2"/>
    <n v="225000"/>
    <n v="450000"/>
    <n v="360000"/>
    <n v="90000"/>
  </r>
  <r>
    <s v="TRX-202503-0246"/>
    <x v="67"/>
    <s v="CUST005"/>
    <s v="PRD012"/>
    <n v="2"/>
    <n v="48000"/>
    <n v="96000"/>
    <n v="64000"/>
    <n v="32000"/>
  </r>
  <r>
    <s v="TRX-202503-0246"/>
    <x v="67"/>
    <s v="CUST005"/>
    <s v="PRD011"/>
    <n v="1"/>
    <n v="35000"/>
    <n v="35000"/>
    <n v="22000"/>
    <n v="13000"/>
  </r>
  <r>
    <s v="TRX-202503-0246"/>
    <x v="67"/>
    <s v="CUST005"/>
    <s v="PRD003"/>
    <n v="3"/>
    <n v="130000"/>
    <n v="390000"/>
    <n v="255000"/>
    <n v="135000"/>
  </r>
  <r>
    <s v="TRX-202503-0247"/>
    <x v="67"/>
    <s v="CUST001"/>
    <s v="PRD008"/>
    <n v="6"/>
    <n v="40000"/>
    <n v="240000"/>
    <n v="168000"/>
    <n v="72000"/>
  </r>
  <r>
    <s v="TRX-202503-0248"/>
    <x v="68"/>
    <s v="CUST005"/>
    <s v="PRD010"/>
    <n v="2"/>
    <n v="20000"/>
    <n v="40000"/>
    <n v="24000"/>
    <n v="16000"/>
  </r>
  <r>
    <s v="TRX-202503-0249"/>
    <x v="68"/>
    <s v="CUST004"/>
    <s v="PRD009"/>
    <n v="1"/>
    <n v="52000"/>
    <n v="52000"/>
    <n v="35000"/>
    <n v="17000"/>
  </r>
  <r>
    <s v="TRX-202503-0249"/>
    <x v="68"/>
    <s v="CUST004"/>
    <s v="PRD001"/>
    <n v="4"/>
    <n v="175000"/>
    <n v="700000"/>
    <n v="480000"/>
    <n v="220000"/>
  </r>
  <r>
    <s v="TRX-202503-0249"/>
    <x v="68"/>
    <s v="CUST004"/>
    <s v="PRD011"/>
    <n v="1"/>
    <n v="35000"/>
    <n v="35000"/>
    <n v="22000"/>
    <n v="13000"/>
  </r>
  <r>
    <s v="TRX-202503-0250"/>
    <x v="68"/>
    <s v="CUST008"/>
    <s v="PRD007"/>
    <n v="3"/>
    <n v="225000"/>
    <n v="675000"/>
    <n v="540000"/>
    <n v="135000"/>
  </r>
  <r>
    <s v="TRX-202503-0250"/>
    <x v="68"/>
    <s v="CUST008"/>
    <s v="PRD003"/>
    <n v="1"/>
    <n v="130000"/>
    <n v="130000"/>
    <n v="85000"/>
    <n v="45000"/>
  </r>
  <r>
    <s v="TRX-202503-0251"/>
    <x v="69"/>
    <s v="CUST001"/>
    <s v="PRD004"/>
    <n v="5"/>
    <n v="105000"/>
    <n v="525000"/>
    <n v="350000"/>
    <n v="175000"/>
  </r>
  <r>
    <s v="TRX-202503-0251"/>
    <x v="69"/>
    <s v="CUST001"/>
    <s v="PRD005"/>
    <n v="4"/>
    <n v="105000"/>
    <n v="420000"/>
    <n v="280000"/>
    <n v="140000"/>
  </r>
  <r>
    <s v="TRX-202503-0252"/>
    <x v="69"/>
    <s v="CUST008"/>
    <s v="PRD010"/>
    <n v="4"/>
    <n v="20000"/>
    <n v="80000"/>
    <n v="48000"/>
    <n v="32000"/>
  </r>
  <r>
    <s v="TRX-202503-0252"/>
    <x v="69"/>
    <s v="CUST008"/>
    <s v="PRD008"/>
    <n v="4"/>
    <n v="40000"/>
    <n v="160000"/>
    <n v="112000"/>
    <n v="48000"/>
  </r>
  <r>
    <s v="TRX-202503-0253"/>
    <x v="69"/>
    <s v="CUST003"/>
    <s v="PRD007"/>
    <n v="1"/>
    <n v="225000"/>
    <n v="225000"/>
    <n v="180000"/>
    <n v="45000"/>
  </r>
  <r>
    <s v="TRX-202503-0254"/>
    <x v="69"/>
    <s v="CUST004"/>
    <s v="PRD006"/>
    <n v="6"/>
    <n v="110000"/>
    <n v="660000"/>
    <n v="450000"/>
    <n v="210000"/>
  </r>
  <r>
    <s v="TRX-202503-0254"/>
    <x v="69"/>
    <s v="CUST004"/>
    <s v="PRD011"/>
    <n v="1"/>
    <n v="35000"/>
    <n v="35000"/>
    <n v="22000"/>
    <n v="13000"/>
  </r>
  <r>
    <s v="TRX-202503-0254"/>
    <x v="69"/>
    <s v="CUST004"/>
    <s v="PRD001"/>
    <n v="7"/>
    <n v="175000"/>
    <n v="1225000"/>
    <n v="840000"/>
    <n v="385000"/>
  </r>
  <r>
    <s v="TRX-202503-0255"/>
    <x v="69"/>
    <s v="CUST005"/>
    <s v="PRD004"/>
    <n v="4"/>
    <n v="105000"/>
    <n v="420000"/>
    <n v="280000"/>
    <n v="140000"/>
  </r>
  <r>
    <s v="TRX-202503-0256"/>
    <x v="70"/>
    <s v="CUST004"/>
    <s v="PRD005"/>
    <n v="7"/>
    <n v="105000"/>
    <n v="735000"/>
    <n v="490000"/>
    <n v="245000"/>
  </r>
  <r>
    <s v="TRX-202503-0256"/>
    <x v="70"/>
    <s v="CUST004"/>
    <s v="PRD006"/>
    <n v="6"/>
    <n v="110000"/>
    <n v="660000"/>
    <n v="450000"/>
    <n v="210000"/>
  </r>
  <r>
    <s v="TRX-202503-0257"/>
    <x v="70"/>
    <s v="CUST006"/>
    <s v="PRD005"/>
    <n v="2"/>
    <n v="105000"/>
    <n v="210000"/>
    <n v="140000"/>
    <n v="70000"/>
  </r>
  <r>
    <s v="TRX-202503-0257"/>
    <x v="70"/>
    <s v="CUST006"/>
    <s v="PRD004"/>
    <n v="4"/>
    <n v="105000"/>
    <n v="420000"/>
    <n v="280000"/>
    <n v="140000"/>
  </r>
  <r>
    <s v="TRX-202503-0258"/>
    <x v="70"/>
    <s v="CUST003"/>
    <s v="PRD002"/>
    <n v="3"/>
    <n v="70000"/>
    <n v="210000"/>
    <n v="135000"/>
    <n v="75000"/>
  </r>
  <r>
    <s v="TRX-202503-0258"/>
    <x v="70"/>
    <s v="CUST003"/>
    <s v="PRD003"/>
    <n v="8"/>
    <n v="130000"/>
    <n v="1040000"/>
    <n v="680000"/>
    <n v="360000"/>
  </r>
  <r>
    <s v="TRX-202503-0258"/>
    <x v="70"/>
    <s v="CUST003"/>
    <s v="PRD012"/>
    <n v="8"/>
    <n v="48000"/>
    <n v="384000"/>
    <n v="256000"/>
    <n v="128000"/>
  </r>
  <r>
    <s v="TRX-202503-0259"/>
    <x v="71"/>
    <s v="CUST003"/>
    <s v="PRD007"/>
    <n v="8"/>
    <n v="225000"/>
    <n v="1800000"/>
    <n v="1440000"/>
    <n v="360000"/>
  </r>
  <r>
    <s v="TRX-202503-0260"/>
    <x v="71"/>
    <s v="CUST004"/>
    <s v="PRD008"/>
    <n v="2"/>
    <n v="40000"/>
    <n v="80000"/>
    <n v="56000"/>
    <n v="24000"/>
  </r>
  <r>
    <s v="TRX-202503-0261"/>
    <x v="71"/>
    <s v="CUST003"/>
    <s v="PRD001"/>
    <n v="1"/>
    <n v="175000"/>
    <n v="175000"/>
    <n v="120000"/>
    <n v="55000"/>
  </r>
  <r>
    <s v="TRX-202503-0262"/>
    <x v="71"/>
    <s v="CUST004"/>
    <s v="PRD004"/>
    <n v="7"/>
    <n v="105000"/>
    <n v="735000"/>
    <n v="490000"/>
    <n v="245000"/>
  </r>
  <r>
    <s v="TRX-202503-0263"/>
    <x v="72"/>
    <s v="CUST003"/>
    <s v="PRD004"/>
    <n v="5"/>
    <n v="105000"/>
    <n v="525000"/>
    <n v="350000"/>
    <n v="175000"/>
  </r>
  <r>
    <s v="TRX-202503-0263"/>
    <x v="72"/>
    <s v="CUST003"/>
    <s v="PRD003"/>
    <n v="5"/>
    <n v="130000"/>
    <n v="650000"/>
    <n v="425000"/>
    <n v="225000"/>
  </r>
  <r>
    <s v="TRX-202503-0264"/>
    <x v="72"/>
    <s v="CUST008"/>
    <s v="PRD001"/>
    <n v="4"/>
    <n v="175000"/>
    <n v="700000"/>
    <n v="480000"/>
    <n v="220000"/>
  </r>
  <r>
    <s v="TRX-202503-0265"/>
    <x v="72"/>
    <s v="CUST005"/>
    <s v="PRD007"/>
    <n v="8"/>
    <n v="225000"/>
    <n v="1800000"/>
    <n v="1440000"/>
    <n v="360000"/>
  </r>
  <r>
    <s v="TRX-202503-0265"/>
    <x v="72"/>
    <s v="CUST005"/>
    <s v="PRD009"/>
    <n v="1"/>
    <n v="52000"/>
    <n v="52000"/>
    <n v="35000"/>
    <n v="17000"/>
  </r>
  <r>
    <s v="TRX-202503-0266"/>
    <x v="72"/>
    <s v="CUST002"/>
    <s v="PRD007"/>
    <n v="7"/>
    <n v="225000"/>
    <n v="1575000"/>
    <n v="1260000"/>
    <n v="315000"/>
  </r>
  <r>
    <s v="TRX-202503-0266"/>
    <x v="72"/>
    <s v="CUST002"/>
    <s v="PRD003"/>
    <n v="4"/>
    <n v="130000"/>
    <n v="520000"/>
    <n v="340000"/>
    <n v="180000"/>
  </r>
  <r>
    <s v="TRX-202503-0267"/>
    <x v="72"/>
    <s v="CUST004"/>
    <s v="PRD009"/>
    <n v="6"/>
    <n v="52000"/>
    <n v="312000"/>
    <n v="210000"/>
    <n v="102000"/>
  </r>
  <r>
    <s v="TRX-202503-0267"/>
    <x v="72"/>
    <s v="CUST004"/>
    <s v="PRD001"/>
    <n v="8"/>
    <n v="175000"/>
    <n v="1400000"/>
    <n v="960000"/>
    <n v="440000"/>
  </r>
  <r>
    <s v="TRX-202503-0267"/>
    <x v="72"/>
    <s v="CUST004"/>
    <s v="PRD007"/>
    <n v="8"/>
    <n v="225000"/>
    <n v="1800000"/>
    <n v="1440000"/>
    <n v="360000"/>
  </r>
  <r>
    <s v="TRX-202503-0268"/>
    <x v="73"/>
    <s v="CUST007"/>
    <s v="PRD003"/>
    <n v="4"/>
    <n v="130000"/>
    <n v="520000"/>
    <n v="340000"/>
    <n v="180000"/>
  </r>
  <r>
    <s v="TRX-202503-0268"/>
    <x v="73"/>
    <s v="CUST007"/>
    <s v="PRD012"/>
    <n v="6"/>
    <n v="48000"/>
    <n v="288000"/>
    <n v="192000"/>
    <n v="96000"/>
  </r>
  <r>
    <s v="TRX-202503-0269"/>
    <x v="73"/>
    <s v="CUST006"/>
    <s v="PRD001"/>
    <n v="3"/>
    <n v="175000"/>
    <n v="525000"/>
    <n v="360000"/>
    <n v="165000"/>
  </r>
  <r>
    <s v="TRX-202503-0269"/>
    <x v="73"/>
    <s v="CUST006"/>
    <s v="PRD006"/>
    <n v="4"/>
    <n v="110000"/>
    <n v="440000"/>
    <n v="300000"/>
    <n v="140000"/>
  </r>
  <r>
    <s v="TRX-202503-0269"/>
    <x v="73"/>
    <s v="CUST006"/>
    <s v="PRD010"/>
    <n v="8"/>
    <n v="20000"/>
    <n v="160000"/>
    <n v="96000"/>
    <n v="64000"/>
  </r>
  <r>
    <s v="TRX-202503-0270"/>
    <x v="73"/>
    <s v="CUST005"/>
    <s v="PRD008"/>
    <n v="1"/>
    <n v="40000"/>
    <n v="40000"/>
    <n v="28000"/>
    <n v="12000"/>
  </r>
  <r>
    <s v="TRX-202503-0271"/>
    <x v="74"/>
    <s v="CUST006"/>
    <s v="PRD006"/>
    <n v="3"/>
    <n v="110000"/>
    <n v="330000"/>
    <n v="225000"/>
    <n v="105000"/>
  </r>
  <r>
    <s v="TRX-202503-0271"/>
    <x v="74"/>
    <s v="CUST006"/>
    <s v="PRD003"/>
    <n v="7"/>
    <n v="130000"/>
    <n v="910000"/>
    <n v="595000"/>
    <n v="315000"/>
  </r>
  <r>
    <s v="TRX-202503-0272"/>
    <x v="74"/>
    <s v="CUST008"/>
    <s v="PRD006"/>
    <n v="6"/>
    <n v="110000"/>
    <n v="660000"/>
    <n v="450000"/>
    <n v="210000"/>
  </r>
  <r>
    <s v="TRX-202503-0272"/>
    <x v="74"/>
    <s v="CUST008"/>
    <s v="PRD003"/>
    <n v="4"/>
    <n v="130000"/>
    <n v="520000"/>
    <n v="340000"/>
    <n v="180000"/>
  </r>
  <r>
    <s v="TRX-202503-0272"/>
    <x v="74"/>
    <s v="CUST008"/>
    <s v="PRD009"/>
    <n v="3"/>
    <n v="52000"/>
    <n v="156000"/>
    <n v="105000"/>
    <n v="51000"/>
  </r>
  <r>
    <s v="TRX-202503-0273"/>
    <x v="75"/>
    <s v="CUST002"/>
    <s v="PRD011"/>
    <n v="8"/>
    <n v="35000"/>
    <n v="280000"/>
    <n v="176000"/>
    <n v="104000"/>
  </r>
  <r>
    <s v="TRX-202503-0273"/>
    <x v="75"/>
    <s v="CUST002"/>
    <s v="PRD012"/>
    <n v="1"/>
    <n v="48000"/>
    <n v="48000"/>
    <n v="32000"/>
    <n v="16000"/>
  </r>
  <r>
    <s v="TRX-202503-0273"/>
    <x v="75"/>
    <s v="CUST002"/>
    <s v="PRD006"/>
    <n v="5"/>
    <n v="110000"/>
    <n v="550000"/>
    <n v="375000"/>
    <n v="175000"/>
  </r>
  <r>
    <s v="TRX-202503-0274"/>
    <x v="75"/>
    <s v="CUST004"/>
    <s v="PRD012"/>
    <n v="2"/>
    <n v="48000"/>
    <n v="96000"/>
    <n v="64000"/>
    <n v="32000"/>
  </r>
  <r>
    <s v="TRX-202503-0275"/>
    <x v="75"/>
    <s v="CUST006"/>
    <s v="PRD002"/>
    <n v="1"/>
    <n v="70000"/>
    <n v="70000"/>
    <n v="45000"/>
    <n v="25000"/>
  </r>
  <r>
    <s v="TRX-202503-0275"/>
    <x v="75"/>
    <s v="CUST006"/>
    <s v="PRD001"/>
    <n v="7"/>
    <n v="175000"/>
    <n v="1225000"/>
    <n v="840000"/>
    <n v="385000"/>
  </r>
  <r>
    <s v="TRX-202503-0276"/>
    <x v="76"/>
    <s v="CUST002"/>
    <s v="PRD002"/>
    <n v="8"/>
    <n v="70000"/>
    <n v="560000"/>
    <n v="360000"/>
    <n v="200000"/>
  </r>
  <r>
    <s v="TRX-202503-0276"/>
    <x v="76"/>
    <s v="CUST002"/>
    <s v="PRD006"/>
    <n v="1"/>
    <n v="110000"/>
    <n v="110000"/>
    <n v="75000"/>
    <n v="35000"/>
  </r>
  <r>
    <s v="TRX-202503-0276"/>
    <x v="76"/>
    <s v="CUST002"/>
    <s v="PRD010"/>
    <n v="7"/>
    <n v="20000"/>
    <n v="140000"/>
    <n v="84000"/>
    <n v="56000"/>
  </r>
  <r>
    <s v="TRX-202503-0277"/>
    <x v="76"/>
    <s v="CUST003"/>
    <s v="PRD007"/>
    <n v="2"/>
    <n v="225000"/>
    <n v="450000"/>
    <n v="360000"/>
    <n v="90000"/>
  </r>
  <r>
    <s v="TRX-202503-0277"/>
    <x v="76"/>
    <s v="CUST003"/>
    <s v="PRD003"/>
    <n v="6"/>
    <n v="130000"/>
    <n v="780000"/>
    <n v="510000"/>
    <n v="270000"/>
  </r>
  <r>
    <s v="TRX-202503-0277"/>
    <x v="76"/>
    <s v="CUST003"/>
    <s v="PRD001"/>
    <n v="4"/>
    <n v="175000"/>
    <n v="700000"/>
    <n v="480000"/>
    <n v="220000"/>
  </r>
  <r>
    <s v="TRX-202503-0278"/>
    <x v="76"/>
    <s v="CUST004"/>
    <s v="PRD012"/>
    <n v="5"/>
    <n v="48000"/>
    <n v="240000"/>
    <n v="160000"/>
    <n v="80000"/>
  </r>
  <r>
    <s v="TRX-202503-0278"/>
    <x v="76"/>
    <s v="CUST004"/>
    <s v="PRD009"/>
    <n v="5"/>
    <n v="52000"/>
    <n v="260000"/>
    <n v="175000"/>
    <n v="85000"/>
  </r>
  <r>
    <s v="TRX-202503-0279"/>
    <x v="77"/>
    <s v="CUST008"/>
    <s v="PRD005"/>
    <n v="7"/>
    <n v="105000"/>
    <n v="735000"/>
    <n v="490000"/>
    <n v="245000"/>
  </r>
  <r>
    <s v="TRX-202503-0279"/>
    <x v="77"/>
    <s v="CUST008"/>
    <s v="PRD002"/>
    <n v="3"/>
    <n v="70000"/>
    <n v="210000"/>
    <n v="135000"/>
    <n v="75000"/>
  </r>
  <r>
    <s v="TRX-202503-0279"/>
    <x v="77"/>
    <s v="CUST008"/>
    <s v="PRD009"/>
    <n v="6"/>
    <n v="52000"/>
    <n v="312000"/>
    <n v="210000"/>
    <n v="102000"/>
  </r>
  <r>
    <s v="TRX-202503-0280"/>
    <x v="77"/>
    <s v="CUST007"/>
    <s v="PRD003"/>
    <n v="1"/>
    <n v="130000"/>
    <n v="130000"/>
    <n v="85000"/>
    <n v="45000"/>
  </r>
  <r>
    <s v="TRX-202503-0280"/>
    <x v="77"/>
    <s v="CUST007"/>
    <s v="PRD008"/>
    <n v="5"/>
    <n v="40000"/>
    <n v="200000"/>
    <n v="140000"/>
    <n v="60000"/>
  </r>
  <r>
    <s v="TRX-202503-0281"/>
    <x v="77"/>
    <s v="CUST008"/>
    <s v="PRD005"/>
    <n v="5"/>
    <n v="105000"/>
    <n v="525000"/>
    <n v="350000"/>
    <n v="175000"/>
  </r>
  <r>
    <s v="TRX-202503-0281"/>
    <x v="77"/>
    <s v="CUST008"/>
    <s v="PRD004"/>
    <n v="1"/>
    <n v="105000"/>
    <n v="105000"/>
    <n v="70000"/>
    <n v="35000"/>
  </r>
  <r>
    <s v="TRX-202503-0282"/>
    <x v="77"/>
    <s v="CUST003"/>
    <s v="PRD011"/>
    <n v="6"/>
    <n v="35000"/>
    <n v="210000"/>
    <n v="132000"/>
    <n v="78000"/>
  </r>
  <r>
    <s v="TRX-202503-0282"/>
    <x v="77"/>
    <s v="CUST003"/>
    <s v="PRD002"/>
    <n v="7"/>
    <n v="70000"/>
    <n v="490000"/>
    <n v="315000"/>
    <n v="175000"/>
  </r>
  <r>
    <s v="TRX-202503-0282"/>
    <x v="77"/>
    <s v="CUST003"/>
    <s v="PRD012"/>
    <n v="4"/>
    <n v="48000"/>
    <n v="192000"/>
    <n v="128000"/>
    <n v="64000"/>
  </r>
  <r>
    <s v="TRX-202503-0283"/>
    <x v="77"/>
    <s v="CUST001"/>
    <s v="PRD009"/>
    <n v="8"/>
    <n v="52000"/>
    <n v="416000"/>
    <n v="280000"/>
    <n v="136000"/>
  </r>
  <r>
    <s v="TRX-202503-0283"/>
    <x v="77"/>
    <s v="CUST001"/>
    <s v="PRD007"/>
    <n v="4"/>
    <n v="225000"/>
    <n v="900000"/>
    <n v="720000"/>
    <n v="180000"/>
  </r>
  <r>
    <s v="TRX-202503-0284"/>
    <x v="78"/>
    <s v="CUST005"/>
    <s v="PRD012"/>
    <n v="2"/>
    <n v="48000"/>
    <n v="96000"/>
    <n v="64000"/>
    <n v="32000"/>
  </r>
  <r>
    <s v="TRX-202503-0284"/>
    <x v="78"/>
    <s v="CUST005"/>
    <s v="PRD002"/>
    <n v="7"/>
    <n v="70000"/>
    <n v="490000"/>
    <n v="315000"/>
    <n v="175000"/>
  </r>
  <r>
    <s v="TRX-202503-0285"/>
    <x v="78"/>
    <s v="CUST007"/>
    <s v="PRD006"/>
    <n v="8"/>
    <n v="110000"/>
    <n v="880000"/>
    <n v="600000"/>
    <n v="280000"/>
  </r>
  <r>
    <s v="TRX-202503-0285"/>
    <x v="78"/>
    <s v="CUST007"/>
    <s v="PRD005"/>
    <n v="1"/>
    <n v="105000"/>
    <n v="105000"/>
    <n v="70000"/>
    <n v="35000"/>
  </r>
  <r>
    <s v="TRX-202503-0285"/>
    <x v="78"/>
    <s v="CUST007"/>
    <s v="PRD009"/>
    <n v="7"/>
    <n v="52000"/>
    <n v="364000"/>
    <n v="245000"/>
    <n v="119000"/>
  </r>
  <r>
    <s v="TRX-202503-0286"/>
    <x v="78"/>
    <s v="CUST002"/>
    <s v="PRD003"/>
    <n v="2"/>
    <n v="130000"/>
    <n v="260000"/>
    <n v="170000"/>
    <n v="90000"/>
  </r>
  <r>
    <s v="TRX-202503-0286"/>
    <x v="78"/>
    <s v="CUST002"/>
    <s v="PRD012"/>
    <n v="2"/>
    <n v="48000"/>
    <n v="96000"/>
    <n v="64000"/>
    <n v="32000"/>
  </r>
  <r>
    <s v="TRX-202503-0287"/>
    <x v="79"/>
    <s v="CUST006"/>
    <s v="PRD006"/>
    <n v="5"/>
    <n v="110000"/>
    <n v="550000"/>
    <n v="375000"/>
    <n v="175000"/>
  </r>
  <r>
    <s v="TRX-202503-0288"/>
    <x v="79"/>
    <s v="CUST005"/>
    <s v="PRD008"/>
    <n v="2"/>
    <n v="40000"/>
    <n v="80000"/>
    <n v="56000"/>
    <n v="24000"/>
  </r>
  <r>
    <s v="TRX-202503-0288"/>
    <x v="79"/>
    <s v="CUST005"/>
    <s v="PRD011"/>
    <n v="4"/>
    <n v="35000"/>
    <n v="140000"/>
    <n v="88000"/>
    <n v="52000"/>
  </r>
  <r>
    <s v="TRX-202503-0289"/>
    <x v="79"/>
    <s v="CUST003"/>
    <s v="PRD012"/>
    <n v="6"/>
    <n v="48000"/>
    <n v="288000"/>
    <n v="192000"/>
    <n v="96000"/>
  </r>
  <r>
    <s v="TRX-202503-0289"/>
    <x v="79"/>
    <s v="CUST003"/>
    <s v="PRD008"/>
    <n v="5"/>
    <n v="40000"/>
    <n v="200000"/>
    <n v="140000"/>
    <n v="60000"/>
  </r>
  <r>
    <s v="TRX-202503-0290"/>
    <x v="79"/>
    <s v="CUST007"/>
    <s v="PRD011"/>
    <n v="8"/>
    <n v="35000"/>
    <n v="280000"/>
    <n v="176000"/>
    <n v="104000"/>
  </r>
  <r>
    <s v="TRX-202503-0290"/>
    <x v="79"/>
    <s v="CUST007"/>
    <s v="PRD002"/>
    <n v="4"/>
    <n v="70000"/>
    <n v="280000"/>
    <n v="180000"/>
    <n v="100000"/>
  </r>
  <r>
    <s v="TRX-202503-0290"/>
    <x v="79"/>
    <s v="CUST007"/>
    <s v="PRD004"/>
    <n v="7"/>
    <n v="105000"/>
    <n v="735000"/>
    <n v="490000"/>
    <n v="245000"/>
  </r>
  <r>
    <s v="TRX-202503-0291"/>
    <x v="80"/>
    <s v="CUST006"/>
    <s v="PRD009"/>
    <n v="2"/>
    <n v="52000"/>
    <n v="104000"/>
    <n v="70000"/>
    <n v="34000"/>
  </r>
  <r>
    <s v="TRX-202503-0291"/>
    <x v="80"/>
    <s v="CUST006"/>
    <s v="PRD007"/>
    <n v="1"/>
    <n v="225000"/>
    <n v="225000"/>
    <n v="180000"/>
    <n v="45000"/>
  </r>
  <r>
    <s v="TRX-202503-0292"/>
    <x v="80"/>
    <s v="CUST004"/>
    <s v="PRD008"/>
    <n v="8"/>
    <n v="40000"/>
    <n v="320000"/>
    <n v="224000"/>
    <n v="96000"/>
  </r>
  <r>
    <s v="TRX-202503-0292"/>
    <x v="80"/>
    <s v="CUST004"/>
    <s v="PRD010"/>
    <n v="3"/>
    <n v="20000"/>
    <n v="60000"/>
    <n v="36000"/>
    <n v="24000"/>
  </r>
  <r>
    <s v="TRX-202503-0293"/>
    <x v="80"/>
    <s v="CUST008"/>
    <s v="PRD009"/>
    <n v="3"/>
    <n v="52000"/>
    <n v="156000"/>
    <n v="105000"/>
    <n v="51000"/>
  </r>
  <r>
    <s v="TRX-202503-0293"/>
    <x v="80"/>
    <s v="CUST008"/>
    <s v="PRD006"/>
    <n v="5"/>
    <n v="110000"/>
    <n v="550000"/>
    <n v="375000"/>
    <n v="175000"/>
  </r>
  <r>
    <s v="TRX-202503-0293"/>
    <x v="80"/>
    <s v="CUST008"/>
    <s v="PRD011"/>
    <n v="2"/>
    <n v="35000"/>
    <n v="70000"/>
    <n v="44000"/>
    <n v="26000"/>
  </r>
  <r>
    <s v="TRX-202503-0294"/>
    <x v="80"/>
    <s v="CUST005"/>
    <s v="PRD007"/>
    <n v="1"/>
    <n v="225000"/>
    <n v="225000"/>
    <n v="180000"/>
    <n v="45000"/>
  </r>
  <r>
    <s v="TRX-202503-0295"/>
    <x v="81"/>
    <s v="CUST008"/>
    <s v="PRD004"/>
    <n v="5"/>
    <n v="105000"/>
    <n v="525000"/>
    <n v="350000"/>
    <n v="175000"/>
  </r>
  <r>
    <s v="TRX-202503-0295"/>
    <x v="81"/>
    <s v="CUST008"/>
    <s v="PRD008"/>
    <n v="7"/>
    <n v="40000"/>
    <n v="280000"/>
    <n v="196000"/>
    <n v="84000"/>
  </r>
  <r>
    <s v="TRX-202503-0296"/>
    <x v="81"/>
    <s v="CUST002"/>
    <s v="PRD009"/>
    <n v="6"/>
    <n v="52000"/>
    <n v="312000"/>
    <n v="210000"/>
    <n v="102000"/>
  </r>
  <r>
    <s v="TRX-202503-0297"/>
    <x v="81"/>
    <s v="CUST005"/>
    <s v="PRD011"/>
    <n v="8"/>
    <n v="35000"/>
    <n v="280000"/>
    <n v="176000"/>
    <n v="104000"/>
  </r>
  <r>
    <s v="TRX-202503-0297"/>
    <x v="81"/>
    <s v="CUST005"/>
    <s v="PRD002"/>
    <n v="2"/>
    <n v="70000"/>
    <n v="140000"/>
    <n v="90000"/>
    <n v="50000"/>
  </r>
  <r>
    <s v="TRX-202503-0298"/>
    <x v="81"/>
    <s v="CUST006"/>
    <s v="PRD011"/>
    <n v="5"/>
    <n v="35000"/>
    <n v="175000"/>
    <n v="110000"/>
    <n v="65000"/>
  </r>
  <r>
    <s v="TRX-202503-0298"/>
    <x v="81"/>
    <s v="CUST006"/>
    <s v="PRD006"/>
    <n v="5"/>
    <n v="110000"/>
    <n v="550000"/>
    <n v="375000"/>
    <n v="175000"/>
  </r>
  <r>
    <s v="TRX-202503-0299"/>
    <x v="82"/>
    <s v="CUST008"/>
    <s v="PRD006"/>
    <n v="3"/>
    <n v="110000"/>
    <n v="330000"/>
    <n v="225000"/>
    <n v="105000"/>
  </r>
  <r>
    <s v="TRX-202503-0299"/>
    <x v="82"/>
    <s v="CUST008"/>
    <s v="PRD009"/>
    <n v="3"/>
    <n v="52000"/>
    <n v="156000"/>
    <n v="105000"/>
    <n v="51000"/>
  </r>
  <r>
    <s v="TRX-202503-0299"/>
    <x v="82"/>
    <s v="CUST008"/>
    <s v="PRD005"/>
    <n v="5"/>
    <n v="105000"/>
    <n v="525000"/>
    <n v="350000"/>
    <n v="175000"/>
  </r>
  <r>
    <s v="TRX-202503-0300"/>
    <x v="82"/>
    <s v="CUST002"/>
    <s v="PRD003"/>
    <n v="3"/>
    <n v="130000"/>
    <n v="390000"/>
    <n v="255000"/>
    <n v="135000"/>
  </r>
  <r>
    <s v="TRX-202503-0300"/>
    <x v="82"/>
    <s v="CUST002"/>
    <s v="PRD005"/>
    <n v="6"/>
    <n v="105000"/>
    <n v="630000"/>
    <n v="420000"/>
    <n v="210000"/>
  </r>
  <r>
    <s v="TRX-202503-0301"/>
    <x v="82"/>
    <s v="CUST002"/>
    <s v="PRD006"/>
    <n v="4"/>
    <n v="110000"/>
    <n v="440000"/>
    <n v="300000"/>
    <n v="140000"/>
  </r>
  <r>
    <s v="TRX-202503-0302"/>
    <x v="83"/>
    <s v="CUST006"/>
    <s v="PRD010"/>
    <n v="3"/>
    <n v="20000"/>
    <n v="60000"/>
    <n v="36000"/>
    <n v="24000"/>
  </r>
  <r>
    <s v="TRX-202503-0302"/>
    <x v="83"/>
    <s v="CUST006"/>
    <s v="PRD008"/>
    <n v="6"/>
    <n v="40000"/>
    <n v="240000"/>
    <n v="168000"/>
    <n v="72000"/>
  </r>
  <r>
    <s v="TRX-202503-0303"/>
    <x v="83"/>
    <s v="CUST003"/>
    <s v="PRD008"/>
    <n v="6"/>
    <n v="40000"/>
    <n v="240000"/>
    <n v="168000"/>
    <n v="72000"/>
  </r>
  <r>
    <s v="TRX-202503-0304"/>
    <x v="83"/>
    <s v="CUST003"/>
    <s v="PRD011"/>
    <n v="1"/>
    <n v="35000"/>
    <n v="35000"/>
    <n v="22000"/>
    <n v="13000"/>
  </r>
  <r>
    <s v="TRX-202503-0304"/>
    <x v="83"/>
    <s v="CUST003"/>
    <s v="PRD001"/>
    <n v="8"/>
    <n v="175000"/>
    <n v="1400000"/>
    <n v="960000"/>
    <n v="440000"/>
  </r>
  <r>
    <s v="TRX-202503-0305"/>
    <x v="84"/>
    <s v="CUST004"/>
    <s v="PRD006"/>
    <n v="2"/>
    <n v="110000"/>
    <n v="220000"/>
    <n v="150000"/>
    <n v="70000"/>
  </r>
  <r>
    <s v="TRX-202503-0305"/>
    <x v="84"/>
    <s v="CUST004"/>
    <s v="PRD005"/>
    <n v="7"/>
    <n v="105000"/>
    <n v="735000"/>
    <n v="490000"/>
    <n v="245000"/>
  </r>
  <r>
    <s v="TRX-202503-0305"/>
    <x v="84"/>
    <s v="CUST004"/>
    <s v="PRD003"/>
    <n v="5"/>
    <n v="130000"/>
    <n v="650000"/>
    <n v="425000"/>
    <n v="225000"/>
  </r>
  <r>
    <s v="TRX-202503-0306"/>
    <x v="84"/>
    <s v="CUST003"/>
    <s v="PRD001"/>
    <n v="5"/>
    <n v="175000"/>
    <n v="875000"/>
    <n v="600000"/>
    <n v="275000"/>
  </r>
  <r>
    <s v="TRX-202503-0307"/>
    <x v="84"/>
    <s v="CUST005"/>
    <s v="PRD012"/>
    <n v="6"/>
    <n v="48000"/>
    <n v="288000"/>
    <n v="192000"/>
    <n v="96000"/>
  </r>
  <r>
    <s v="TRX-202503-0307"/>
    <x v="84"/>
    <s v="CUST005"/>
    <s v="PRD009"/>
    <n v="7"/>
    <n v="52000"/>
    <n v="364000"/>
    <n v="245000"/>
    <n v="119000"/>
  </r>
  <r>
    <s v="TRX-202503-0308"/>
    <x v="85"/>
    <s v="CUST001"/>
    <s v="PRD002"/>
    <n v="1"/>
    <n v="70000"/>
    <n v="70000"/>
    <n v="45000"/>
    <n v="25000"/>
  </r>
  <r>
    <s v="TRX-202503-0308"/>
    <x v="85"/>
    <s v="CUST001"/>
    <s v="PRD011"/>
    <n v="2"/>
    <n v="35000"/>
    <n v="70000"/>
    <n v="44000"/>
    <n v="26000"/>
  </r>
  <r>
    <s v="TRX-202503-0308"/>
    <x v="85"/>
    <s v="CUST001"/>
    <s v="PRD001"/>
    <n v="7"/>
    <n v="175000"/>
    <n v="1225000"/>
    <n v="840000"/>
    <n v="385000"/>
  </r>
  <r>
    <s v="TRX-202503-0309"/>
    <x v="85"/>
    <s v="CUST008"/>
    <s v="PRD002"/>
    <n v="5"/>
    <n v="70000"/>
    <n v="350000"/>
    <n v="225000"/>
    <n v="125000"/>
  </r>
  <r>
    <s v="TRX-202503-0309"/>
    <x v="85"/>
    <s v="CUST008"/>
    <s v="PRD009"/>
    <n v="8"/>
    <n v="52000"/>
    <n v="416000"/>
    <n v="280000"/>
    <n v="136000"/>
  </r>
  <r>
    <s v="TRX-202503-0310"/>
    <x v="86"/>
    <s v="CUST006"/>
    <s v="PRD007"/>
    <n v="1"/>
    <n v="225000"/>
    <n v="225000"/>
    <n v="180000"/>
    <n v="45000"/>
  </r>
  <r>
    <s v="TRX-202503-0310"/>
    <x v="86"/>
    <s v="CUST006"/>
    <s v="PRD005"/>
    <n v="8"/>
    <n v="105000"/>
    <n v="840000"/>
    <n v="560000"/>
    <n v="280000"/>
  </r>
  <r>
    <s v="TRX-202503-0310"/>
    <x v="86"/>
    <s v="CUST006"/>
    <s v="PRD003"/>
    <n v="4"/>
    <n v="130000"/>
    <n v="520000"/>
    <n v="340000"/>
    <n v="180000"/>
  </r>
  <r>
    <s v="TRX-202503-0311"/>
    <x v="86"/>
    <s v="CUST008"/>
    <s v="PRD004"/>
    <n v="1"/>
    <n v="105000"/>
    <n v="105000"/>
    <n v="70000"/>
    <n v="35000"/>
  </r>
  <r>
    <s v="TRX-202503-0311"/>
    <x v="86"/>
    <s v="CUST008"/>
    <s v="PRD001"/>
    <n v="2"/>
    <n v="175000"/>
    <n v="350000"/>
    <n v="240000"/>
    <n v="110000"/>
  </r>
  <r>
    <s v="TRX-202503-0312"/>
    <x v="86"/>
    <s v="CUST002"/>
    <s v="PRD011"/>
    <n v="2"/>
    <n v="35000"/>
    <n v="70000"/>
    <n v="44000"/>
    <n v="26000"/>
  </r>
  <r>
    <s v="TRX-202503-0312"/>
    <x v="86"/>
    <s v="CUST002"/>
    <s v="PRD008"/>
    <n v="2"/>
    <n v="40000"/>
    <n v="80000"/>
    <n v="56000"/>
    <n v="24000"/>
  </r>
  <r>
    <s v="TRX-202503-0312"/>
    <x v="86"/>
    <s v="CUST002"/>
    <s v="PRD003"/>
    <n v="2"/>
    <n v="130000"/>
    <n v="260000"/>
    <n v="170000"/>
    <n v="90000"/>
  </r>
  <r>
    <s v="TRX-202503-0313"/>
    <x v="87"/>
    <s v="CUST005"/>
    <s v="PRD002"/>
    <n v="3"/>
    <n v="70000"/>
    <n v="210000"/>
    <n v="135000"/>
    <n v="75000"/>
  </r>
  <r>
    <s v="TRX-202503-0313"/>
    <x v="87"/>
    <s v="CUST005"/>
    <s v="PRD006"/>
    <n v="2"/>
    <n v="110000"/>
    <n v="220000"/>
    <n v="150000"/>
    <n v="70000"/>
  </r>
  <r>
    <s v="TRX-202503-0313"/>
    <x v="87"/>
    <s v="CUST005"/>
    <s v="PRD011"/>
    <n v="7"/>
    <n v="35000"/>
    <n v="245000"/>
    <n v="154000"/>
    <n v="91000"/>
  </r>
  <r>
    <s v="TRX-202503-0314"/>
    <x v="87"/>
    <s v="CUST007"/>
    <s v="PRD005"/>
    <n v="8"/>
    <n v="105000"/>
    <n v="840000"/>
    <n v="560000"/>
    <n v="280000"/>
  </r>
  <r>
    <s v="TRX-202503-0314"/>
    <x v="87"/>
    <s v="CUST007"/>
    <s v="PRD007"/>
    <n v="7"/>
    <n v="225000"/>
    <n v="1575000"/>
    <n v="1260000"/>
    <n v="315000"/>
  </r>
  <r>
    <s v="TRX-202503-0315"/>
    <x v="87"/>
    <s v="CUST003"/>
    <s v="PRD003"/>
    <n v="1"/>
    <n v="130000"/>
    <n v="130000"/>
    <n v="85000"/>
    <n v="45000"/>
  </r>
  <r>
    <s v="TRX-202503-0316"/>
    <x v="87"/>
    <s v="CUST003"/>
    <s v="PRD007"/>
    <n v="8"/>
    <n v="225000"/>
    <n v="1800000"/>
    <n v="1440000"/>
    <n v="360000"/>
  </r>
  <r>
    <s v="TRX-202503-0317"/>
    <x v="87"/>
    <s v="CUST008"/>
    <s v="PRD010"/>
    <n v="7"/>
    <n v="20000"/>
    <n v="140000"/>
    <n v="84000"/>
    <n v="56000"/>
  </r>
  <r>
    <s v="TRX-202503-0318"/>
    <x v="88"/>
    <s v="CUST007"/>
    <s v="PRD012"/>
    <n v="6"/>
    <n v="48000"/>
    <n v="288000"/>
    <n v="192000"/>
    <n v="96000"/>
  </r>
  <r>
    <s v="TRX-202503-0318"/>
    <x v="88"/>
    <s v="CUST007"/>
    <s v="PRD004"/>
    <n v="7"/>
    <n v="105000"/>
    <n v="735000"/>
    <n v="490000"/>
    <n v="245000"/>
  </r>
  <r>
    <s v="TRX-202503-0318"/>
    <x v="88"/>
    <s v="CUST007"/>
    <s v="PRD008"/>
    <n v="3"/>
    <n v="40000"/>
    <n v="120000"/>
    <n v="84000"/>
    <n v="36000"/>
  </r>
  <r>
    <s v="TRX-202503-0319"/>
    <x v="88"/>
    <s v="CUST001"/>
    <s v="PRD011"/>
    <n v="3"/>
    <n v="35000"/>
    <n v="105000"/>
    <n v="66000"/>
    <n v="39000"/>
  </r>
  <r>
    <s v="TRX-202503-0320"/>
    <x v="89"/>
    <s v="CUST002"/>
    <s v="PRD007"/>
    <n v="1"/>
    <n v="225000"/>
    <n v="225000"/>
    <n v="180000"/>
    <n v="45000"/>
  </r>
  <r>
    <s v="TRX-202503-0320"/>
    <x v="89"/>
    <s v="CUST002"/>
    <s v="PRD001"/>
    <n v="2"/>
    <n v="175000"/>
    <n v="350000"/>
    <n v="240000"/>
    <n v="110000"/>
  </r>
  <r>
    <s v="TRX-202503-0321"/>
    <x v="89"/>
    <s v="CUST005"/>
    <s v="PRD009"/>
    <n v="6"/>
    <n v="52000"/>
    <n v="312000"/>
    <n v="210000"/>
    <n v="102000"/>
  </r>
  <r>
    <s v="TRX-202503-0321"/>
    <x v="89"/>
    <s v="CUST005"/>
    <s v="PRD004"/>
    <n v="6"/>
    <n v="105000"/>
    <n v="630000"/>
    <n v="420000"/>
    <n v="210000"/>
  </r>
  <r>
    <s v="TRX-202503-0321"/>
    <x v="89"/>
    <s v="CUST005"/>
    <s v="PRD008"/>
    <n v="1"/>
    <n v="40000"/>
    <n v="40000"/>
    <n v="28000"/>
    <n v="12000"/>
  </r>
  <r>
    <s v="TRX-202504-0322"/>
    <x v="90"/>
    <s v="CUST002"/>
    <s v="PRD010"/>
    <n v="4"/>
    <n v="20000"/>
    <n v="80000"/>
    <n v="48000"/>
    <n v="32000"/>
  </r>
  <r>
    <s v="TRX-202504-0322"/>
    <x v="90"/>
    <s v="CUST002"/>
    <s v="PRD004"/>
    <n v="2"/>
    <n v="105000"/>
    <n v="210000"/>
    <n v="140000"/>
    <n v="70000"/>
  </r>
  <r>
    <s v="TRX-202504-0323"/>
    <x v="90"/>
    <s v="CUST007"/>
    <s v="PRD008"/>
    <n v="4"/>
    <n v="40000"/>
    <n v="160000"/>
    <n v="112000"/>
    <n v="48000"/>
  </r>
  <r>
    <s v="TRX-202504-0324"/>
    <x v="90"/>
    <s v="CUST006"/>
    <s v="PRD007"/>
    <n v="1"/>
    <n v="225000"/>
    <n v="225000"/>
    <n v="180000"/>
    <n v="45000"/>
  </r>
  <r>
    <s v="TRX-202504-0325"/>
    <x v="90"/>
    <s v="CUST002"/>
    <s v="PRD008"/>
    <n v="3"/>
    <n v="40000"/>
    <n v="120000"/>
    <n v="84000"/>
    <n v="36000"/>
  </r>
  <r>
    <s v="TRX-202504-0325"/>
    <x v="90"/>
    <s v="CUST002"/>
    <s v="PRD011"/>
    <n v="8"/>
    <n v="35000"/>
    <n v="280000"/>
    <n v="176000"/>
    <n v="104000"/>
  </r>
  <r>
    <s v="TRX-202504-0326"/>
    <x v="90"/>
    <s v="CUST001"/>
    <s v="PRD012"/>
    <n v="7"/>
    <n v="48000"/>
    <n v="336000"/>
    <n v="224000"/>
    <n v="112000"/>
  </r>
  <r>
    <s v="TRX-202504-0326"/>
    <x v="90"/>
    <s v="CUST001"/>
    <s v="PRD001"/>
    <n v="8"/>
    <n v="175000"/>
    <n v="1400000"/>
    <n v="960000"/>
    <n v="440000"/>
  </r>
  <r>
    <s v="TRX-202504-0326"/>
    <x v="90"/>
    <s v="CUST001"/>
    <s v="PRD009"/>
    <n v="3"/>
    <n v="52000"/>
    <n v="156000"/>
    <n v="105000"/>
    <n v="51000"/>
  </r>
  <r>
    <s v="TRX-202504-0327"/>
    <x v="91"/>
    <s v="CUST006"/>
    <s v="PRD012"/>
    <n v="4"/>
    <n v="48000"/>
    <n v="192000"/>
    <n v="128000"/>
    <n v="64000"/>
  </r>
  <r>
    <s v="TRX-202504-0327"/>
    <x v="91"/>
    <s v="CUST006"/>
    <s v="PRD009"/>
    <n v="4"/>
    <n v="52000"/>
    <n v="208000"/>
    <n v="140000"/>
    <n v="68000"/>
  </r>
  <r>
    <s v="TRX-202504-0327"/>
    <x v="91"/>
    <s v="CUST006"/>
    <s v="PRD004"/>
    <n v="5"/>
    <n v="105000"/>
    <n v="525000"/>
    <n v="350000"/>
    <n v="175000"/>
  </r>
  <r>
    <s v="TRX-202504-0328"/>
    <x v="91"/>
    <s v="CUST006"/>
    <s v="PRD003"/>
    <n v="6"/>
    <n v="130000"/>
    <n v="780000"/>
    <n v="510000"/>
    <n v="270000"/>
  </r>
  <r>
    <s v="TRX-202504-0328"/>
    <x v="91"/>
    <s v="CUST006"/>
    <s v="PRD011"/>
    <n v="2"/>
    <n v="35000"/>
    <n v="70000"/>
    <n v="44000"/>
    <n v="26000"/>
  </r>
  <r>
    <s v="TRX-202504-0328"/>
    <x v="91"/>
    <s v="CUST006"/>
    <s v="PRD012"/>
    <n v="6"/>
    <n v="48000"/>
    <n v="288000"/>
    <n v="192000"/>
    <n v="96000"/>
  </r>
  <r>
    <s v="TRX-202504-0329"/>
    <x v="91"/>
    <s v="CUST008"/>
    <s v="PRD010"/>
    <n v="5"/>
    <n v="20000"/>
    <n v="100000"/>
    <n v="60000"/>
    <n v="40000"/>
  </r>
  <r>
    <s v="TRX-202504-0329"/>
    <x v="91"/>
    <s v="CUST008"/>
    <s v="PRD011"/>
    <n v="7"/>
    <n v="35000"/>
    <n v="245000"/>
    <n v="154000"/>
    <n v="91000"/>
  </r>
  <r>
    <s v="TRX-202504-0329"/>
    <x v="91"/>
    <s v="CUST008"/>
    <s v="PRD007"/>
    <n v="1"/>
    <n v="225000"/>
    <n v="225000"/>
    <n v="180000"/>
    <n v="45000"/>
  </r>
  <r>
    <s v="TRX-202504-0330"/>
    <x v="91"/>
    <s v="CUST002"/>
    <s v="PRD007"/>
    <n v="3"/>
    <n v="225000"/>
    <n v="675000"/>
    <n v="540000"/>
    <n v="135000"/>
  </r>
  <r>
    <s v="TRX-202504-0331"/>
    <x v="92"/>
    <s v="CUST001"/>
    <s v="PRD007"/>
    <n v="6"/>
    <n v="225000"/>
    <n v="1350000"/>
    <n v="1080000"/>
    <n v="270000"/>
  </r>
  <r>
    <s v="TRX-202504-0331"/>
    <x v="92"/>
    <s v="CUST001"/>
    <s v="PRD012"/>
    <n v="1"/>
    <n v="48000"/>
    <n v="48000"/>
    <n v="32000"/>
    <n v="16000"/>
  </r>
  <r>
    <s v="TRX-202504-0332"/>
    <x v="92"/>
    <s v="CUST001"/>
    <s v="PRD005"/>
    <n v="8"/>
    <n v="105000"/>
    <n v="840000"/>
    <n v="560000"/>
    <n v="280000"/>
  </r>
  <r>
    <s v="TRX-202504-0332"/>
    <x v="92"/>
    <s v="CUST001"/>
    <s v="PRD004"/>
    <n v="4"/>
    <n v="105000"/>
    <n v="420000"/>
    <n v="280000"/>
    <n v="140000"/>
  </r>
  <r>
    <s v="TRX-202504-0332"/>
    <x v="92"/>
    <s v="CUST001"/>
    <s v="PRD010"/>
    <n v="6"/>
    <n v="20000"/>
    <n v="120000"/>
    <n v="72000"/>
    <n v="48000"/>
  </r>
  <r>
    <s v="TRX-202504-0333"/>
    <x v="92"/>
    <s v="CUST004"/>
    <s v="PRD004"/>
    <n v="3"/>
    <n v="105000"/>
    <n v="315000"/>
    <n v="210000"/>
    <n v="105000"/>
  </r>
  <r>
    <s v="TRX-202504-0333"/>
    <x v="92"/>
    <s v="CUST004"/>
    <s v="PRD005"/>
    <n v="2"/>
    <n v="105000"/>
    <n v="210000"/>
    <n v="140000"/>
    <n v="70000"/>
  </r>
  <r>
    <s v="TRX-202504-0333"/>
    <x v="92"/>
    <s v="CUST004"/>
    <s v="PRD008"/>
    <n v="3"/>
    <n v="40000"/>
    <n v="120000"/>
    <n v="84000"/>
    <n v="36000"/>
  </r>
  <r>
    <s v="TRX-202504-0334"/>
    <x v="92"/>
    <s v="CUST003"/>
    <s v="PRD009"/>
    <n v="1"/>
    <n v="52000"/>
    <n v="52000"/>
    <n v="35000"/>
    <n v="17000"/>
  </r>
  <r>
    <s v="TRX-202504-0334"/>
    <x v="92"/>
    <s v="CUST003"/>
    <s v="PRD002"/>
    <n v="7"/>
    <n v="70000"/>
    <n v="490000"/>
    <n v="315000"/>
    <n v="175000"/>
  </r>
  <r>
    <s v="TRX-202504-0334"/>
    <x v="92"/>
    <s v="CUST003"/>
    <s v="PRD007"/>
    <n v="5"/>
    <n v="225000"/>
    <n v="1125000"/>
    <n v="900000"/>
    <n v="225000"/>
  </r>
  <r>
    <s v="TRX-202504-0335"/>
    <x v="93"/>
    <s v="CUST007"/>
    <s v="PRD009"/>
    <n v="6"/>
    <n v="52000"/>
    <n v="312000"/>
    <n v="210000"/>
    <n v="102000"/>
  </r>
  <r>
    <s v="TRX-202504-0335"/>
    <x v="93"/>
    <s v="CUST007"/>
    <s v="PRD007"/>
    <n v="4"/>
    <n v="225000"/>
    <n v="900000"/>
    <n v="720000"/>
    <n v="180000"/>
  </r>
  <r>
    <s v="TRX-202504-0335"/>
    <x v="93"/>
    <s v="CUST007"/>
    <s v="PRD002"/>
    <n v="4"/>
    <n v="70000"/>
    <n v="280000"/>
    <n v="180000"/>
    <n v="100000"/>
  </r>
  <r>
    <s v="TRX-202504-0336"/>
    <x v="93"/>
    <s v="CUST006"/>
    <s v="PRD006"/>
    <n v="4"/>
    <n v="110000"/>
    <n v="440000"/>
    <n v="300000"/>
    <n v="140000"/>
  </r>
  <r>
    <s v="TRX-202504-0336"/>
    <x v="93"/>
    <s v="CUST006"/>
    <s v="PRD005"/>
    <n v="8"/>
    <n v="105000"/>
    <n v="840000"/>
    <n v="560000"/>
    <n v="280000"/>
  </r>
  <r>
    <s v="TRX-202504-0337"/>
    <x v="93"/>
    <s v="CUST001"/>
    <s v="PRD011"/>
    <n v="6"/>
    <n v="35000"/>
    <n v="210000"/>
    <n v="132000"/>
    <n v="78000"/>
  </r>
  <r>
    <s v="TRX-202504-0338"/>
    <x v="94"/>
    <s v="CUST002"/>
    <s v="PRD009"/>
    <n v="1"/>
    <n v="52000"/>
    <n v="52000"/>
    <n v="35000"/>
    <n v="17000"/>
  </r>
  <r>
    <s v="TRX-202504-0339"/>
    <x v="94"/>
    <s v="CUST002"/>
    <s v="PRD011"/>
    <n v="4"/>
    <n v="35000"/>
    <n v="140000"/>
    <n v="88000"/>
    <n v="52000"/>
  </r>
  <r>
    <s v="TRX-202504-0340"/>
    <x v="95"/>
    <s v="CUST007"/>
    <s v="PRD006"/>
    <n v="7"/>
    <n v="110000"/>
    <n v="770000"/>
    <n v="525000"/>
    <n v="245000"/>
  </r>
  <r>
    <s v="TRX-202504-0340"/>
    <x v="95"/>
    <s v="CUST007"/>
    <s v="PRD001"/>
    <n v="2"/>
    <n v="175000"/>
    <n v="350000"/>
    <n v="240000"/>
    <n v="110000"/>
  </r>
  <r>
    <s v="TRX-202504-0341"/>
    <x v="95"/>
    <s v="CUST001"/>
    <s v="PRD012"/>
    <n v="1"/>
    <n v="48000"/>
    <n v="48000"/>
    <n v="32000"/>
    <n v="16000"/>
  </r>
  <r>
    <s v="TRX-202504-0341"/>
    <x v="95"/>
    <s v="CUST001"/>
    <s v="PRD010"/>
    <n v="2"/>
    <n v="20000"/>
    <n v="40000"/>
    <n v="24000"/>
    <n v="16000"/>
  </r>
  <r>
    <s v="TRX-202504-0341"/>
    <x v="95"/>
    <s v="CUST001"/>
    <s v="PRD002"/>
    <n v="6"/>
    <n v="70000"/>
    <n v="420000"/>
    <n v="270000"/>
    <n v="150000"/>
  </r>
  <r>
    <s v="TRX-202504-0342"/>
    <x v="95"/>
    <s v="CUST002"/>
    <s v="PRD011"/>
    <n v="2"/>
    <n v="35000"/>
    <n v="70000"/>
    <n v="44000"/>
    <n v="26000"/>
  </r>
  <r>
    <s v="TRX-202504-0342"/>
    <x v="95"/>
    <s v="CUST002"/>
    <s v="PRD005"/>
    <n v="5"/>
    <n v="105000"/>
    <n v="525000"/>
    <n v="350000"/>
    <n v="175000"/>
  </r>
  <r>
    <s v="TRX-202504-0343"/>
    <x v="95"/>
    <s v="CUST008"/>
    <s v="PRD007"/>
    <n v="1"/>
    <n v="225000"/>
    <n v="225000"/>
    <n v="180000"/>
    <n v="45000"/>
  </r>
  <r>
    <s v="TRX-202504-0343"/>
    <x v="95"/>
    <s v="CUST008"/>
    <s v="PRD011"/>
    <n v="8"/>
    <n v="35000"/>
    <n v="280000"/>
    <n v="176000"/>
    <n v="104000"/>
  </r>
  <r>
    <s v="TRX-202504-0344"/>
    <x v="95"/>
    <s v="CUST003"/>
    <s v="PRD004"/>
    <n v="5"/>
    <n v="105000"/>
    <n v="525000"/>
    <n v="350000"/>
    <n v="175000"/>
  </r>
  <r>
    <s v="TRX-202504-0344"/>
    <x v="95"/>
    <s v="CUST003"/>
    <s v="PRD003"/>
    <n v="3"/>
    <n v="130000"/>
    <n v="390000"/>
    <n v="255000"/>
    <n v="135000"/>
  </r>
  <r>
    <s v="TRX-202504-0344"/>
    <x v="95"/>
    <s v="CUST003"/>
    <s v="PRD007"/>
    <n v="5"/>
    <n v="225000"/>
    <n v="1125000"/>
    <n v="900000"/>
    <n v="225000"/>
  </r>
  <r>
    <s v="TRX-202504-0345"/>
    <x v="96"/>
    <s v="CUST004"/>
    <s v="PRD003"/>
    <n v="1"/>
    <n v="130000"/>
    <n v="130000"/>
    <n v="85000"/>
    <n v="45000"/>
  </r>
  <r>
    <s v="TRX-202504-0346"/>
    <x v="96"/>
    <s v="CUST008"/>
    <s v="PRD009"/>
    <n v="2"/>
    <n v="52000"/>
    <n v="104000"/>
    <n v="70000"/>
    <n v="34000"/>
  </r>
  <r>
    <s v="TRX-202504-0346"/>
    <x v="96"/>
    <s v="CUST008"/>
    <s v="PRD002"/>
    <n v="5"/>
    <n v="70000"/>
    <n v="350000"/>
    <n v="225000"/>
    <n v="125000"/>
  </r>
  <r>
    <s v="TRX-202504-0346"/>
    <x v="96"/>
    <s v="CUST008"/>
    <s v="PRD005"/>
    <n v="2"/>
    <n v="105000"/>
    <n v="210000"/>
    <n v="140000"/>
    <n v="70000"/>
  </r>
  <r>
    <s v="TRX-202504-0347"/>
    <x v="96"/>
    <s v="CUST004"/>
    <s v="PRD010"/>
    <n v="6"/>
    <n v="20000"/>
    <n v="120000"/>
    <n v="72000"/>
    <n v="48000"/>
  </r>
  <r>
    <s v="TRX-202504-0347"/>
    <x v="96"/>
    <s v="CUST004"/>
    <s v="PRD008"/>
    <n v="3"/>
    <n v="40000"/>
    <n v="120000"/>
    <n v="84000"/>
    <n v="36000"/>
  </r>
  <r>
    <s v="TRX-202504-0347"/>
    <x v="96"/>
    <s v="CUST004"/>
    <s v="PRD006"/>
    <n v="4"/>
    <n v="110000"/>
    <n v="440000"/>
    <n v="300000"/>
    <n v="140000"/>
  </r>
  <r>
    <s v="TRX-202504-0348"/>
    <x v="96"/>
    <s v="CUST002"/>
    <s v="PRD010"/>
    <n v="4"/>
    <n v="20000"/>
    <n v="80000"/>
    <n v="48000"/>
    <n v="32000"/>
  </r>
  <r>
    <s v="TRX-202504-0348"/>
    <x v="96"/>
    <s v="CUST002"/>
    <s v="PRD002"/>
    <n v="6"/>
    <n v="70000"/>
    <n v="420000"/>
    <n v="270000"/>
    <n v="150000"/>
  </r>
  <r>
    <s v="TRX-202504-0349"/>
    <x v="97"/>
    <s v="CUST008"/>
    <s v="PRD005"/>
    <n v="2"/>
    <n v="105000"/>
    <n v="210000"/>
    <n v="140000"/>
    <n v="70000"/>
  </r>
  <r>
    <s v="TRX-202504-0349"/>
    <x v="97"/>
    <s v="CUST008"/>
    <s v="PRD008"/>
    <n v="3"/>
    <n v="40000"/>
    <n v="120000"/>
    <n v="84000"/>
    <n v="36000"/>
  </r>
  <r>
    <s v="TRX-202504-0350"/>
    <x v="97"/>
    <s v="CUST002"/>
    <s v="PRD003"/>
    <n v="4"/>
    <n v="130000"/>
    <n v="520000"/>
    <n v="340000"/>
    <n v="180000"/>
  </r>
  <r>
    <s v="TRX-202504-0350"/>
    <x v="97"/>
    <s v="CUST002"/>
    <s v="PRD009"/>
    <n v="5"/>
    <n v="52000"/>
    <n v="260000"/>
    <n v="175000"/>
    <n v="85000"/>
  </r>
  <r>
    <s v="TRX-202504-0351"/>
    <x v="97"/>
    <s v="CUST002"/>
    <s v="PRD002"/>
    <n v="1"/>
    <n v="70000"/>
    <n v="70000"/>
    <n v="45000"/>
    <n v="25000"/>
  </r>
  <r>
    <s v="TRX-202504-0351"/>
    <x v="97"/>
    <s v="CUST002"/>
    <s v="PRD001"/>
    <n v="7"/>
    <n v="175000"/>
    <n v="1225000"/>
    <n v="840000"/>
    <n v="385000"/>
  </r>
  <r>
    <s v="TRX-202504-0351"/>
    <x v="97"/>
    <s v="CUST002"/>
    <s v="PRD009"/>
    <n v="4"/>
    <n v="52000"/>
    <n v="208000"/>
    <n v="140000"/>
    <n v="68000"/>
  </r>
  <r>
    <s v="TRX-202504-0352"/>
    <x v="97"/>
    <s v="CUST001"/>
    <s v="PRD005"/>
    <n v="8"/>
    <n v="105000"/>
    <n v="840000"/>
    <n v="560000"/>
    <n v="280000"/>
  </r>
  <r>
    <s v="TRX-202504-0352"/>
    <x v="97"/>
    <s v="CUST001"/>
    <s v="PRD009"/>
    <n v="3"/>
    <n v="52000"/>
    <n v="156000"/>
    <n v="105000"/>
    <n v="51000"/>
  </r>
  <r>
    <s v="TRX-202504-0352"/>
    <x v="97"/>
    <s v="CUST001"/>
    <s v="PRD011"/>
    <n v="6"/>
    <n v="35000"/>
    <n v="210000"/>
    <n v="132000"/>
    <n v="78000"/>
  </r>
  <r>
    <s v="TRX-202504-0353"/>
    <x v="97"/>
    <s v="CUST007"/>
    <s v="PRD010"/>
    <n v="5"/>
    <n v="20000"/>
    <n v="100000"/>
    <n v="60000"/>
    <n v="40000"/>
  </r>
  <r>
    <s v="TRX-202504-0354"/>
    <x v="98"/>
    <s v="CUST006"/>
    <s v="PRD001"/>
    <n v="4"/>
    <n v="175000"/>
    <n v="700000"/>
    <n v="480000"/>
    <n v="220000"/>
  </r>
  <r>
    <s v="TRX-202504-0355"/>
    <x v="98"/>
    <s v="CUST006"/>
    <s v="PRD008"/>
    <n v="1"/>
    <n v="40000"/>
    <n v="40000"/>
    <n v="28000"/>
    <n v="12000"/>
  </r>
  <r>
    <s v="TRX-202504-0355"/>
    <x v="98"/>
    <s v="CUST006"/>
    <s v="PRD012"/>
    <n v="1"/>
    <n v="48000"/>
    <n v="48000"/>
    <n v="32000"/>
    <n v="16000"/>
  </r>
  <r>
    <s v="TRX-202504-0356"/>
    <x v="98"/>
    <s v="CUST006"/>
    <s v="PRD012"/>
    <n v="5"/>
    <n v="48000"/>
    <n v="240000"/>
    <n v="160000"/>
    <n v="80000"/>
  </r>
  <r>
    <s v="TRX-202504-0357"/>
    <x v="98"/>
    <s v="CUST005"/>
    <s v="PRD009"/>
    <n v="7"/>
    <n v="52000"/>
    <n v="364000"/>
    <n v="245000"/>
    <n v="119000"/>
  </r>
  <r>
    <s v="TRX-202504-0357"/>
    <x v="98"/>
    <s v="CUST005"/>
    <s v="PRD010"/>
    <n v="7"/>
    <n v="20000"/>
    <n v="140000"/>
    <n v="84000"/>
    <n v="56000"/>
  </r>
  <r>
    <s v="TRX-202504-0357"/>
    <x v="98"/>
    <s v="CUST005"/>
    <s v="PRD003"/>
    <n v="6"/>
    <n v="130000"/>
    <n v="780000"/>
    <n v="510000"/>
    <n v="270000"/>
  </r>
  <r>
    <s v="TRX-202504-0358"/>
    <x v="99"/>
    <s v="CUST002"/>
    <s v="PRD004"/>
    <n v="2"/>
    <n v="105000"/>
    <n v="210000"/>
    <n v="140000"/>
    <n v="70000"/>
  </r>
  <r>
    <s v="TRX-202504-0358"/>
    <x v="99"/>
    <s v="CUST002"/>
    <s v="PRD007"/>
    <n v="8"/>
    <n v="225000"/>
    <n v="1800000"/>
    <n v="1440000"/>
    <n v="360000"/>
  </r>
  <r>
    <s v="TRX-202504-0358"/>
    <x v="99"/>
    <s v="CUST002"/>
    <s v="PRD006"/>
    <n v="8"/>
    <n v="110000"/>
    <n v="880000"/>
    <n v="600000"/>
    <n v="280000"/>
  </r>
  <r>
    <s v="TRX-202504-0359"/>
    <x v="99"/>
    <s v="CUST008"/>
    <s v="PRD010"/>
    <n v="3"/>
    <n v="20000"/>
    <n v="60000"/>
    <n v="36000"/>
    <n v="24000"/>
  </r>
  <r>
    <s v="TRX-202504-0360"/>
    <x v="99"/>
    <s v="CUST007"/>
    <s v="PRD004"/>
    <n v="1"/>
    <n v="105000"/>
    <n v="105000"/>
    <n v="70000"/>
    <n v="35000"/>
  </r>
  <r>
    <s v="TRX-202504-0361"/>
    <x v="99"/>
    <s v="CUST003"/>
    <s v="PRD010"/>
    <n v="1"/>
    <n v="20000"/>
    <n v="20000"/>
    <n v="12000"/>
    <n v="8000"/>
  </r>
  <r>
    <s v="TRX-202504-0361"/>
    <x v="99"/>
    <s v="CUST003"/>
    <s v="PRD003"/>
    <n v="3"/>
    <n v="130000"/>
    <n v="390000"/>
    <n v="255000"/>
    <n v="135000"/>
  </r>
  <r>
    <s v="TRX-202504-0361"/>
    <x v="99"/>
    <s v="CUST003"/>
    <s v="PRD011"/>
    <n v="1"/>
    <n v="35000"/>
    <n v="35000"/>
    <n v="22000"/>
    <n v="13000"/>
  </r>
  <r>
    <s v="TRX-202504-0362"/>
    <x v="100"/>
    <s v="CUST003"/>
    <s v="PRD011"/>
    <n v="2"/>
    <n v="35000"/>
    <n v="70000"/>
    <n v="44000"/>
    <n v="26000"/>
  </r>
  <r>
    <s v="TRX-202504-0362"/>
    <x v="100"/>
    <s v="CUST003"/>
    <s v="PRD006"/>
    <n v="4"/>
    <n v="110000"/>
    <n v="440000"/>
    <n v="300000"/>
    <n v="140000"/>
  </r>
  <r>
    <s v="TRX-202504-0362"/>
    <x v="100"/>
    <s v="CUST003"/>
    <s v="PRD008"/>
    <n v="7"/>
    <n v="40000"/>
    <n v="280000"/>
    <n v="196000"/>
    <n v="84000"/>
  </r>
  <r>
    <s v="TRX-202504-0363"/>
    <x v="100"/>
    <s v="CUST007"/>
    <s v="PRD002"/>
    <n v="1"/>
    <n v="70000"/>
    <n v="70000"/>
    <n v="45000"/>
    <n v="25000"/>
  </r>
  <r>
    <s v="TRX-202504-0364"/>
    <x v="100"/>
    <s v="CUST004"/>
    <s v="PRD009"/>
    <n v="3"/>
    <n v="52000"/>
    <n v="156000"/>
    <n v="105000"/>
    <n v="51000"/>
  </r>
  <r>
    <s v="TRX-202504-0364"/>
    <x v="100"/>
    <s v="CUST004"/>
    <s v="PRD011"/>
    <n v="2"/>
    <n v="35000"/>
    <n v="70000"/>
    <n v="44000"/>
    <n v="26000"/>
  </r>
  <r>
    <s v="TRX-202504-0364"/>
    <x v="100"/>
    <s v="CUST004"/>
    <s v="PRD007"/>
    <n v="3"/>
    <n v="225000"/>
    <n v="675000"/>
    <n v="540000"/>
    <n v="135000"/>
  </r>
  <r>
    <s v="TRX-202504-0365"/>
    <x v="100"/>
    <s v="CUST008"/>
    <s v="PRD010"/>
    <n v="2"/>
    <n v="20000"/>
    <n v="40000"/>
    <n v="24000"/>
    <n v="16000"/>
  </r>
  <r>
    <s v="TRX-202504-0365"/>
    <x v="100"/>
    <s v="CUST008"/>
    <s v="PRD001"/>
    <n v="2"/>
    <n v="175000"/>
    <n v="350000"/>
    <n v="240000"/>
    <n v="110000"/>
  </r>
  <r>
    <s v="TRX-202504-0365"/>
    <x v="100"/>
    <s v="CUST008"/>
    <s v="PRD009"/>
    <n v="8"/>
    <n v="52000"/>
    <n v="416000"/>
    <n v="280000"/>
    <n v="136000"/>
  </r>
  <r>
    <s v="TRX-202504-0366"/>
    <x v="101"/>
    <s v="CUST004"/>
    <s v="PRD005"/>
    <n v="7"/>
    <n v="105000"/>
    <n v="735000"/>
    <n v="490000"/>
    <n v="245000"/>
  </r>
  <r>
    <s v="TRX-202504-0367"/>
    <x v="101"/>
    <s v="CUST005"/>
    <s v="PRD001"/>
    <n v="1"/>
    <n v="175000"/>
    <n v="175000"/>
    <n v="120000"/>
    <n v="55000"/>
  </r>
  <r>
    <s v="TRX-202504-0368"/>
    <x v="101"/>
    <s v="CUST002"/>
    <s v="PRD001"/>
    <n v="6"/>
    <n v="175000"/>
    <n v="1050000"/>
    <n v="720000"/>
    <n v="330000"/>
  </r>
  <r>
    <s v="TRX-202504-0368"/>
    <x v="101"/>
    <s v="CUST002"/>
    <s v="PRD007"/>
    <n v="7"/>
    <n v="225000"/>
    <n v="1575000"/>
    <n v="1260000"/>
    <n v="315000"/>
  </r>
  <r>
    <s v="TRX-202504-0368"/>
    <x v="101"/>
    <s v="CUST002"/>
    <s v="PRD004"/>
    <n v="6"/>
    <n v="105000"/>
    <n v="630000"/>
    <n v="420000"/>
    <n v="210000"/>
  </r>
  <r>
    <s v="TRX-202504-0369"/>
    <x v="101"/>
    <s v="CUST002"/>
    <s v="PRD007"/>
    <n v="5"/>
    <n v="225000"/>
    <n v="1125000"/>
    <n v="900000"/>
    <n v="225000"/>
  </r>
  <r>
    <s v="TRX-202504-0370"/>
    <x v="101"/>
    <s v="CUST005"/>
    <s v="PRD007"/>
    <n v="5"/>
    <n v="225000"/>
    <n v="1125000"/>
    <n v="900000"/>
    <n v="225000"/>
  </r>
  <r>
    <s v="TRX-202504-0370"/>
    <x v="101"/>
    <s v="CUST005"/>
    <s v="PRD010"/>
    <n v="7"/>
    <n v="20000"/>
    <n v="140000"/>
    <n v="84000"/>
    <n v="56000"/>
  </r>
  <r>
    <s v="TRX-202504-0370"/>
    <x v="101"/>
    <s v="CUST005"/>
    <s v="PRD006"/>
    <n v="4"/>
    <n v="110000"/>
    <n v="440000"/>
    <n v="300000"/>
    <n v="140000"/>
  </r>
  <r>
    <s v="TRX-202504-0371"/>
    <x v="102"/>
    <s v="CUST003"/>
    <s v="PRD011"/>
    <n v="2"/>
    <n v="35000"/>
    <n v="70000"/>
    <n v="44000"/>
    <n v="26000"/>
  </r>
  <r>
    <s v="TRX-202504-0371"/>
    <x v="102"/>
    <s v="CUST003"/>
    <s v="PRD001"/>
    <n v="3"/>
    <n v="175000"/>
    <n v="525000"/>
    <n v="360000"/>
    <n v="165000"/>
  </r>
  <r>
    <s v="TRX-202504-0372"/>
    <x v="102"/>
    <s v="CUST008"/>
    <s v="PRD007"/>
    <n v="5"/>
    <n v="225000"/>
    <n v="1125000"/>
    <n v="900000"/>
    <n v="225000"/>
  </r>
  <r>
    <s v="TRX-202504-0372"/>
    <x v="102"/>
    <s v="CUST008"/>
    <s v="PRD002"/>
    <n v="4"/>
    <n v="70000"/>
    <n v="280000"/>
    <n v="180000"/>
    <n v="100000"/>
  </r>
  <r>
    <s v="TRX-202504-0372"/>
    <x v="102"/>
    <s v="CUST008"/>
    <s v="PRD011"/>
    <n v="6"/>
    <n v="35000"/>
    <n v="210000"/>
    <n v="132000"/>
    <n v="78000"/>
  </r>
  <r>
    <s v="TRX-202504-0373"/>
    <x v="103"/>
    <s v="CUST001"/>
    <s v="PRD002"/>
    <n v="5"/>
    <n v="70000"/>
    <n v="350000"/>
    <n v="225000"/>
    <n v="125000"/>
  </r>
  <r>
    <s v="TRX-202504-0374"/>
    <x v="103"/>
    <s v="CUST007"/>
    <s v="PRD011"/>
    <n v="7"/>
    <n v="35000"/>
    <n v="245000"/>
    <n v="154000"/>
    <n v="91000"/>
  </r>
  <r>
    <s v="TRX-202504-0374"/>
    <x v="103"/>
    <s v="CUST007"/>
    <s v="PRD007"/>
    <n v="4"/>
    <n v="225000"/>
    <n v="900000"/>
    <n v="720000"/>
    <n v="180000"/>
  </r>
  <r>
    <s v="TRX-202504-0375"/>
    <x v="103"/>
    <s v="CUST001"/>
    <s v="PRD012"/>
    <n v="5"/>
    <n v="48000"/>
    <n v="240000"/>
    <n v="160000"/>
    <n v="80000"/>
  </r>
  <r>
    <s v="TRX-202504-0375"/>
    <x v="103"/>
    <s v="CUST001"/>
    <s v="PRD002"/>
    <n v="6"/>
    <n v="70000"/>
    <n v="420000"/>
    <n v="270000"/>
    <n v="150000"/>
  </r>
  <r>
    <s v="TRX-202504-0375"/>
    <x v="103"/>
    <s v="CUST001"/>
    <s v="PRD011"/>
    <n v="6"/>
    <n v="35000"/>
    <n v="210000"/>
    <n v="132000"/>
    <n v="78000"/>
  </r>
  <r>
    <s v="TRX-202504-0376"/>
    <x v="104"/>
    <s v="CUST006"/>
    <s v="PRD011"/>
    <n v="1"/>
    <n v="35000"/>
    <n v="35000"/>
    <n v="22000"/>
    <n v="13000"/>
  </r>
  <r>
    <s v="TRX-202504-0376"/>
    <x v="104"/>
    <s v="CUST006"/>
    <s v="PRD008"/>
    <n v="8"/>
    <n v="40000"/>
    <n v="320000"/>
    <n v="224000"/>
    <n v="96000"/>
  </r>
  <r>
    <s v="TRX-202504-0377"/>
    <x v="104"/>
    <s v="CUST002"/>
    <s v="PRD002"/>
    <n v="4"/>
    <n v="70000"/>
    <n v="280000"/>
    <n v="180000"/>
    <n v="100000"/>
  </r>
  <r>
    <s v="TRX-202504-0377"/>
    <x v="104"/>
    <s v="CUST002"/>
    <s v="PRD007"/>
    <n v="4"/>
    <n v="225000"/>
    <n v="900000"/>
    <n v="720000"/>
    <n v="180000"/>
  </r>
  <r>
    <s v="TRX-202504-0378"/>
    <x v="104"/>
    <s v="CUST006"/>
    <s v="PRD006"/>
    <n v="1"/>
    <n v="110000"/>
    <n v="110000"/>
    <n v="75000"/>
    <n v="35000"/>
  </r>
  <r>
    <s v="TRX-202504-0378"/>
    <x v="104"/>
    <s v="CUST006"/>
    <s v="PRD009"/>
    <n v="5"/>
    <n v="52000"/>
    <n v="260000"/>
    <n v="175000"/>
    <n v="85000"/>
  </r>
  <r>
    <s v="TRX-202504-0379"/>
    <x v="105"/>
    <s v="CUST003"/>
    <s v="PRD002"/>
    <n v="2"/>
    <n v="70000"/>
    <n v="140000"/>
    <n v="90000"/>
    <n v="50000"/>
  </r>
  <r>
    <s v="TRX-202504-0380"/>
    <x v="105"/>
    <s v="CUST008"/>
    <s v="PRD001"/>
    <n v="8"/>
    <n v="175000"/>
    <n v="1400000"/>
    <n v="960000"/>
    <n v="440000"/>
  </r>
  <r>
    <s v="TRX-202504-0380"/>
    <x v="105"/>
    <s v="CUST008"/>
    <s v="PRD009"/>
    <n v="6"/>
    <n v="52000"/>
    <n v="312000"/>
    <n v="210000"/>
    <n v="102000"/>
  </r>
  <r>
    <s v="TRX-202504-0380"/>
    <x v="105"/>
    <s v="CUST008"/>
    <s v="PRD012"/>
    <n v="6"/>
    <n v="48000"/>
    <n v="288000"/>
    <n v="192000"/>
    <n v="96000"/>
  </r>
  <r>
    <s v="TRX-202504-0381"/>
    <x v="105"/>
    <s v="CUST008"/>
    <s v="PRD005"/>
    <n v="5"/>
    <n v="105000"/>
    <n v="525000"/>
    <n v="350000"/>
    <n v="175000"/>
  </r>
  <r>
    <s v="TRX-202504-0381"/>
    <x v="105"/>
    <s v="CUST008"/>
    <s v="PRD008"/>
    <n v="7"/>
    <n v="40000"/>
    <n v="280000"/>
    <n v="196000"/>
    <n v="84000"/>
  </r>
  <r>
    <s v="TRX-202504-0381"/>
    <x v="105"/>
    <s v="CUST008"/>
    <s v="PRD003"/>
    <n v="4"/>
    <n v="130000"/>
    <n v="520000"/>
    <n v="340000"/>
    <n v="180000"/>
  </r>
  <r>
    <s v="TRX-202504-0382"/>
    <x v="105"/>
    <s v="CUST003"/>
    <s v="PRD009"/>
    <n v="7"/>
    <n v="52000"/>
    <n v="364000"/>
    <n v="245000"/>
    <n v="119000"/>
  </r>
  <r>
    <s v="TRX-202504-0383"/>
    <x v="106"/>
    <s v="CUST006"/>
    <s v="PRD008"/>
    <n v="7"/>
    <n v="40000"/>
    <n v="280000"/>
    <n v="196000"/>
    <n v="84000"/>
  </r>
  <r>
    <s v="TRX-202504-0384"/>
    <x v="106"/>
    <s v="CUST004"/>
    <s v="PRD012"/>
    <n v="6"/>
    <n v="48000"/>
    <n v="288000"/>
    <n v="192000"/>
    <n v="96000"/>
  </r>
  <r>
    <s v="TRX-202504-0384"/>
    <x v="106"/>
    <s v="CUST004"/>
    <s v="PRD006"/>
    <n v="7"/>
    <n v="110000"/>
    <n v="770000"/>
    <n v="525000"/>
    <n v="245000"/>
  </r>
  <r>
    <s v="TRX-202504-0385"/>
    <x v="106"/>
    <s v="CUST005"/>
    <s v="PRD003"/>
    <n v="3"/>
    <n v="130000"/>
    <n v="390000"/>
    <n v="255000"/>
    <n v="135000"/>
  </r>
  <r>
    <s v="TRX-202504-0385"/>
    <x v="106"/>
    <s v="CUST005"/>
    <s v="PRD010"/>
    <n v="4"/>
    <n v="20000"/>
    <n v="80000"/>
    <n v="48000"/>
    <n v="32000"/>
  </r>
  <r>
    <s v="TRX-202504-0386"/>
    <x v="106"/>
    <s v="CUST002"/>
    <s v="PRD005"/>
    <n v="7"/>
    <n v="105000"/>
    <n v="735000"/>
    <n v="490000"/>
    <n v="245000"/>
  </r>
  <r>
    <s v="TRX-202504-0386"/>
    <x v="106"/>
    <s v="CUST002"/>
    <s v="PRD004"/>
    <n v="7"/>
    <n v="105000"/>
    <n v="735000"/>
    <n v="490000"/>
    <n v="245000"/>
  </r>
  <r>
    <s v="TRX-202504-0386"/>
    <x v="106"/>
    <s v="CUST002"/>
    <s v="PRD009"/>
    <n v="4"/>
    <n v="52000"/>
    <n v="208000"/>
    <n v="140000"/>
    <n v="68000"/>
  </r>
  <r>
    <s v="TRX-202504-0387"/>
    <x v="107"/>
    <s v="CUST008"/>
    <s v="PRD006"/>
    <n v="6"/>
    <n v="110000"/>
    <n v="660000"/>
    <n v="450000"/>
    <n v="210000"/>
  </r>
  <r>
    <s v="TRX-202504-0387"/>
    <x v="107"/>
    <s v="CUST008"/>
    <s v="PRD005"/>
    <n v="5"/>
    <n v="105000"/>
    <n v="525000"/>
    <n v="350000"/>
    <n v="175000"/>
  </r>
  <r>
    <s v="TRX-202504-0387"/>
    <x v="107"/>
    <s v="CUST008"/>
    <s v="PRD012"/>
    <n v="6"/>
    <n v="48000"/>
    <n v="288000"/>
    <n v="192000"/>
    <n v="96000"/>
  </r>
  <r>
    <s v="TRX-202504-0388"/>
    <x v="107"/>
    <s v="CUST001"/>
    <s v="PRD002"/>
    <n v="4"/>
    <n v="70000"/>
    <n v="280000"/>
    <n v="180000"/>
    <n v="100000"/>
  </r>
  <r>
    <s v="TRX-202504-0388"/>
    <x v="107"/>
    <s v="CUST001"/>
    <s v="PRD006"/>
    <n v="3"/>
    <n v="110000"/>
    <n v="330000"/>
    <n v="225000"/>
    <n v="105000"/>
  </r>
  <r>
    <s v="TRX-202504-0389"/>
    <x v="108"/>
    <s v="CUST005"/>
    <s v="PRD005"/>
    <n v="5"/>
    <n v="105000"/>
    <n v="525000"/>
    <n v="350000"/>
    <n v="175000"/>
  </r>
  <r>
    <s v="TRX-202504-0389"/>
    <x v="108"/>
    <s v="CUST005"/>
    <s v="PRD010"/>
    <n v="8"/>
    <n v="20000"/>
    <n v="160000"/>
    <n v="96000"/>
    <n v="64000"/>
  </r>
  <r>
    <s v="TRX-202504-0389"/>
    <x v="108"/>
    <s v="CUST005"/>
    <s v="PRD007"/>
    <n v="6"/>
    <n v="225000"/>
    <n v="1350000"/>
    <n v="1080000"/>
    <n v="270000"/>
  </r>
  <r>
    <s v="TRX-202504-0390"/>
    <x v="108"/>
    <s v="CUST008"/>
    <s v="PRD003"/>
    <n v="1"/>
    <n v="130000"/>
    <n v="130000"/>
    <n v="85000"/>
    <n v="45000"/>
  </r>
  <r>
    <s v="TRX-202504-0390"/>
    <x v="108"/>
    <s v="CUST008"/>
    <s v="PRD012"/>
    <n v="3"/>
    <n v="48000"/>
    <n v="144000"/>
    <n v="96000"/>
    <n v="48000"/>
  </r>
  <r>
    <s v="TRX-202504-0391"/>
    <x v="108"/>
    <s v="CUST004"/>
    <s v="PRD005"/>
    <n v="3"/>
    <n v="105000"/>
    <n v="315000"/>
    <n v="210000"/>
    <n v="105000"/>
  </r>
  <r>
    <s v="TRX-202504-0391"/>
    <x v="108"/>
    <s v="CUST004"/>
    <s v="PRD002"/>
    <n v="7"/>
    <n v="70000"/>
    <n v="490000"/>
    <n v="315000"/>
    <n v="175000"/>
  </r>
  <r>
    <s v="TRX-202504-0391"/>
    <x v="108"/>
    <s v="CUST004"/>
    <s v="PRD004"/>
    <n v="2"/>
    <n v="105000"/>
    <n v="210000"/>
    <n v="140000"/>
    <n v="70000"/>
  </r>
  <r>
    <s v="TRX-202504-0392"/>
    <x v="108"/>
    <s v="CUST002"/>
    <s v="PRD008"/>
    <n v="1"/>
    <n v="40000"/>
    <n v="40000"/>
    <n v="28000"/>
    <n v="12000"/>
  </r>
  <r>
    <s v="TRX-202504-0393"/>
    <x v="109"/>
    <s v="CUST005"/>
    <s v="PRD008"/>
    <n v="3"/>
    <n v="40000"/>
    <n v="120000"/>
    <n v="84000"/>
    <n v="36000"/>
  </r>
  <r>
    <s v="TRX-202504-0393"/>
    <x v="109"/>
    <s v="CUST005"/>
    <s v="PRD003"/>
    <n v="8"/>
    <n v="130000"/>
    <n v="1040000"/>
    <n v="680000"/>
    <n v="360000"/>
  </r>
  <r>
    <s v="TRX-202504-0393"/>
    <x v="109"/>
    <s v="CUST005"/>
    <s v="PRD009"/>
    <n v="7"/>
    <n v="52000"/>
    <n v="364000"/>
    <n v="245000"/>
    <n v="119000"/>
  </r>
  <r>
    <s v="TRX-202504-0394"/>
    <x v="109"/>
    <s v="CUST005"/>
    <s v="PRD008"/>
    <n v="4"/>
    <n v="40000"/>
    <n v="160000"/>
    <n v="112000"/>
    <n v="48000"/>
  </r>
  <r>
    <s v="TRX-202504-0394"/>
    <x v="109"/>
    <s v="CUST005"/>
    <s v="PRD009"/>
    <n v="2"/>
    <n v="52000"/>
    <n v="104000"/>
    <n v="70000"/>
    <n v="34000"/>
  </r>
  <r>
    <s v="TRX-202504-0395"/>
    <x v="109"/>
    <s v="CUST008"/>
    <s v="PRD006"/>
    <n v="5"/>
    <n v="110000"/>
    <n v="550000"/>
    <n v="375000"/>
    <n v="175000"/>
  </r>
  <r>
    <s v="TRX-202504-0395"/>
    <x v="109"/>
    <s v="CUST008"/>
    <s v="PRD007"/>
    <n v="3"/>
    <n v="225000"/>
    <n v="675000"/>
    <n v="540000"/>
    <n v="135000"/>
  </r>
  <r>
    <s v="TRX-202504-0396"/>
    <x v="109"/>
    <s v="CUST005"/>
    <s v="PRD001"/>
    <n v="3"/>
    <n v="175000"/>
    <n v="525000"/>
    <n v="360000"/>
    <n v="165000"/>
  </r>
  <r>
    <s v="TRX-202504-0397"/>
    <x v="109"/>
    <s v="CUST006"/>
    <s v="PRD008"/>
    <n v="1"/>
    <n v="40000"/>
    <n v="40000"/>
    <n v="28000"/>
    <n v="12000"/>
  </r>
  <r>
    <s v="TRX-202504-0397"/>
    <x v="109"/>
    <s v="CUST006"/>
    <s v="PRD009"/>
    <n v="8"/>
    <n v="52000"/>
    <n v="416000"/>
    <n v="280000"/>
    <n v="136000"/>
  </r>
  <r>
    <s v="TRX-202504-0398"/>
    <x v="110"/>
    <s v="CUST005"/>
    <s v="PRD012"/>
    <n v="7"/>
    <n v="48000"/>
    <n v="336000"/>
    <n v="224000"/>
    <n v="112000"/>
  </r>
  <r>
    <s v="TRX-202504-0398"/>
    <x v="110"/>
    <s v="CUST005"/>
    <s v="PRD009"/>
    <n v="4"/>
    <n v="52000"/>
    <n v="208000"/>
    <n v="140000"/>
    <n v="68000"/>
  </r>
  <r>
    <s v="TRX-202504-0398"/>
    <x v="110"/>
    <s v="CUST005"/>
    <s v="PRD005"/>
    <n v="2"/>
    <n v="105000"/>
    <n v="210000"/>
    <n v="140000"/>
    <n v="70000"/>
  </r>
  <r>
    <s v="TRX-202504-0399"/>
    <x v="110"/>
    <s v="CUST003"/>
    <s v="PRD005"/>
    <n v="2"/>
    <n v="105000"/>
    <n v="210000"/>
    <n v="140000"/>
    <n v="70000"/>
  </r>
  <r>
    <s v="TRX-202504-0400"/>
    <x v="110"/>
    <s v="CUST008"/>
    <s v="PRD008"/>
    <n v="8"/>
    <n v="40000"/>
    <n v="320000"/>
    <n v="224000"/>
    <n v="96000"/>
  </r>
  <r>
    <s v="TRX-202504-0400"/>
    <x v="110"/>
    <s v="CUST008"/>
    <s v="PRD005"/>
    <n v="4"/>
    <n v="105000"/>
    <n v="420000"/>
    <n v="280000"/>
    <n v="140000"/>
  </r>
  <r>
    <s v="TRX-202504-0400"/>
    <x v="110"/>
    <s v="CUST008"/>
    <s v="PRD010"/>
    <n v="6"/>
    <n v="20000"/>
    <n v="120000"/>
    <n v="72000"/>
    <n v="48000"/>
  </r>
  <r>
    <s v="TRX-202504-0401"/>
    <x v="110"/>
    <s v="CUST001"/>
    <s v="PRD001"/>
    <n v="1"/>
    <n v="175000"/>
    <n v="175000"/>
    <n v="120000"/>
    <n v="55000"/>
  </r>
  <r>
    <s v="TRX-202504-0402"/>
    <x v="111"/>
    <s v="CUST007"/>
    <s v="PRD002"/>
    <n v="4"/>
    <n v="70000"/>
    <n v="280000"/>
    <n v="180000"/>
    <n v="100000"/>
  </r>
  <r>
    <s v="TRX-202504-0403"/>
    <x v="111"/>
    <s v="CUST007"/>
    <s v="PRD004"/>
    <n v="4"/>
    <n v="105000"/>
    <n v="420000"/>
    <n v="280000"/>
    <n v="140000"/>
  </r>
  <r>
    <s v="TRX-202504-0403"/>
    <x v="111"/>
    <s v="CUST007"/>
    <s v="PRD001"/>
    <n v="8"/>
    <n v="175000"/>
    <n v="1400000"/>
    <n v="960000"/>
    <n v="440000"/>
  </r>
  <r>
    <s v="TRX-202504-0404"/>
    <x v="111"/>
    <s v="CUST002"/>
    <s v="PRD011"/>
    <n v="7"/>
    <n v="35000"/>
    <n v="245000"/>
    <n v="154000"/>
    <n v="91000"/>
  </r>
  <r>
    <s v="TRX-202504-0404"/>
    <x v="111"/>
    <s v="CUST002"/>
    <s v="PRD004"/>
    <n v="5"/>
    <n v="105000"/>
    <n v="525000"/>
    <n v="350000"/>
    <n v="175000"/>
  </r>
  <r>
    <s v="TRX-202504-0404"/>
    <x v="111"/>
    <s v="CUST002"/>
    <s v="PRD008"/>
    <n v="6"/>
    <n v="40000"/>
    <n v="240000"/>
    <n v="168000"/>
    <n v="72000"/>
  </r>
  <r>
    <s v="TRX-202504-0405"/>
    <x v="111"/>
    <s v="CUST003"/>
    <s v="PRD012"/>
    <n v="2"/>
    <n v="48000"/>
    <n v="96000"/>
    <n v="64000"/>
    <n v="32000"/>
  </r>
  <r>
    <s v="TRX-202504-0405"/>
    <x v="111"/>
    <s v="CUST003"/>
    <s v="PRD001"/>
    <n v="5"/>
    <n v="175000"/>
    <n v="875000"/>
    <n v="600000"/>
    <n v="275000"/>
  </r>
  <r>
    <s v="TRX-202504-0405"/>
    <x v="111"/>
    <s v="CUST003"/>
    <s v="PRD009"/>
    <n v="8"/>
    <n v="52000"/>
    <n v="416000"/>
    <n v="280000"/>
    <n v="136000"/>
  </r>
  <r>
    <s v="TRX-202504-0406"/>
    <x v="112"/>
    <s v="CUST002"/>
    <s v="PRD010"/>
    <n v="1"/>
    <n v="20000"/>
    <n v="20000"/>
    <n v="12000"/>
    <n v="8000"/>
  </r>
  <r>
    <s v="TRX-202504-0406"/>
    <x v="112"/>
    <s v="CUST002"/>
    <s v="PRD006"/>
    <n v="6"/>
    <n v="110000"/>
    <n v="660000"/>
    <n v="450000"/>
    <n v="210000"/>
  </r>
  <r>
    <s v="TRX-202504-0406"/>
    <x v="112"/>
    <s v="CUST002"/>
    <s v="PRD001"/>
    <n v="3"/>
    <n v="175000"/>
    <n v="525000"/>
    <n v="360000"/>
    <n v="165000"/>
  </r>
  <r>
    <s v="TRX-202504-0407"/>
    <x v="112"/>
    <s v="CUST002"/>
    <s v="PRD008"/>
    <n v="4"/>
    <n v="40000"/>
    <n v="160000"/>
    <n v="112000"/>
    <n v="48000"/>
  </r>
  <r>
    <s v="TRX-202504-0408"/>
    <x v="112"/>
    <s v="CUST006"/>
    <s v="PRD011"/>
    <n v="4"/>
    <n v="35000"/>
    <n v="140000"/>
    <n v="88000"/>
    <n v="52000"/>
  </r>
  <r>
    <s v="TRX-202504-0408"/>
    <x v="112"/>
    <s v="CUST006"/>
    <s v="PRD006"/>
    <n v="1"/>
    <n v="110000"/>
    <n v="110000"/>
    <n v="75000"/>
    <n v="35000"/>
  </r>
  <r>
    <s v="TRX-202504-0408"/>
    <x v="112"/>
    <s v="CUST006"/>
    <s v="PRD008"/>
    <n v="7"/>
    <n v="40000"/>
    <n v="280000"/>
    <n v="196000"/>
    <n v="84000"/>
  </r>
  <r>
    <s v="TRX-202504-0409"/>
    <x v="112"/>
    <s v="CUST006"/>
    <s v="PRD003"/>
    <n v="8"/>
    <n v="130000"/>
    <n v="1040000"/>
    <n v="680000"/>
    <n v="360000"/>
  </r>
  <r>
    <s v="TRX-202504-0409"/>
    <x v="112"/>
    <s v="CUST006"/>
    <s v="PRD005"/>
    <n v="8"/>
    <n v="105000"/>
    <n v="840000"/>
    <n v="560000"/>
    <n v="280000"/>
  </r>
  <r>
    <s v="TRX-202504-0409"/>
    <x v="112"/>
    <s v="CUST006"/>
    <s v="PRD001"/>
    <n v="5"/>
    <n v="175000"/>
    <n v="875000"/>
    <n v="600000"/>
    <n v="275000"/>
  </r>
  <r>
    <s v="TRX-202504-0410"/>
    <x v="112"/>
    <s v="CUST008"/>
    <s v="PRD010"/>
    <n v="3"/>
    <n v="20000"/>
    <n v="60000"/>
    <n v="36000"/>
    <n v="24000"/>
  </r>
  <r>
    <s v="TRX-202504-0411"/>
    <x v="113"/>
    <s v="CUST007"/>
    <s v="PRD009"/>
    <n v="8"/>
    <n v="52000"/>
    <n v="416000"/>
    <n v="280000"/>
    <n v="136000"/>
  </r>
  <r>
    <s v="TRX-202504-0412"/>
    <x v="113"/>
    <s v="CUST003"/>
    <s v="PRD005"/>
    <n v="6"/>
    <n v="105000"/>
    <n v="630000"/>
    <n v="420000"/>
    <n v="210000"/>
  </r>
  <r>
    <s v="TRX-202504-0412"/>
    <x v="113"/>
    <s v="CUST003"/>
    <s v="PRD006"/>
    <n v="2"/>
    <n v="110000"/>
    <n v="220000"/>
    <n v="150000"/>
    <n v="70000"/>
  </r>
  <r>
    <s v="TRX-202504-0412"/>
    <x v="113"/>
    <s v="CUST003"/>
    <s v="PRD007"/>
    <n v="2"/>
    <n v="225000"/>
    <n v="450000"/>
    <n v="360000"/>
    <n v="90000"/>
  </r>
  <r>
    <s v="TRX-202504-0413"/>
    <x v="114"/>
    <s v="CUST008"/>
    <s v="PRD001"/>
    <n v="7"/>
    <n v="175000"/>
    <n v="1225000"/>
    <n v="840000"/>
    <n v="385000"/>
  </r>
  <r>
    <s v="TRX-202504-0413"/>
    <x v="114"/>
    <s v="CUST008"/>
    <s v="PRD006"/>
    <n v="6"/>
    <n v="110000"/>
    <n v="660000"/>
    <n v="450000"/>
    <n v="210000"/>
  </r>
  <r>
    <s v="TRX-202504-0413"/>
    <x v="114"/>
    <s v="CUST008"/>
    <s v="PRD009"/>
    <n v="1"/>
    <n v="52000"/>
    <n v="52000"/>
    <n v="35000"/>
    <n v="17000"/>
  </r>
  <r>
    <s v="TRX-202504-0414"/>
    <x v="114"/>
    <s v="CUST005"/>
    <s v="PRD001"/>
    <n v="2"/>
    <n v="175000"/>
    <n v="350000"/>
    <n v="240000"/>
    <n v="110000"/>
  </r>
  <r>
    <s v="TRX-202504-0414"/>
    <x v="114"/>
    <s v="CUST005"/>
    <s v="PRD002"/>
    <n v="4"/>
    <n v="70000"/>
    <n v="280000"/>
    <n v="180000"/>
    <n v="100000"/>
  </r>
  <r>
    <s v="TRX-202504-0414"/>
    <x v="114"/>
    <s v="CUST005"/>
    <s v="PRD005"/>
    <n v="2"/>
    <n v="105000"/>
    <n v="210000"/>
    <n v="140000"/>
    <n v="70000"/>
  </r>
  <r>
    <s v="TRX-202504-0415"/>
    <x v="115"/>
    <s v="CUST003"/>
    <s v="PRD010"/>
    <n v="6"/>
    <n v="20000"/>
    <n v="120000"/>
    <n v="72000"/>
    <n v="48000"/>
  </r>
  <r>
    <s v="TRX-202504-0415"/>
    <x v="115"/>
    <s v="CUST003"/>
    <s v="PRD008"/>
    <n v="6"/>
    <n v="40000"/>
    <n v="240000"/>
    <n v="168000"/>
    <n v="72000"/>
  </r>
  <r>
    <s v="TRX-202504-0415"/>
    <x v="115"/>
    <s v="CUST003"/>
    <s v="PRD006"/>
    <n v="6"/>
    <n v="110000"/>
    <n v="660000"/>
    <n v="450000"/>
    <n v="210000"/>
  </r>
  <r>
    <s v="TRX-202504-0416"/>
    <x v="115"/>
    <s v="CUST007"/>
    <s v="PRD007"/>
    <n v="4"/>
    <n v="225000"/>
    <n v="900000"/>
    <n v="720000"/>
    <n v="180000"/>
  </r>
  <r>
    <s v="TRX-202504-0416"/>
    <x v="115"/>
    <s v="CUST007"/>
    <s v="PRD006"/>
    <n v="4"/>
    <n v="110000"/>
    <n v="440000"/>
    <n v="300000"/>
    <n v="140000"/>
  </r>
  <r>
    <s v="TRX-202504-0416"/>
    <x v="115"/>
    <s v="CUST007"/>
    <s v="PRD010"/>
    <n v="7"/>
    <n v="20000"/>
    <n v="140000"/>
    <n v="84000"/>
    <n v="56000"/>
  </r>
  <r>
    <s v="TRX-202504-0417"/>
    <x v="115"/>
    <s v="CUST005"/>
    <s v="PRD008"/>
    <n v="7"/>
    <n v="40000"/>
    <n v="280000"/>
    <n v="196000"/>
    <n v="84000"/>
  </r>
  <r>
    <s v="TRX-202504-0417"/>
    <x v="115"/>
    <s v="CUST005"/>
    <s v="PRD012"/>
    <n v="1"/>
    <n v="48000"/>
    <n v="48000"/>
    <n v="32000"/>
    <n v="16000"/>
  </r>
  <r>
    <s v="TRX-202504-0418"/>
    <x v="115"/>
    <s v="CUST001"/>
    <s v="PRD010"/>
    <n v="3"/>
    <n v="20000"/>
    <n v="60000"/>
    <n v="36000"/>
    <n v="24000"/>
  </r>
  <r>
    <s v="TRX-202504-0418"/>
    <x v="115"/>
    <s v="CUST001"/>
    <s v="PRD001"/>
    <n v="5"/>
    <n v="175000"/>
    <n v="875000"/>
    <n v="600000"/>
    <n v="275000"/>
  </r>
  <r>
    <s v="TRX-202504-0419"/>
    <x v="116"/>
    <s v="CUST002"/>
    <s v="PRD006"/>
    <n v="8"/>
    <n v="110000"/>
    <n v="880000"/>
    <n v="600000"/>
    <n v="280000"/>
  </r>
  <r>
    <s v="TRX-202504-0419"/>
    <x v="116"/>
    <s v="CUST002"/>
    <s v="PRD008"/>
    <n v="2"/>
    <n v="40000"/>
    <n v="80000"/>
    <n v="56000"/>
    <n v="24000"/>
  </r>
  <r>
    <s v="TRX-202504-0419"/>
    <x v="116"/>
    <s v="CUST002"/>
    <s v="PRD003"/>
    <n v="5"/>
    <n v="130000"/>
    <n v="650000"/>
    <n v="425000"/>
    <n v="225000"/>
  </r>
  <r>
    <s v="TRX-202504-0420"/>
    <x v="116"/>
    <s v="CUST001"/>
    <s v="PRD010"/>
    <n v="1"/>
    <n v="20000"/>
    <n v="20000"/>
    <n v="12000"/>
    <n v="8000"/>
  </r>
  <r>
    <s v="TRX-202504-0420"/>
    <x v="116"/>
    <s v="CUST001"/>
    <s v="PRD007"/>
    <n v="6"/>
    <n v="225000"/>
    <n v="1350000"/>
    <n v="1080000"/>
    <n v="270000"/>
  </r>
  <r>
    <s v="TRX-202504-0420"/>
    <x v="116"/>
    <s v="CUST001"/>
    <s v="PRD002"/>
    <n v="6"/>
    <n v="70000"/>
    <n v="420000"/>
    <n v="270000"/>
    <n v="150000"/>
  </r>
  <r>
    <s v="TRX-202504-0421"/>
    <x v="116"/>
    <s v="CUST007"/>
    <s v="PRD002"/>
    <n v="1"/>
    <n v="70000"/>
    <n v="70000"/>
    <n v="45000"/>
    <n v="25000"/>
  </r>
  <r>
    <s v="TRX-202504-0421"/>
    <x v="116"/>
    <s v="CUST007"/>
    <s v="PRD004"/>
    <n v="7"/>
    <n v="105000"/>
    <n v="735000"/>
    <n v="490000"/>
    <n v="245000"/>
  </r>
  <r>
    <s v="TRX-202504-0422"/>
    <x v="117"/>
    <s v="CUST005"/>
    <s v="PRD007"/>
    <n v="7"/>
    <n v="225000"/>
    <n v="1575000"/>
    <n v="1260000"/>
    <n v="315000"/>
  </r>
  <r>
    <s v="TRX-202504-0423"/>
    <x v="117"/>
    <s v="CUST003"/>
    <s v="PRD008"/>
    <n v="4"/>
    <n v="40000"/>
    <n v="160000"/>
    <n v="112000"/>
    <n v="48000"/>
  </r>
  <r>
    <s v="TRX-202504-0424"/>
    <x v="117"/>
    <s v="CUST008"/>
    <s v="PRD011"/>
    <n v="4"/>
    <n v="35000"/>
    <n v="140000"/>
    <n v="88000"/>
    <n v="52000"/>
  </r>
  <r>
    <s v="TRX-202504-0424"/>
    <x v="117"/>
    <s v="CUST008"/>
    <s v="PRD010"/>
    <n v="4"/>
    <n v="20000"/>
    <n v="80000"/>
    <n v="48000"/>
    <n v="32000"/>
  </r>
  <r>
    <s v="TRX-202504-0425"/>
    <x v="117"/>
    <s v="CUST004"/>
    <s v="PRD005"/>
    <n v="7"/>
    <n v="105000"/>
    <n v="735000"/>
    <n v="490000"/>
    <n v="245000"/>
  </r>
  <r>
    <s v="TRX-202504-0426"/>
    <x v="117"/>
    <s v="CUST006"/>
    <s v="PRD010"/>
    <n v="7"/>
    <n v="20000"/>
    <n v="140000"/>
    <n v="84000"/>
    <n v="56000"/>
  </r>
  <r>
    <s v="TRX-202504-0426"/>
    <x v="117"/>
    <s v="CUST006"/>
    <s v="PRD002"/>
    <n v="7"/>
    <n v="70000"/>
    <n v="490000"/>
    <n v="315000"/>
    <n v="175000"/>
  </r>
  <r>
    <s v="TRX-202504-0426"/>
    <x v="117"/>
    <s v="CUST006"/>
    <s v="PRD011"/>
    <n v="6"/>
    <n v="35000"/>
    <n v="210000"/>
    <n v="132000"/>
    <n v="78000"/>
  </r>
  <r>
    <s v="TRX-202504-0427"/>
    <x v="118"/>
    <s v="CUST005"/>
    <s v="PRD006"/>
    <n v="2"/>
    <n v="110000"/>
    <n v="220000"/>
    <n v="150000"/>
    <n v="70000"/>
  </r>
  <r>
    <s v="TRX-202504-0428"/>
    <x v="118"/>
    <s v="CUST005"/>
    <s v="PRD008"/>
    <n v="6"/>
    <n v="40000"/>
    <n v="240000"/>
    <n v="168000"/>
    <n v="72000"/>
  </r>
  <r>
    <s v="TRX-202504-0428"/>
    <x v="118"/>
    <s v="CUST005"/>
    <s v="PRD001"/>
    <n v="4"/>
    <n v="175000"/>
    <n v="700000"/>
    <n v="480000"/>
    <n v="220000"/>
  </r>
  <r>
    <s v="TRX-202504-0429"/>
    <x v="118"/>
    <s v="CUST004"/>
    <s v="PRD009"/>
    <n v="5"/>
    <n v="52000"/>
    <n v="260000"/>
    <n v="175000"/>
    <n v="85000"/>
  </r>
  <r>
    <s v="TRX-202504-0430"/>
    <x v="119"/>
    <s v="CUST001"/>
    <s v="PRD011"/>
    <n v="4"/>
    <n v="35000"/>
    <n v="140000"/>
    <n v="88000"/>
    <n v="52000"/>
  </r>
  <r>
    <s v="TRX-202504-0430"/>
    <x v="119"/>
    <s v="CUST001"/>
    <s v="PRD007"/>
    <n v="7"/>
    <n v="225000"/>
    <n v="1575000"/>
    <n v="1260000"/>
    <n v="315000"/>
  </r>
  <r>
    <s v="TRX-202504-0431"/>
    <x v="119"/>
    <s v="CUST002"/>
    <s v="PRD008"/>
    <n v="2"/>
    <n v="40000"/>
    <n v="80000"/>
    <n v="56000"/>
    <n v="24000"/>
  </r>
  <r>
    <s v="TRX-202504-0431"/>
    <x v="119"/>
    <s v="CUST002"/>
    <s v="PRD010"/>
    <n v="3"/>
    <n v="20000"/>
    <n v="60000"/>
    <n v="36000"/>
    <n v="24000"/>
  </r>
  <r>
    <s v="TRX-202505-0432"/>
    <x v="120"/>
    <s v="CUST004"/>
    <s v="PRD006"/>
    <n v="7"/>
    <n v="110000"/>
    <n v="770000"/>
    <n v="525000"/>
    <n v="245000"/>
  </r>
  <r>
    <s v="TRX-202505-0433"/>
    <x v="120"/>
    <s v="CUST003"/>
    <s v="PRD012"/>
    <n v="7"/>
    <n v="48000"/>
    <n v="336000"/>
    <n v="224000"/>
    <n v="112000"/>
  </r>
  <r>
    <s v="TRX-202505-0434"/>
    <x v="120"/>
    <s v="CUST004"/>
    <s v="PRD004"/>
    <n v="3"/>
    <n v="105000"/>
    <n v="315000"/>
    <n v="210000"/>
    <n v="105000"/>
  </r>
  <r>
    <s v="TRX-202505-0434"/>
    <x v="120"/>
    <s v="CUST004"/>
    <s v="PRD010"/>
    <n v="7"/>
    <n v="20000"/>
    <n v="140000"/>
    <n v="84000"/>
    <n v="56000"/>
  </r>
  <r>
    <s v="TRX-202505-0435"/>
    <x v="120"/>
    <s v="CUST005"/>
    <s v="PRD006"/>
    <n v="3"/>
    <n v="110000"/>
    <n v="330000"/>
    <n v="225000"/>
    <n v="105000"/>
  </r>
  <r>
    <s v="TRX-202505-0435"/>
    <x v="120"/>
    <s v="CUST005"/>
    <s v="PRD008"/>
    <n v="4"/>
    <n v="40000"/>
    <n v="160000"/>
    <n v="112000"/>
    <n v="48000"/>
  </r>
  <r>
    <s v="TRX-202505-0435"/>
    <x v="120"/>
    <s v="CUST005"/>
    <s v="PRD009"/>
    <n v="3"/>
    <n v="52000"/>
    <n v="156000"/>
    <n v="105000"/>
    <n v="51000"/>
  </r>
  <r>
    <s v="TRX-202505-0436"/>
    <x v="121"/>
    <s v="CUST007"/>
    <s v="PRD008"/>
    <n v="5"/>
    <n v="40000"/>
    <n v="200000"/>
    <n v="140000"/>
    <n v="60000"/>
  </r>
  <r>
    <s v="TRX-202505-0436"/>
    <x v="121"/>
    <s v="CUST007"/>
    <s v="PRD011"/>
    <n v="3"/>
    <n v="35000"/>
    <n v="105000"/>
    <n v="66000"/>
    <n v="39000"/>
  </r>
  <r>
    <s v="TRX-202505-0437"/>
    <x v="121"/>
    <s v="CUST004"/>
    <s v="PRD003"/>
    <n v="3"/>
    <n v="130000"/>
    <n v="390000"/>
    <n v="255000"/>
    <n v="135000"/>
  </r>
  <r>
    <s v="TRX-202505-0438"/>
    <x v="121"/>
    <s v="CUST001"/>
    <s v="PRD010"/>
    <n v="4"/>
    <n v="20000"/>
    <n v="80000"/>
    <n v="48000"/>
    <n v="32000"/>
  </r>
  <r>
    <s v="TRX-202505-0438"/>
    <x v="121"/>
    <s v="CUST001"/>
    <s v="PRD005"/>
    <n v="4"/>
    <n v="105000"/>
    <n v="420000"/>
    <n v="280000"/>
    <n v="140000"/>
  </r>
  <r>
    <s v="TRX-202505-0438"/>
    <x v="121"/>
    <s v="CUST001"/>
    <s v="PRD012"/>
    <n v="4"/>
    <n v="48000"/>
    <n v="192000"/>
    <n v="128000"/>
    <n v="64000"/>
  </r>
  <r>
    <s v="TRX-202505-0439"/>
    <x v="121"/>
    <s v="CUST001"/>
    <s v="PRD002"/>
    <n v="3"/>
    <n v="70000"/>
    <n v="210000"/>
    <n v="135000"/>
    <n v="75000"/>
  </r>
  <r>
    <s v="TRX-202505-0439"/>
    <x v="121"/>
    <s v="CUST001"/>
    <s v="PRD008"/>
    <n v="8"/>
    <n v="40000"/>
    <n v="320000"/>
    <n v="224000"/>
    <n v="96000"/>
  </r>
  <r>
    <s v="TRX-202505-0440"/>
    <x v="121"/>
    <s v="CUST006"/>
    <s v="PRD007"/>
    <n v="8"/>
    <n v="225000"/>
    <n v="1800000"/>
    <n v="1440000"/>
    <n v="360000"/>
  </r>
  <r>
    <s v="TRX-202505-0441"/>
    <x v="122"/>
    <s v="CUST006"/>
    <s v="PRD010"/>
    <n v="1"/>
    <n v="20000"/>
    <n v="20000"/>
    <n v="12000"/>
    <n v="8000"/>
  </r>
  <r>
    <s v="TRX-202505-0441"/>
    <x v="122"/>
    <s v="CUST006"/>
    <s v="PRD012"/>
    <n v="2"/>
    <n v="48000"/>
    <n v="96000"/>
    <n v="64000"/>
    <n v="32000"/>
  </r>
  <r>
    <s v="TRX-202505-0442"/>
    <x v="122"/>
    <s v="CUST008"/>
    <s v="PRD001"/>
    <n v="7"/>
    <n v="175000"/>
    <n v="1225000"/>
    <n v="840000"/>
    <n v="385000"/>
  </r>
  <r>
    <s v="TRX-202505-0442"/>
    <x v="122"/>
    <s v="CUST008"/>
    <s v="PRD004"/>
    <n v="1"/>
    <n v="105000"/>
    <n v="105000"/>
    <n v="70000"/>
    <n v="35000"/>
  </r>
  <r>
    <s v="TRX-202505-0443"/>
    <x v="122"/>
    <s v="CUST007"/>
    <s v="PRD011"/>
    <n v="5"/>
    <n v="35000"/>
    <n v="175000"/>
    <n v="110000"/>
    <n v="65000"/>
  </r>
  <r>
    <s v="TRX-202505-0443"/>
    <x v="122"/>
    <s v="CUST007"/>
    <s v="PRD001"/>
    <n v="8"/>
    <n v="175000"/>
    <n v="1400000"/>
    <n v="960000"/>
    <n v="440000"/>
  </r>
  <r>
    <s v="TRX-202505-0443"/>
    <x v="122"/>
    <s v="CUST007"/>
    <s v="PRD004"/>
    <n v="7"/>
    <n v="105000"/>
    <n v="735000"/>
    <n v="490000"/>
    <n v="245000"/>
  </r>
  <r>
    <s v="TRX-202505-0444"/>
    <x v="122"/>
    <s v="CUST005"/>
    <s v="PRD008"/>
    <n v="7"/>
    <n v="40000"/>
    <n v="280000"/>
    <n v="196000"/>
    <n v="84000"/>
  </r>
  <r>
    <s v="TRX-202505-0444"/>
    <x v="122"/>
    <s v="CUST005"/>
    <s v="PRD003"/>
    <n v="5"/>
    <n v="130000"/>
    <n v="650000"/>
    <n v="425000"/>
    <n v="225000"/>
  </r>
  <r>
    <s v="TRX-202505-0445"/>
    <x v="122"/>
    <s v="CUST001"/>
    <s v="PRD009"/>
    <n v="8"/>
    <n v="52000"/>
    <n v="416000"/>
    <n v="280000"/>
    <n v="136000"/>
  </r>
  <r>
    <s v="TRX-202505-0445"/>
    <x v="122"/>
    <s v="CUST001"/>
    <s v="PRD003"/>
    <n v="2"/>
    <n v="130000"/>
    <n v="260000"/>
    <n v="170000"/>
    <n v="90000"/>
  </r>
  <r>
    <s v="TRX-202505-0445"/>
    <x v="122"/>
    <s v="CUST001"/>
    <s v="PRD008"/>
    <n v="2"/>
    <n v="40000"/>
    <n v="80000"/>
    <n v="56000"/>
    <n v="24000"/>
  </r>
  <r>
    <s v="TRX-202505-0446"/>
    <x v="123"/>
    <s v="CUST007"/>
    <s v="PRD009"/>
    <n v="7"/>
    <n v="52000"/>
    <n v="364000"/>
    <n v="245000"/>
    <n v="119000"/>
  </r>
  <r>
    <s v="TRX-202505-0446"/>
    <x v="123"/>
    <s v="CUST007"/>
    <s v="PRD010"/>
    <n v="7"/>
    <n v="20000"/>
    <n v="140000"/>
    <n v="84000"/>
    <n v="56000"/>
  </r>
  <r>
    <s v="TRX-202505-0446"/>
    <x v="123"/>
    <s v="CUST007"/>
    <s v="PRD003"/>
    <n v="1"/>
    <n v="130000"/>
    <n v="130000"/>
    <n v="85000"/>
    <n v="45000"/>
  </r>
  <r>
    <s v="TRX-202505-0447"/>
    <x v="123"/>
    <s v="CUST003"/>
    <s v="PRD010"/>
    <n v="3"/>
    <n v="20000"/>
    <n v="60000"/>
    <n v="36000"/>
    <n v="24000"/>
  </r>
  <r>
    <s v="TRX-202505-0447"/>
    <x v="123"/>
    <s v="CUST003"/>
    <s v="PRD011"/>
    <n v="3"/>
    <n v="35000"/>
    <n v="105000"/>
    <n v="66000"/>
    <n v="39000"/>
  </r>
  <r>
    <s v="TRX-202505-0448"/>
    <x v="124"/>
    <s v="CUST007"/>
    <s v="PRD002"/>
    <n v="1"/>
    <n v="70000"/>
    <n v="70000"/>
    <n v="45000"/>
    <n v="25000"/>
  </r>
  <r>
    <s v="TRX-202505-0448"/>
    <x v="124"/>
    <s v="CUST007"/>
    <s v="PRD010"/>
    <n v="4"/>
    <n v="20000"/>
    <n v="80000"/>
    <n v="48000"/>
    <n v="32000"/>
  </r>
  <r>
    <s v="TRX-202505-0449"/>
    <x v="124"/>
    <s v="CUST005"/>
    <s v="PRD011"/>
    <n v="1"/>
    <n v="35000"/>
    <n v="35000"/>
    <n v="22000"/>
    <n v="13000"/>
  </r>
  <r>
    <s v="TRX-202505-0449"/>
    <x v="124"/>
    <s v="CUST005"/>
    <s v="PRD009"/>
    <n v="3"/>
    <n v="52000"/>
    <n v="156000"/>
    <n v="105000"/>
    <n v="51000"/>
  </r>
  <r>
    <s v="TRX-202505-0449"/>
    <x v="124"/>
    <s v="CUST005"/>
    <s v="PRD004"/>
    <n v="3"/>
    <n v="105000"/>
    <n v="315000"/>
    <n v="210000"/>
    <n v="105000"/>
  </r>
  <r>
    <s v="TRX-202505-0450"/>
    <x v="124"/>
    <s v="CUST001"/>
    <s v="PRD006"/>
    <n v="1"/>
    <n v="110000"/>
    <n v="110000"/>
    <n v="75000"/>
    <n v="35000"/>
  </r>
  <r>
    <s v="TRX-202505-0450"/>
    <x v="124"/>
    <s v="CUST001"/>
    <s v="PRD001"/>
    <n v="5"/>
    <n v="175000"/>
    <n v="875000"/>
    <n v="600000"/>
    <n v="275000"/>
  </r>
  <r>
    <s v="TRX-202505-0450"/>
    <x v="124"/>
    <s v="CUST001"/>
    <s v="PRD003"/>
    <n v="6"/>
    <n v="130000"/>
    <n v="780000"/>
    <n v="510000"/>
    <n v="270000"/>
  </r>
  <r>
    <s v="TRX-202505-0451"/>
    <x v="124"/>
    <s v="CUST002"/>
    <s v="PRD002"/>
    <n v="7"/>
    <n v="70000"/>
    <n v="490000"/>
    <n v="315000"/>
    <n v="175000"/>
  </r>
  <r>
    <s v="TRX-202505-0452"/>
    <x v="124"/>
    <s v="CUST003"/>
    <s v="PRD011"/>
    <n v="5"/>
    <n v="35000"/>
    <n v="175000"/>
    <n v="110000"/>
    <n v="65000"/>
  </r>
  <r>
    <s v="TRX-202505-0453"/>
    <x v="125"/>
    <s v="CUST007"/>
    <s v="PRD004"/>
    <n v="1"/>
    <n v="105000"/>
    <n v="105000"/>
    <n v="70000"/>
    <n v="35000"/>
  </r>
  <r>
    <s v="TRX-202505-0453"/>
    <x v="125"/>
    <s v="CUST007"/>
    <s v="PRD012"/>
    <n v="2"/>
    <n v="48000"/>
    <n v="96000"/>
    <n v="64000"/>
    <n v="32000"/>
  </r>
  <r>
    <s v="TRX-202505-0453"/>
    <x v="125"/>
    <s v="CUST007"/>
    <s v="PRD010"/>
    <n v="2"/>
    <n v="20000"/>
    <n v="40000"/>
    <n v="24000"/>
    <n v="16000"/>
  </r>
  <r>
    <s v="TRX-202505-0454"/>
    <x v="125"/>
    <s v="CUST008"/>
    <s v="PRD012"/>
    <n v="7"/>
    <n v="48000"/>
    <n v="336000"/>
    <n v="224000"/>
    <n v="112000"/>
  </r>
  <r>
    <s v="TRX-202505-0454"/>
    <x v="125"/>
    <s v="CUST008"/>
    <s v="PRD010"/>
    <n v="6"/>
    <n v="20000"/>
    <n v="120000"/>
    <n v="72000"/>
    <n v="48000"/>
  </r>
  <r>
    <s v="TRX-202505-0454"/>
    <x v="125"/>
    <s v="CUST008"/>
    <s v="PRD005"/>
    <n v="5"/>
    <n v="105000"/>
    <n v="525000"/>
    <n v="350000"/>
    <n v="175000"/>
  </r>
  <r>
    <s v="TRX-202505-0455"/>
    <x v="125"/>
    <s v="CUST006"/>
    <s v="PRD010"/>
    <n v="8"/>
    <n v="20000"/>
    <n v="160000"/>
    <n v="96000"/>
    <n v="64000"/>
  </r>
  <r>
    <s v="TRX-202505-0456"/>
    <x v="125"/>
    <s v="CUST008"/>
    <s v="PRD003"/>
    <n v="4"/>
    <n v="130000"/>
    <n v="520000"/>
    <n v="340000"/>
    <n v="180000"/>
  </r>
  <r>
    <s v="TRX-202505-0456"/>
    <x v="125"/>
    <s v="CUST008"/>
    <s v="PRD010"/>
    <n v="5"/>
    <n v="20000"/>
    <n v="100000"/>
    <n v="60000"/>
    <n v="40000"/>
  </r>
  <r>
    <s v="TRX-202505-0457"/>
    <x v="126"/>
    <s v="CUST006"/>
    <s v="PRD012"/>
    <n v="1"/>
    <n v="48000"/>
    <n v="48000"/>
    <n v="32000"/>
    <n v="16000"/>
  </r>
  <r>
    <s v="TRX-202505-0457"/>
    <x v="126"/>
    <s v="CUST006"/>
    <s v="PRD010"/>
    <n v="3"/>
    <n v="20000"/>
    <n v="60000"/>
    <n v="36000"/>
    <n v="24000"/>
  </r>
  <r>
    <s v="TRX-202505-0458"/>
    <x v="126"/>
    <s v="CUST004"/>
    <s v="PRD006"/>
    <n v="8"/>
    <n v="110000"/>
    <n v="880000"/>
    <n v="600000"/>
    <n v="280000"/>
  </r>
  <r>
    <s v="TRX-202505-0458"/>
    <x v="126"/>
    <s v="CUST004"/>
    <s v="PRD011"/>
    <n v="8"/>
    <n v="35000"/>
    <n v="280000"/>
    <n v="176000"/>
    <n v="104000"/>
  </r>
  <r>
    <s v="TRX-202505-0459"/>
    <x v="126"/>
    <s v="CUST001"/>
    <s v="PRD003"/>
    <n v="8"/>
    <n v="130000"/>
    <n v="1040000"/>
    <n v="680000"/>
    <n v="360000"/>
  </r>
  <r>
    <s v="TRX-202505-0459"/>
    <x v="126"/>
    <s v="CUST001"/>
    <s v="PRD008"/>
    <n v="6"/>
    <n v="40000"/>
    <n v="240000"/>
    <n v="168000"/>
    <n v="72000"/>
  </r>
  <r>
    <s v="TRX-202505-0459"/>
    <x v="126"/>
    <s v="CUST001"/>
    <s v="PRD012"/>
    <n v="8"/>
    <n v="48000"/>
    <n v="384000"/>
    <n v="256000"/>
    <n v="128000"/>
  </r>
  <r>
    <s v="TRX-202505-0460"/>
    <x v="126"/>
    <s v="CUST007"/>
    <s v="PRD001"/>
    <n v="6"/>
    <n v="175000"/>
    <n v="1050000"/>
    <n v="720000"/>
    <n v="330000"/>
  </r>
  <r>
    <s v="TRX-202505-0460"/>
    <x v="126"/>
    <s v="CUST007"/>
    <s v="PRD009"/>
    <n v="1"/>
    <n v="52000"/>
    <n v="52000"/>
    <n v="35000"/>
    <n v="17000"/>
  </r>
  <r>
    <s v="TRX-202505-0460"/>
    <x v="126"/>
    <s v="CUST007"/>
    <s v="PRD005"/>
    <n v="4"/>
    <n v="105000"/>
    <n v="420000"/>
    <n v="280000"/>
    <n v="140000"/>
  </r>
  <r>
    <s v="TRX-202505-0461"/>
    <x v="127"/>
    <s v="CUST008"/>
    <s v="PRD004"/>
    <n v="5"/>
    <n v="105000"/>
    <n v="525000"/>
    <n v="350000"/>
    <n v="175000"/>
  </r>
  <r>
    <s v="TRX-202505-0461"/>
    <x v="127"/>
    <s v="CUST008"/>
    <s v="PRD009"/>
    <n v="3"/>
    <n v="52000"/>
    <n v="156000"/>
    <n v="105000"/>
    <n v="51000"/>
  </r>
  <r>
    <s v="TRX-202505-0462"/>
    <x v="127"/>
    <s v="CUST002"/>
    <s v="PRD001"/>
    <n v="2"/>
    <n v="175000"/>
    <n v="350000"/>
    <n v="240000"/>
    <n v="110000"/>
  </r>
  <r>
    <s v="TRX-202505-0462"/>
    <x v="127"/>
    <s v="CUST002"/>
    <s v="PRD004"/>
    <n v="8"/>
    <n v="105000"/>
    <n v="840000"/>
    <n v="560000"/>
    <n v="280000"/>
  </r>
  <r>
    <s v="TRX-202505-0463"/>
    <x v="127"/>
    <s v="CUST001"/>
    <s v="PRD009"/>
    <n v="4"/>
    <n v="52000"/>
    <n v="208000"/>
    <n v="140000"/>
    <n v="68000"/>
  </r>
  <r>
    <s v="TRX-202505-0463"/>
    <x v="127"/>
    <s v="CUST001"/>
    <s v="PRD003"/>
    <n v="6"/>
    <n v="130000"/>
    <n v="780000"/>
    <n v="510000"/>
    <n v="270000"/>
  </r>
  <r>
    <s v="TRX-202505-0464"/>
    <x v="127"/>
    <s v="CUST008"/>
    <s v="PRD009"/>
    <n v="3"/>
    <n v="52000"/>
    <n v="156000"/>
    <n v="105000"/>
    <n v="51000"/>
  </r>
  <r>
    <s v="TRX-202505-0464"/>
    <x v="127"/>
    <s v="CUST008"/>
    <s v="PRD005"/>
    <n v="2"/>
    <n v="105000"/>
    <n v="210000"/>
    <n v="140000"/>
    <n v="70000"/>
  </r>
  <r>
    <s v="TRX-202505-0464"/>
    <x v="127"/>
    <s v="CUST008"/>
    <s v="PRD006"/>
    <n v="3"/>
    <n v="110000"/>
    <n v="330000"/>
    <n v="225000"/>
    <n v="105000"/>
  </r>
  <r>
    <s v="TRX-202505-0465"/>
    <x v="128"/>
    <s v="CUST008"/>
    <s v="PRD002"/>
    <n v="3"/>
    <n v="70000"/>
    <n v="210000"/>
    <n v="135000"/>
    <n v="75000"/>
  </r>
  <r>
    <s v="TRX-202505-0465"/>
    <x v="128"/>
    <s v="CUST008"/>
    <s v="PRD005"/>
    <n v="5"/>
    <n v="105000"/>
    <n v="525000"/>
    <n v="350000"/>
    <n v="175000"/>
  </r>
  <r>
    <s v="TRX-202505-0465"/>
    <x v="128"/>
    <s v="CUST008"/>
    <s v="PRD003"/>
    <n v="2"/>
    <n v="130000"/>
    <n v="260000"/>
    <n v="170000"/>
    <n v="90000"/>
  </r>
  <r>
    <s v="TRX-202505-0466"/>
    <x v="128"/>
    <s v="CUST001"/>
    <s v="PRD009"/>
    <n v="4"/>
    <n v="52000"/>
    <n v="208000"/>
    <n v="140000"/>
    <n v="68000"/>
  </r>
  <r>
    <s v="TRX-202505-0466"/>
    <x v="128"/>
    <s v="CUST001"/>
    <s v="PRD012"/>
    <n v="6"/>
    <n v="48000"/>
    <n v="288000"/>
    <n v="192000"/>
    <n v="96000"/>
  </r>
  <r>
    <s v="TRX-202505-0466"/>
    <x v="128"/>
    <s v="CUST001"/>
    <s v="PRD002"/>
    <n v="6"/>
    <n v="70000"/>
    <n v="420000"/>
    <n v="270000"/>
    <n v="150000"/>
  </r>
  <r>
    <s v="TRX-202505-0467"/>
    <x v="128"/>
    <s v="CUST005"/>
    <s v="PRD012"/>
    <n v="5"/>
    <n v="48000"/>
    <n v="240000"/>
    <n v="160000"/>
    <n v="80000"/>
  </r>
  <r>
    <s v="TRX-202505-0468"/>
    <x v="128"/>
    <s v="CUST004"/>
    <s v="PRD002"/>
    <n v="5"/>
    <n v="70000"/>
    <n v="350000"/>
    <n v="225000"/>
    <n v="125000"/>
  </r>
  <r>
    <s v="TRX-202505-0469"/>
    <x v="129"/>
    <s v="CUST008"/>
    <s v="PRD003"/>
    <n v="2"/>
    <n v="130000"/>
    <n v="260000"/>
    <n v="170000"/>
    <n v="90000"/>
  </r>
  <r>
    <s v="TRX-202505-0469"/>
    <x v="129"/>
    <s v="CUST008"/>
    <s v="PRD002"/>
    <n v="8"/>
    <n v="70000"/>
    <n v="560000"/>
    <n v="360000"/>
    <n v="200000"/>
  </r>
  <r>
    <s v="TRX-202505-0469"/>
    <x v="129"/>
    <s v="CUST008"/>
    <s v="PRD008"/>
    <n v="5"/>
    <n v="40000"/>
    <n v="200000"/>
    <n v="140000"/>
    <n v="60000"/>
  </r>
  <r>
    <s v="TRX-202505-0470"/>
    <x v="129"/>
    <s v="CUST008"/>
    <s v="PRD004"/>
    <n v="3"/>
    <n v="105000"/>
    <n v="315000"/>
    <n v="210000"/>
    <n v="105000"/>
  </r>
  <r>
    <s v="TRX-202505-0470"/>
    <x v="129"/>
    <s v="CUST008"/>
    <s v="PRD012"/>
    <n v="5"/>
    <n v="48000"/>
    <n v="240000"/>
    <n v="160000"/>
    <n v="80000"/>
  </r>
  <r>
    <s v="TRX-202505-0471"/>
    <x v="130"/>
    <s v="CUST005"/>
    <s v="PRD008"/>
    <n v="7"/>
    <n v="40000"/>
    <n v="280000"/>
    <n v="196000"/>
    <n v="84000"/>
  </r>
  <r>
    <s v="TRX-202505-0471"/>
    <x v="130"/>
    <s v="CUST005"/>
    <s v="PRD007"/>
    <n v="4"/>
    <n v="225000"/>
    <n v="900000"/>
    <n v="720000"/>
    <n v="180000"/>
  </r>
  <r>
    <s v="TRX-202505-0471"/>
    <x v="130"/>
    <s v="CUST005"/>
    <s v="PRD010"/>
    <n v="4"/>
    <n v="20000"/>
    <n v="80000"/>
    <n v="48000"/>
    <n v="32000"/>
  </r>
  <r>
    <s v="TRX-202505-0472"/>
    <x v="130"/>
    <s v="CUST003"/>
    <s v="PRD007"/>
    <n v="6"/>
    <n v="225000"/>
    <n v="1350000"/>
    <n v="1080000"/>
    <n v="270000"/>
  </r>
  <r>
    <s v="TRX-202505-0472"/>
    <x v="130"/>
    <s v="CUST003"/>
    <s v="PRD002"/>
    <n v="4"/>
    <n v="70000"/>
    <n v="280000"/>
    <n v="180000"/>
    <n v="100000"/>
  </r>
  <r>
    <s v="TRX-202505-0473"/>
    <x v="131"/>
    <s v="CUST006"/>
    <s v="PRD011"/>
    <n v="1"/>
    <n v="35000"/>
    <n v="35000"/>
    <n v="22000"/>
    <n v="13000"/>
  </r>
  <r>
    <s v="TRX-202505-0473"/>
    <x v="131"/>
    <s v="CUST006"/>
    <s v="PRD012"/>
    <n v="2"/>
    <n v="48000"/>
    <n v="96000"/>
    <n v="64000"/>
    <n v="32000"/>
  </r>
  <r>
    <s v="TRX-202505-0474"/>
    <x v="131"/>
    <s v="CUST004"/>
    <s v="PRD010"/>
    <n v="1"/>
    <n v="20000"/>
    <n v="20000"/>
    <n v="12000"/>
    <n v="8000"/>
  </r>
  <r>
    <s v="TRX-202505-0475"/>
    <x v="131"/>
    <s v="CUST003"/>
    <s v="PRD003"/>
    <n v="5"/>
    <n v="130000"/>
    <n v="650000"/>
    <n v="425000"/>
    <n v="225000"/>
  </r>
  <r>
    <s v="TRX-202505-0475"/>
    <x v="131"/>
    <s v="CUST003"/>
    <s v="PRD008"/>
    <n v="7"/>
    <n v="40000"/>
    <n v="280000"/>
    <n v="196000"/>
    <n v="84000"/>
  </r>
  <r>
    <s v="TRX-202505-0475"/>
    <x v="131"/>
    <s v="CUST003"/>
    <s v="PRD009"/>
    <n v="8"/>
    <n v="52000"/>
    <n v="416000"/>
    <n v="280000"/>
    <n v="136000"/>
  </r>
  <r>
    <s v="TRX-202505-0476"/>
    <x v="131"/>
    <s v="CUST004"/>
    <s v="PRD011"/>
    <n v="6"/>
    <n v="35000"/>
    <n v="210000"/>
    <n v="132000"/>
    <n v="78000"/>
  </r>
  <r>
    <s v="TRX-202505-0477"/>
    <x v="131"/>
    <s v="CUST005"/>
    <s v="PRD011"/>
    <n v="6"/>
    <n v="35000"/>
    <n v="210000"/>
    <n v="132000"/>
    <n v="78000"/>
  </r>
  <r>
    <s v="TRX-202505-0477"/>
    <x v="131"/>
    <s v="CUST005"/>
    <s v="PRD005"/>
    <n v="2"/>
    <n v="105000"/>
    <n v="210000"/>
    <n v="140000"/>
    <n v="70000"/>
  </r>
  <r>
    <s v="TRX-202505-0477"/>
    <x v="131"/>
    <s v="CUST005"/>
    <s v="PRD007"/>
    <n v="1"/>
    <n v="225000"/>
    <n v="225000"/>
    <n v="180000"/>
    <n v="45000"/>
  </r>
  <r>
    <s v="TRX-202505-0478"/>
    <x v="132"/>
    <s v="CUST008"/>
    <s v="PRD004"/>
    <n v="7"/>
    <n v="105000"/>
    <n v="735000"/>
    <n v="490000"/>
    <n v="245000"/>
  </r>
  <r>
    <s v="TRX-202505-0479"/>
    <x v="132"/>
    <s v="CUST006"/>
    <s v="PRD003"/>
    <n v="3"/>
    <n v="130000"/>
    <n v="390000"/>
    <n v="255000"/>
    <n v="135000"/>
  </r>
  <r>
    <s v="TRX-202505-0479"/>
    <x v="132"/>
    <s v="CUST006"/>
    <s v="PRD005"/>
    <n v="3"/>
    <n v="105000"/>
    <n v="315000"/>
    <n v="210000"/>
    <n v="105000"/>
  </r>
  <r>
    <s v="TRX-202505-0480"/>
    <x v="132"/>
    <s v="CUST001"/>
    <s v="PRD011"/>
    <n v="1"/>
    <n v="35000"/>
    <n v="35000"/>
    <n v="22000"/>
    <n v="13000"/>
  </r>
  <r>
    <s v="TRX-202505-0481"/>
    <x v="133"/>
    <s v="CUST005"/>
    <s v="PRD009"/>
    <n v="6"/>
    <n v="52000"/>
    <n v="312000"/>
    <n v="210000"/>
    <n v="102000"/>
  </r>
  <r>
    <s v="TRX-202505-0481"/>
    <x v="133"/>
    <s v="CUST005"/>
    <s v="PRD010"/>
    <n v="1"/>
    <n v="20000"/>
    <n v="20000"/>
    <n v="12000"/>
    <n v="8000"/>
  </r>
  <r>
    <s v="TRX-202505-0482"/>
    <x v="133"/>
    <s v="CUST001"/>
    <s v="PRD008"/>
    <n v="8"/>
    <n v="40000"/>
    <n v="320000"/>
    <n v="224000"/>
    <n v="96000"/>
  </r>
  <r>
    <s v="TRX-202505-0482"/>
    <x v="133"/>
    <s v="CUST001"/>
    <s v="PRD006"/>
    <n v="2"/>
    <n v="110000"/>
    <n v="220000"/>
    <n v="150000"/>
    <n v="70000"/>
  </r>
  <r>
    <s v="TRX-202505-0482"/>
    <x v="133"/>
    <s v="CUST001"/>
    <s v="PRD002"/>
    <n v="3"/>
    <n v="70000"/>
    <n v="210000"/>
    <n v="135000"/>
    <n v="75000"/>
  </r>
  <r>
    <s v="TRX-202505-0483"/>
    <x v="133"/>
    <s v="CUST005"/>
    <s v="PRD009"/>
    <n v="2"/>
    <n v="52000"/>
    <n v="104000"/>
    <n v="70000"/>
    <n v="34000"/>
  </r>
  <r>
    <s v="TRX-202505-0483"/>
    <x v="133"/>
    <s v="CUST005"/>
    <s v="PRD002"/>
    <n v="4"/>
    <n v="70000"/>
    <n v="280000"/>
    <n v="180000"/>
    <n v="100000"/>
  </r>
  <r>
    <s v="TRX-202505-0484"/>
    <x v="134"/>
    <s v="CUST005"/>
    <s v="PRD011"/>
    <n v="8"/>
    <n v="35000"/>
    <n v="280000"/>
    <n v="176000"/>
    <n v="104000"/>
  </r>
  <r>
    <s v="TRX-202505-0485"/>
    <x v="134"/>
    <s v="CUST003"/>
    <s v="PRD001"/>
    <n v="1"/>
    <n v="175000"/>
    <n v="175000"/>
    <n v="120000"/>
    <n v="55000"/>
  </r>
  <r>
    <s v="TRX-202505-0485"/>
    <x v="134"/>
    <s v="CUST003"/>
    <s v="PRD011"/>
    <n v="5"/>
    <n v="35000"/>
    <n v="175000"/>
    <n v="110000"/>
    <n v="65000"/>
  </r>
  <r>
    <s v="TRX-202505-0485"/>
    <x v="134"/>
    <s v="CUST003"/>
    <s v="PRD005"/>
    <n v="8"/>
    <n v="105000"/>
    <n v="840000"/>
    <n v="560000"/>
    <n v="280000"/>
  </r>
  <r>
    <s v="TRX-202505-0486"/>
    <x v="134"/>
    <s v="CUST002"/>
    <s v="PRD009"/>
    <n v="2"/>
    <n v="52000"/>
    <n v="104000"/>
    <n v="70000"/>
    <n v="34000"/>
  </r>
  <r>
    <s v="TRX-202505-0487"/>
    <x v="134"/>
    <s v="CUST005"/>
    <s v="PRD003"/>
    <n v="5"/>
    <n v="130000"/>
    <n v="650000"/>
    <n v="425000"/>
    <n v="225000"/>
  </r>
  <r>
    <s v="TRX-202505-0487"/>
    <x v="134"/>
    <s v="CUST005"/>
    <s v="PRD010"/>
    <n v="5"/>
    <n v="20000"/>
    <n v="100000"/>
    <n v="60000"/>
    <n v="40000"/>
  </r>
  <r>
    <s v="TRX-202505-0488"/>
    <x v="135"/>
    <s v="CUST008"/>
    <s v="PRD011"/>
    <n v="6"/>
    <n v="35000"/>
    <n v="210000"/>
    <n v="132000"/>
    <n v="78000"/>
  </r>
  <r>
    <s v="TRX-202505-0488"/>
    <x v="135"/>
    <s v="CUST008"/>
    <s v="PRD003"/>
    <n v="1"/>
    <n v="130000"/>
    <n v="130000"/>
    <n v="85000"/>
    <n v="45000"/>
  </r>
  <r>
    <s v="TRX-202505-0488"/>
    <x v="135"/>
    <s v="CUST008"/>
    <s v="PRD004"/>
    <n v="5"/>
    <n v="105000"/>
    <n v="525000"/>
    <n v="350000"/>
    <n v="175000"/>
  </r>
  <r>
    <s v="TRX-202505-0489"/>
    <x v="135"/>
    <s v="CUST002"/>
    <s v="PRD003"/>
    <n v="8"/>
    <n v="130000"/>
    <n v="1040000"/>
    <n v="680000"/>
    <n v="360000"/>
  </r>
  <r>
    <s v="TRX-202505-0490"/>
    <x v="135"/>
    <s v="CUST007"/>
    <s v="PRD005"/>
    <n v="4"/>
    <n v="105000"/>
    <n v="420000"/>
    <n v="280000"/>
    <n v="140000"/>
  </r>
  <r>
    <s v="TRX-202505-0490"/>
    <x v="135"/>
    <s v="CUST007"/>
    <s v="PRD008"/>
    <n v="7"/>
    <n v="40000"/>
    <n v="280000"/>
    <n v="196000"/>
    <n v="84000"/>
  </r>
  <r>
    <s v="TRX-202505-0491"/>
    <x v="136"/>
    <s v="CUST005"/>
    <s v="PRD010"/>
    <n v="4"/>
    <n v="20000"/>
    <n v="80000"/>
    <n v="48000"/>
    <n v="32000"/>
  </r>
  <r>
    <s v="TRX-202505-0491"/>
    <x v="136"/>
    <s v="CUST005"/>
    <s v="PRD007"/>
    <n v="4"/>
    <n v="225000"/>
    <n v="900000"/>
    <n v="720000"/>
    <n v="180000"/>
  </r>
  <r>
    <s v="TRX-202505-0491"/>
    <x v="136"/>
    <s v="CUST005"/>
    <s v="PRD008"/>
    <n v="6"/>
    <n v="40000"/>
    <n v="240000"/>
    <n v="168000"/>
    <n v="72000"/>
  </r>
  <r>
    <s v="TRX-202505-0492"/>
    <x v="136"/>
    <s v="CUST003"/>
    <s v="PRD009"/>
    <n v="1"/>
    <n v="52000"/>
    <n v="52000"/>
    <n v="35000"/>
    <n v="17000"/>
  </r>
  <r>
    <s v="TRX-202505-0492"/>
    <x v="136"/>
    <s v="CUST003"/>
    <s v="PRD001"/>
    <n v="2"/>
    <n v="175000"/>
    <n v="350000"/>
    <n v="240000"/>
    <n v="110000"/>
  </r>
  <r>
    <s v="TRX-202505-0493"/>
    <x v="137"/>
    <s v="CUST002"/>
    <s v="PRD003"/>
    <n v="8"/>
    <n v="130000"/>
    <n v="1040000"/>
    <n v="680000"/>
    <n v="360000"/>
  </r>
  <r>
    <s v="TRX-202505-0493"/>
    <x v="137"/>
    <s v="CUST002"/>
    <s v="PRD005"/>
    <n v="2"/>
    <n v="105000"/>
    <n v="210000"/>
    <n v="140000"/>
    <n v="70000"/>
  </r>
  <r>
    <s v="TRX-202505-0493"/>
    <x v="137"/>
    <s v="CUST002"/>
    <s v="PRD011"/>
    <n v="8"/>
    <n v="35000"/>
    <n v="280000"/>
    <n v="176000"/>
    <n v="104000"/>
  </r>
  <r>
    <s v="TRX-202505-0494"/>
    <x v="137"/>
    <s v="CUST005"/>
    <s v="PRD012"/>
    <n v="6"/>
    <n v="48000"/>
    <n v="288000"/>
    <n v="192000"/>
    <n v="96000"/>
  </r>
  <r>
    <s v="TRX-202505-0494"/>
    <x v="137"/>
    <s v="CUST005"/>
    <s v="PRD011"/>
    <n v="5"/>
    <n v="35000"/>
    <n v="175000"/>
    <n v="110000"/>
    <n v="65000"/>
  </r>
  <r>
    <s v="TRX-202505-0495"/>
    <x v="137"/>
    <s v="CUST003"/>
    <s v="PRD005"/>
    <n v="1"/>
    <n v="105000"/>
    <n v="105000"/>
    <n v="70000"/>
    <n v="35000"/>
  </r>
  <r>
    <s v="TRX-202505-0496"/>
    <x v="138"/>
    <s v="CUST008"/>
    <s v="PRD008"/>
    <n v="3"/>
    <n v="40000"/>
    <n v="120000"/>
    <n v="84000"/>
    <n v="36000"/>
  </r>
  <r>
    <s v="TRX-202505-0497"/>
    <x v="138"/>
    <s v="CUST001"/>
    <s v="PRD011"/>
    <n v="7"/>
    <n v="35000"/>
    <n v="245000"/>
    <n v="154000"/>
    <n v="91000"/>
  </r>
  <r>
    <s v="TRX-202505-0498"/>
    <x v="138"/>
    <s v="CUST005"/>
    <s v="PRD012"/>
    <n v="6"/>
    <n v="48000"/>
    <n v="288000"/>
    <n v="192000"/>
    <n v="96000"/>
  </r>
  <r>
    <s v="TRX-202505-0499"/>
    <x v="138"/>
    <s v="CUST007"/>
    <s v="PRD001"/>
    <n v="8"/>
    <n v="175000"/>
    <n v="1400000"/>
    <n v="960000"/>
    <n v="440000"/>
  </r>
  <r>
    <s v="TRX-202505-0499"/>
    <x v="138"/>
    <s v="CUST007"/>
    <s v="PRD009"/>
    <n v="7"/>
    <n v="52000"/>
    <n v="364000"/>
    <n v="245000"/>
    <n v="119000"/>
  </r>
  <r>
    <s v="TRX-202505-0499"/>
    <x v="138"/>
    <s v="CUST007"/>
    <s v="PRD008"/>
    <n v="7"/>
    <n v="40000"/>
    <n v="280000"/>
    <n v="196000"/>
    <n v="84000"/>
  </r>
  <r>
    <s v="TRX-202505-0500"/>
    <x v="139"/>
    <s v="CUST005"/>
    <s v="PRD004"/>
    <n v="1"/>
    <n v="105000"/>
    <n v="105000"/>
    <n v="70000"/>
    <n v="35000"/>
  </r>
  <r>
    <s v="TRX-202505-0500"/>
    <x v="139"/>
    <s v="CUST005"/>
    <s v="PRD003"/>
    <n v="7"/>
    <n v="130000"/>
    <n v="910000"/>
    <n v="595000"/>
    <n v="315000"/>
  </r>
  <r>
    <s v="TRX-202505-0500"/>
    <x v="139"/>
    <s v="CUST005"/>
    <s v="PRD009"/>
    <n v="4"/>
    <n v="52000"/>
    <n v="208000"/>
    <n v="140000"/>
    <n v="68000"/>
  </r>
  <r>
    <s v="TRX-202505-0501"/>
    <x v="139"/>
    <s v="CUST005"/>
    <s v="PRD007"/>
    <n v="8"/>
    <n v="225000"/>
    <n v="1800000"/>
    <n v="1440000"/>
    <n v="360000"/>
  </r>
  <r>
    <s v="TRX-202505-0501"/>
    <x v="139"/>
    <s v="CUST005"/>
    <s v="PRD002"/>
    <n v="2"/>
    <n v="70000"/>
    <n v="140000"/>
    <n v="90000"/>
    <n v="50000"/>
  </r>
  <r>
    <s v="TRX-202505-0501"/>
    <x v="139"/>
    <s v="CUST005"/>
    <s v="PRD006"/>
    <n v="8"/>
    <n v="110000"/>
    <n v="880000"/>
    <n v="600000"/>
    <n v="280000"/>
  </r>
  <r>
    <s v="TRX-202505-0502"/>
    <x v="139"/>
    <s v="CUST004"/>
    <s v="PRD001"/>
    <n v="4"/>
    <n v="175000"/>
    <n v="700000"/>
    <n v="480000"/>
    <n v="220000"/>
  </r>
  <r>
    <s v="TRX-202505-0503"/>
    <x v="139"/>
    <s v="CUST001"/>
    <s v="PRD010"/>
    <n v="7"/>
    <n v="20000"/>
    <n v="140000"/>
    <n v="84000"/>
    <n v="56000"/>
  </r>
  <r>
    <s v="TRX-202505-0503"/>
    <x v="139"/>
    <s v="CUST001"/>
    <s v="PRD004"/>
    <n v="2"/>
    <n v="105000"/>
    <n v="210000"/>
    <n v="140000"/>
    <n v="70000"/>
  </r>
  <r>
    <s v="TRX-202505-0503"/>
    <x v="139"/>
    <s v="CUST001"/>
    <s v="PRD008"/>
    <n v="5"/>
    <n v="40000"/>
    <n v="200000"/>
    <n v="140000"/>
    <n v="60000"/>
  </r>
  <r>
    <s v="TRX-202505-0504"/>
    <x v="139"/>
    <s v="CUST008"/>
    <s v="PRD008"/>
    <n v="6"/>
    <n v="40000"/>
    <n v="240000"/>
    <n v="168000"/>
    <n v="72000"/>
  </r>
  <r>
    <s v="TRX-202505-0504"/>
    <x v="139"/>
    <s v="CUST008"/>
    <s v="PRD001"/>
    <n v="1"/>
    <n v="175000"/>
    <n v="175000"/>
    <n v="120000"/>
    <n v="55000"/>
  </r>
  <r>
    <s v="TRX-202505-0504"/>
    <x v="139"/>
    <s v="CUST008"/>
    <s v="PRD011"/>
    <n v="6"/>
    <n v="35000"/>
    <n v="210000"/>
    <n v="132000"/>
    <n v="78000"/>
  </r>
  <r>
    <s v="TRX-202505-0505"/>
    <x v="140"/>
    <s v="CUST005"/>
    <s v="PRD008"/>
    <n v="3"/>
    <n v="40000"/>
    <n v="120000"/>
    <n v="84000"/>
    <n v="36000"/>
  </r>
  <r>
    <s v="TRX-202505-0506"/>
    <x v="140"/>
    <s v="CUST002"/>
    <s v="PRD002"/>
    <n v="8"/>
    <n v="70000"/>
    <n v="560000"/>
    <n v="360000"/>
    <n v="200000"/>
  </r>
  <r>
    <s v="TRX-202505-0507"/>
    <x v="141"/>
    <s v="CUST008"/>
    <s v="PRD010"/>
    <n v="1"/>
    <n v="20000"/>
    <n v="20000"/>
    <n v="12000"/>
    <n v="8000"/>
  </r>
  <r>
    <s v="TRX-202505-0508"/>
    <x v="141"/>
    <s v="CUST003"/>
    <s v="PRD011"/>
    <n v="7"/>
    <n v="35000"/>
    <n v="245000"/>
    <n v="154000"/>
    <n v="91000"/>
  </r>
  <r>
    <s v="TRX-202505-0509"/>
    <x v="141"/>
    <s v="CUST003"/>
    <s v="PRD008"/>
    <n v="2"/>
    <n v="40000"/>
    <n v="80000"/>
    <n v="56000"/>
    <n v="24000"/>
  </r>
  <r>
    <s v="TRX-202505-0510"/>
    <x v="142"/>
    <s v="CUST004"/>
    <s v="PRD002"/>
    <n v="2"/>
    <n v="70000"/>
    <n v="140000"/>
    <n v="90000"/>
    <n v="50000"/>
  </r>
  <r>
    <s v="TRX-202505-0511"/>
    <x v="142"/>
    <s v="CUST006"/>
    <s v="PRD009"/>
    <n v="4"/>
    <n v="52000"/>
    <n v="208000"/>
    <n v="140000"/>
    <n v="68000"/>
  </r>
  <r>
    <s v="TRX-202505-0511"/>
    <x v="142"/>
    <s v="CUST006"/>
    <s v="PRD004"/>
    <n v="5"/>
    <n v="105000"/>
    <n v="525000"/>
    <n v="350000"/>
    <n v="175000"/>
  </r>
  <r>
    <s v="TRX-202505-0511"/>
    <x v="142"/>
    <s v="CUST006"/>
    <s v="PRD008"/>
    <n v="1"/>
    <n v="40000"/>
    <n v="40000"/>
    <n v="28000"/>
    <n v="12000"/>
  </r>
  <r>
    <s v="TRX-202505-0512"/>
    <x v="143"/>
    <s v="CUST002"/>
    <s v="PRD012"/>
    <n v="8"/>
    <n v="48000"/>
    <n v="384000"/>
    <n v="256000"/>
    <n v="128000"/>
  </r>
  <r>
    <s v="TRX-202505-0513"/>
    <x v="143"/>
    <s v="CUST006"/>
    <s v="PRD004"/>
    <n v="6"/>
    <n v="105000"/>
    <n v="630000"/>
    <n v="420000"/>
    <n v="210000"/>
  </r>
  <r>
    <s v="TRX-202505-0513"/>
    <x v="143"/>
    <s v="CUST006"/>
    <s v="PRD011"/>
    <n v="4"/>
    <n v="35000"/>
    <n v="140000"/>
    <n v="88000"/>
    <n v="52000"/>
  </r>
  <r>
    <s v="TRX-202505-0514"/>
    <x v="144"/>
    <s v="CUST001"/>
    <s v="PRD010"/>
    <n v="3"/>
    <n v="20000"/>
    <n v="60000"/>
    <n v="36000"/>
    <n v="24000"/>
  </r>
  <r>
    <s v="TRX-202505-0514"/>
    <x v="144"/>
    <s v="CUST001"/>
    <s v="PRD001"/>
    <n v="2"/>
    <n v="175000"/>
    <n v="350000"/>
    <n v="240000"/>
    <n v="110000"/>
  </r>
  <r>
    <s v="TRX-202505-0514"/>
    <x v="144"/>
    <s v="CUST001"/>
    <s v="PRD005"/>
    <n v="8"/>
    <n v="105000"/>
    <n v="840000"/>
    <n v="560000"/>
    <n v="280000"/>
  </r>
  <r>
    <s v="TRX-202505-0515"/>
    <x v="144"/>
    <s v="CUST008"/>
    <s v="PRD003"/>
    <n v="4"/>
    <n v="130000"/>
    <n v="520000"/>
    <n v="340000"/>
    <n v="180000"/>
  </r>
  <r>
    <s v="TRX-202505-0515"/>
    <x v="144"/>
    <s v="CUST008"/>
    <s v="PRD006"/>
    <n v="5"/>
    <n v="110000"/>
    <n v="550000"/>
    <n v="375000"/>
    <n v="175000"/>
  </r>
  <r>
    <s v="TRX-202505-0516"/>
    <x v="144"/>
    <s v="CUST003"/>
    <s v="PRD010"/>
    <n v="4"/>
    <n v="20000"/>
    <n v="80000"/>
    <n v="48000"/>
    <n v="32000"/>
  </r>
  <r>
    <s v="TRX-202505-0516"/>
    <x v="144"/>
    <s v="CUST003"/>
    <s v="PRD003"/>
    <n v="2"/>
    <n v="130000"/>
    <n v="260000"/>
    <n v="170000"/>
    <n v="90000"/>
  </r>
  <r>
    <s v="TRX-202505-0516"/>
    <x v="144"/>
    <s v="CUST003"/>
    <s v="PRD012"/>
    <n v="7"/>
    <n v="48000"/>
    <n v="336000"/>
    <n v="224000"/>
    <n v="112000"/>
  </r>
  <r>
    <s v="TRX-202505-0517"/>
    <x v="145"/>
    <s v="CUST008"/>
    <s v="PRD002"/>
    <n v="4"/>
    <n v="70000"/>
    <n v="280000"/>
    <n v="180000"/>
    <n v="100000"/>
  </r>
  <r>
    <s v="TRX-202505-0517"/>
    <x v="145"/>
    <s v="CUST008"/>
    <s v="PRD008"/>
    <n v="2"/>
    <n v="40000"/>
    <n v="80000"/>
    <n v="56000"/>
    <n v="24000"/>
  </r>
  <r>
    <s v="TRX-202505-0517"/>
    <x v="145"/>
    <s v="CUST008"/>
    <s v="PRD011"/>
    <n v="1"/>
    <n v="35000"/>
    <n v="35000"/>
    <n v="22000"/>
    <n v="13000"/>
  </r>
  <r>
    <s v="TRX-202505-0518"/>
    <x v="145"/>
    <s v="CUST007"/>
    <s v="PRD003"/>
    <n v="6"/>
    <n v="130000"/>
    <n v="780000"/>
    <n v="510000"/>
    <n v="270000"/>
  </r>
  <r>
    <s v="TRX-202505-0519"/>
    <x v="145"/>
    <s v="CUST005"/>
    <s v="PRD011"/>
    <n v="2"/>
    <n v="35000"/>
    <n v="70000"/>
    <n v="44000"/>
    <n v="26000"/>
  </r>
  <r>
    <s v="TRX-202505-0520"/>
    <x v="145"/>
    <s v="CUST001"/>
    <s v="PRD011"/>
    <n v="3"/>
    <n v="35000"/>
    <n v="105000"/>
    <n v="66000"/>
    <n v="39000"/>
  </r>
  <r>
    <s v="TRX-202505-0520"/>
    <x v="145"/>
    <s v="CUST001"/>
    <s v="PRD005"/>
    <n v="8"/>
    <n v="105000"/>
    <n v="840000"/>
    <n v="560000"/>
    <n v="280000"/>
  </r>
  <r>
    <s v="TRX-202505-0521"/>
    <x v="145"/>
    <s v="CUST001"/>
    <s v="PRD008"/>
    <n v="7"/>
    <n v="40000"/>
    <n v="280000"/>
    <n v="196000"/>
    <n v="84000"/>
  </r>
  <r>
    <s v="TRX-202505-0521"/>
    <x v="145"/>
    <s v="CUST001"/>
    <s v="PRD003"/>
    <n v="3"/>
    <n v="130000"/>
    <n v="390000"/>
    <n v="255000"/>
    <n v="135000"/>
  </r>
  <r>
    <s v="TRX-202505-0522"/>
    <x v="146"/>
    <s v="CUST002"/>
    <s v="PRD006"/>
    <n v="1"/>
    <n v="110000"/>
    <n v="110000"/>
    <n v="75000"/>
    <n v="35000"/>
  </r>
  <r>
    <s v="TRX-202505-0522"/>
    <x v="146"/>
    <s v="CUST002"/>
    <s v="PRD008"/>
    <n v="6"/>
    <n v="40000"/>
    <n v="240000"/>
    <n v="168000"/>
    <n v="72000"/>
  </r>
  <r>
    <s v="TRX-202505-0523"/>
    <x v="146"/>
    <s v="CUST006"/>
    <s v="PRD011"/>
    <n v="2"/>
    <n v="35000"/>
    <n v="70000"/>
    <n v="44000"/>
    <n v="26000"/>
  </r>
  <r>
    <s v="TRX-202505-0524"/>
    <x v="147"/>
    <s v="CUST008"/>
    <s v="PRD009"/>
    <n v="5"/>
    <n v="52000"/>
    <n v="260000"/>
    <n v="175000"/>
    <n v="85000"/>
  </r>
  <r>
    <s v="TRX-202505-0524"/>
    <x v="147"/>
    <s v="CUST008"/>
    <s v="PRD002"/>
    <n v="8"/>
    <n v="70000"/>
    <n v="560000"/>
    <n v="360000"/>
    <n v="200000"/>
  </r>
  <r>
    <s v="TRX-202505-0524"/>
    <x v="147"/>
    <s v="CUST008"/>
    <s v="PRD008"/>
    <n v="6"/>
    <n v="40000"/>
    <n v="240000"/>
    <n v="168000"/>
    <n v="72000"/>
  </r>
  <r>
    <s v="TRX-202505-0525"/>
    <x v="147"/>
    <s v="CUST002"/>
    <s v="PRD008"/>
    <n v="2"/>
    <n v="40000"/>
    <n v="80000"/>
    <n v="56000"/>
    <n v="24000"/>
  </r>
  <r>
    <s v="TRX-202505-0526"/>
    <x v="147"/>
    <s v="CUST002"/>
    <s v="PRD003"/>
    <n v="2"/>
    <n v="130000"/>
    <n v="260000"/>
    <n v="170000"/>
    <n v="90000"/>
  </r>
  <r>
    <s v="TRX-202505-0526"/>
    <x v="147"/>
    <s v="CUST002"/>
    <s v="PRD005"/>
    <n v="2"/>
    <n v="105000"/>
    <n v="210000"/>
    <n v="140000"/>
    <n v="70000"/>
  </r>
  <r>
    <s v="TRX-202505-0527"/>
    <x v="147"/>
    <s v="CUST003"/>
    <s v="PRD002"/>
    <n v="8"/>
    <n v="70000"/>
    <n v="560000"/>
    <n v="360000"/>
    <n v="200000"/>
  </r>
  <r>
    <s v="TRX-202505-0527"/>
    <x v="147"/>
    <s v="CUST003"/>
    <s v="PRD003"/>
    <n v="3"/>
    <n v="130000"/>
    <n v="390000"/>
    <n v="255000"/>
    <n v="135000"/>
  </r>
  <r>
    <s v="TRX-202505-0528"/>
    <x v="147"/>
    <s v="CUST004"/>
    <s v="PRD011"/>
    <n v="7"/>
    <n v="35000"/>
    <n v="245000"/>
    <n v="154000"/>
    <n v="91000"/>
  </r>
  <r>
    <s v="TRX-202505-0528"/>
    <x v="147"/>
    <s v="CUST004"/>
    <s v="PRD001"/>
    <n v="3"/>
    <n v="175000"/>
    <n v="525000"/>
    <n v="360000"/>
    <n v="165000"/>
  </r>
  <r>
    <s v="TRX-202505-0528"/>
    <x v="147"/>
    <s v="CUST004"/>
    <s v="PRD005"/>
    <n v="8"/>
    <n v="105000"/>
    <n v="840000"/>
    <n v="560000"/>
    <n v="280000"/>
  </r>
  <r>
    <s v="TRX-202505-0529"/>
    <x v="148"/>
    <s v="CUST003"/>
    <s v="PRD004"/>
    <n v="6"/>
    <n v="105000"/>
    <n v="630000"/>
    <n v="420000"/>
    <n v="210000"/>
  </r>
  <r>
    <s v="TRX-202505-0529"/>
    <x v="148"/>
    <s v="CUST003"/>
    <s v="PRD008"/>
    <n v="5"/>
    <n v="40000"/>
    <n v="200000"/>
    <n v="140000"/>
    <n v="60000"/>
  </r>
  <r>
    <s v="TRX-202505-0530"/>
    <x v="148"/>
    <s v="CUST001"/>
    <s v="PRD006"/>
    <n v="5"/>
    <n v="110000"/>
    <n v="550000"/>
    <n v="375000"/>
    <n v="175000"/>
  </r>
  <r>
    <s v="TRX-202505-0531"/>
    <x v="148"/>
    <s v="CUST008"/>
    <s v="PRD010"/>
    <n v="3"/>
    <n v="20000"/>
    <n v="60000"/>
    <n v="36000"/>
    <n v="24000"/>
  </r>
  <r>
    <s v="TRX-202505-0532"/>
    <x v="148"/>
    <s v="CUST005"/>
    <s v="PRD003"/>
    <n v="3"/>
    <n v="130000"/>
    <n v="390000"/>
    <n v="255000"/>
    <n v="135000"/>
  </r>
  <r>
    <s v="TRX-202505-0533"/>
    <x v="149"/>
    <s v="CUST003"/>
    <s v="PRD012"/>
    <n v="6"/>
    <n v="48000"/>
    <n v="288000"/>
    <n v="192000"/>
    <n v="96000"/>
  </r>
  <r>
    <s v="TRX-202505-0534"/>
    <x v="149"/>
    <s v="CUST005"/>
    <s v="PRD005"/>
    <n v="3"/>
    <n v="105000"/>
    <n v="315000"/>
    <n v="210000"/>
    <n v="105000"/>
  </r>
  <r>
    <s v="TRX-202505-0534"/>
    <x v="149"/>
    <s v="CUST005"/>
    <s v="PRD010"/>
    <n v="8"/>
    <n v="20000"/>
    <n v="160000"/>
    <n v="96000"/>
    <n v="64000"/>
  </r>
  <r>
    <s v="TRX-202505-0535"/>
    <x v="149"/>
    <s v="CUST006"/>
    <s v="PRD002"/>
    <n v="3"/>
    <n v="70000"/>
    <n v="210000"/>
    <n v="135000"/>
    <n v="75000"/>
  </r>
  <r>
    <s v="TRX-202505-0535"/>
    <x v="149"/>
    <s v="CUST006"/>
    <s v="PRD008"/>
    <n v="2"/>
    <n v="40000"/>
    <n v="80000"/>
    <n v="56000"/>
    <n v="24000"/>
  </r>
  <r>
    <s v="TRX-202505-0535"/>
    <x v="149"/>
    <s v="CUST006"/>
    <s v="PRD001"/>
    <n v="5"/>
    <n v="175000"/>
    <n v="875000"/>
    <n v="600000"/>
    <n v="275000"/>
  </r>
  <r>
    <s v="TRX-202505-0536"/>
    <x v="149"/>
    <s v="CUST001"/>
    <s v="PRD010"/>
    <n v="8"/>
    <n v="20000"/>
    <n v="160000"/>
    <n v="96000"/>
    <n v="64000"/>
  </r>
  <r>
    <s v="TRX-202505-0536"/>
    <x v="149"/>
    <s v="CUST001"/>
    <s v="PRD004"/>
    <n v="6"/>
    <n v="105000"/>
    <n v="630000"/>
    <n v="420000"/>
    <n v="210000"/>
  </r>
  <r>
    <s v="TRX-202505-0537"/>
    <x v="150"/>
    <s v="CUST006"/>
    <s v="PRD006"/>
    <n v="5"/>
    <n v="110000"/>
    <n v="550000"/>
    <n v="375000"/>
    <n v="175000"/>
  </r>
  <r>
    <s v="TRX-202505-0537"/>
    <x v="150"/>
    <s v="CUST006"/>
    <s v="PRD001"/>
    <n v="6"/>
    <n v="175000"/>
    <n v="1050000"/>
    <n v="720000"/>
    <n v="330000"/>
  </r>
  <r>
    <s v="TRX-202505-0538"/>
    <x v="150"/>
    <s v="CUST006"/>
    <s v="PRD008"/>
    <n v="2"/>
    <n v="40000"/>
    <n v="80000"/>
    <n v="56000"/>
    <n v="24000"/>
  </r>
  <r>
    <s v="TRX-202505-0538"/>
    <x v="150"/>
    <s v="CUST006"/>
    <s v="PRD009"/>
    <n v="4"/>
    <n v="52000"/>
    <n v="208000"/>
    <n v="140000"/>
    <n v="68000"/>
  </r>
  <r>
    <s v="TRX-202505-0539"/>
    <x v="150"/>
    <s v="CUST008"/>
    <s v="PRD007"/>
    <n v="3"/>
    <n v="225000"/>
    <n v="675000"/>
    <n v="540000"/>
    <n v="135000"/>
  </r>
  <r>
    <s v="TRX-202505-0539"/>
    <x v="150"/>
    <s v="CUST008"/>
    <s v="PRD008"/>
    <n v="7"/>
    <n v="40000"/>
    <n v="280000"/>
    <n v="196000"/>
    <n v="84000"/>
  </r>
  <r>
    <s v="TRX-202505-0539"/>
    <x v="150"/>
    <s v="CUST008"/>
    <s v="PRD005"/>
    <n v="7"/>
    <n v="105000"/>
    <n v="735000"/>
    <n v="490000"/>
    <n v="245000"/>
  </r>
  <r>
    <s v="TRX-202505-0540"/>
    <x v="150"/>
    <s v="CUST003"/>
    <s v="PRD010"/>
    <n v="4"/>
    <n v="20000"/>
    <n v="80000"/>
    <n v="48000"/>
    <n v="32000"/>
  </r>
  <r>
    <s v="TRX-202505-0540"/>
    <x v="150"/>
    <s v="CUST003"/>
    <s v="PRD002"/>
    <n v="5"/>
    <n v="70000"/>
    <n v="350000"/>
    <n v="225000"/>
    <n v="125000"/>
  </r>
  <r>
    <s v="TRX-202505-0540"/>
    <x v="150"/>
    <s v="CUST003"/>
    <s v="PRD003"/>
    <n v="8"/>
    <n v="130000"/>
    <n v="1040000"/>
    <n v="680000"/>
    <n v="360000"/>
  </r>
  <r>
    <s v="TRX-202505-0541"/>
    <x v="150"/>
    <s v="CUST006"/>
    <s v="PRD010"/>
    <n v="7"/>
    <n v="20000"/>
    <n v="140000"/>
    <n v="84000"/>
    <n v="56000"/>
  </r>
  <r>
    <s v="TRX-202506-0542"/>
    <x v="151"/>
    <s v="CUST002"/>
    <s v="PRD011"/>
    <n v="3"/>
    <n v="35000"/>
    <n v="105000"/>
    <n v="66000"/>
    <n v="39000"/>
  </r>
  <r>
    <s v="TRX-202506-0542"/>
    <x v="151"/>
    <s v="CUST002"/>
    <s v="PRD005"/>
    <n v="8"/>
    <n v="105000"/>
    <n v="840000"/>
    <n v="560000"/>
    <n v="280000"/>
  </r>
  <r>
    <s v="TRX-202506-0542"/>
    <x v="151"/>
    <s v="CUST002"/>
    <s v="PRD007"/>
    <n v="4"/>
    <n v="225000"/>
    <n v="900000"/>
    <n v="720000"/>
    <n v="180000"/>
  </r>
  <r>
    <s v="TRX-202506-0543"/>
    <x v="151"/>
    <s v="CUST001"/>
    <s v="PRD005"/>
    <n v="8"/>
    <n v="105000"/>
    <n v="840000"/>
    <n v="560000"/>
    <n v="280000"/>
  </r>
  <r>
    <s v="TRX-202506-0544"/>
    <x v="151"/>
    <s v="CUST002"/>
    <s v="PRD012"/>
    <n v="8"/>
    <n v="48000"/>
    <n v="384000"/>
    <n v="256000"/>
    <n v="128000"/>
  </r>
  <r>
    <s v="TRX-202506-0544"/>
    <x v="151"/>
    <s v="CUST002"/>
    <s v="PRD006"/>
    <n v="7"/>
    <n v="110000"/>
    <n v="770000"/>
    <n v="525000"/>
    <n v="245000"/>
  </r>
  <r>
    <s v="TRX-202506-0544"/>
    <x v="151"/>
    <s v="CUST002"/>
    <s v="PRD010"/>
    <n v="5"/>
    <n v="20000"/>
    <n v="100000"/>
    <n v="60000"/>
    <n v="40000"/>
  </r>
  <r>
    <s v="TRX-202506-0545"/>
    <x v="151"/>
    <s v="CUST008"/>
    <s v="PRD002"/>
    <n v="1"/>
    <n v="70000"/>
    <n v="70000"/>
    <n v="45000"/>
    <n v="25000"/>
  </r>
  <r>
    <s v="TRX-202506-0545"/>
    <x v="151"/>
    <s v="CUST008"/>
    <s v="PRD006"/>
    <n v="5"/>
    <n v="110000"/>
    <n v="550000"/>
    <n v="375000"/>
    <n v="175000"/>
  </r>
  <r>
    <s v="TRX-202506-0545"/>
    <x v="151"/>
    <s v="CUST008"/>
    <s v="PRD009"/>
    <n v="3"/>
    <n v="52000"/>
    <n v="156000"/>
    <n v="105000"/>
    <n v="51000"/>
  </r>
  <r>
    <s v="TRX-202506-0546"/>
    <x v="151"/>
    <s v="CUST001"/>
    <s v="PRD006"/>
    <n v="8"/>
    <n v="110000"/>
    <n v="880000"/>
    <n v="600000"/>
    <n v="280000"/>
  </r>
  <r>
    <s v="TRX-202506-0547"/>
    <x v="152"/>
    <s v="CUST002"/>
    <s v="PRD010"/>
    <n v="1"/>
    <n v="20000"/>
    <n v="20000"/>
    <n v="12000"/>
    <n v="8000"/>
  </r>
  <r>
    <s v="TRX-202506-0547"/>
    <x v="152"/>
    <s v="CUST002"/>
    <s v="PRD006"/>
    <n v="3"/>
    <n v="110000"/>
    <n v="330000"/>
    <n v="225000"/>
    <n v="105000"/>
  </r>
  <r>
    <s v="TRX-202506-0547"/>
    <x v="152"/>
    <s v="CUST002"/>
    <s v="PRD003"/>
    <n v="5"/>
    <n v="130000"/>
    <n v="650000"/>
    <n v="425000"/>
    <n v="225000"/>
  </r>
  <r>
    <s v="TRX-202506-0548"/>
    <x v="152"/>
    <s v="CUST006"/>
    <s v="PRD007"/>
    <n v="3"/>
    <n v="225000"/>
    <n v="675000"/>
    <n v="540000"/>
    <n v="135000"/>
  </r>
  <r>
    <s v="TRX-202506-0548"/>
    <x v="152"/>
    <s v="CUST006"/>
    <s v="PRD006"/>
    <n v="2"/>
    <n v="110000"/>
    <n v="220000"/>
    <n v="150000"/>
    <n v="70000"/>
  </r>
  <r>
    <s v="TRX-202506-0549"/>
    <x v="152"/>
    <s v="CUST004"/>
    <s v="PRD009"/>
    <n v="4"/>
    <n v="52000"/>
    <n v="208000"/>
    <n v="140000"/>
    <n v="68000"/>
  </r>
  <r>
    <s v="TRX-202506-0550"/>
    <x v="152"/>
    <s v="CUST004"/>
    <s v="PRD010"/>
    <n v="2"/>
    <n v="20000"/>
    <n v="40000"/>
    <n v="24000"/>
    <n v="16000"/>
  </r>
  <r>
    <s v="TRX-202506-0550"/>
    <x v="152"/>
    <s v="CUST004"/>
    <s v="PRD009"/>
    <n v="7"/>
    <n v="52000"/>
    <n v="364000"/>
    <n v="245000"/>
    <n v="119000"/>
  </r>
  <r>
    <s v="TRX-202506-0550"/>
    <x v="152"/>
    <s v="CUST004"/>
    <s v="PRD011"/>
    <n v="8"/>
    <n v="35000"/>
    <n v="280000"/>
    <n v="176000"/>
    <n v="104000"/>
  </r>
  <r>
    <s v="TRX-202506-0551"/>
    <x v="153"/>
    <s v="CUST007"/>
    <s v="PRD002"/>
    <n v="8"/>
    <n v="70000"/>
    <n v="560000"/>
    <n v="360000"/>
    <n v="200000"/>
  </r>
  <r>
    <s v="TRX-202506-0551"/>
    <x v="153"/>
    <s v="CUST007"/>
    <s v="PRD012"/>
    <n v="7"/>
    <n v="48000"/>
    <n v="336000"/>
    <n v="224000"/>
    <n v="112000"/>
  </r>
  <r>
    <s v="TRX-202506-0551"/>
    <x v="153"/>
    <s v="CUST007"/>
    <s v="PRD001"/>
    <n v="1"/>
    <n v="175000"/>
    <n v="175000"/>
    <n v="120000"/>
    <n v="55000"/>
  </r>
  <r>
    <s v="TRX-202506-0552"/>
    <x v="153"/>
    <s v="CUST004"/>
    <s v="PRD001"/>
    <n v="1"/>
    <n v="175000"/>
    <n v="175000"/>
    <n v="120000"/>
    <n v="55000"/>
  </r>
  <r>
    <s v="TRX-202506-0553"/>
    <x v="154"/>
    <s v="CUST001"/>
    <s v="PRD004"/>
    <n v="3"/>
    <n v="105000"/>
    <n v="315000"/>
    <n v="210000"/>
    <n v="105000"/>
  </r>
  <r>
    <s v="TRX-202506-0553"/>
    <x v="154"/>
    <s v="CUST001"/>
    <s v="PRD012"/>
    <n v="1"/>
    <n v="48000"/>
    <n v="48000"/>
    <n v="32000"/>
    <n v="16000"/>
  </r>
  <r>
    <s v="TRX-202506-0553"/>
    <x v="154"/>
    <s v="CUST001"/>
    <s v="PRD005"/>
    <n v="2"/>
    <n v="105000"/>
    <n v="210000"/>
    <n v="140000"/>
    <n v="70000"/>
  </r>
  <r>
    <s v="TRX-202506-0554"/>
    <x v="154"/>
    <s v="CUST004"/>
    <s v="PRD012"/>
    <n v="3"/>
    <n v="48000"/>
    <n v="144000"/>
    <n v="96000"/>
    <n v="48000"/>
  </r>
  <r>
    <s v="TRX-202506-0554"/>
    <x v="154"/>
    <s v="CUST004"/>
    <s v="PRD008"/>
    <n v="8"/>
    <n v="40000"/>
    <n v="320000"/>
    <n v="224000"/>
    <n v="96000"/>
  </r>
  <r>
    <s v="TRX-202506-0554"/>
    <x v="154"/>
    <s v="CUST004"/>
    <s v="PRD006"/>
    <n v="2"/>
    <n v="110000"/>
    <n v="220000"/>
    <n v="150000"/>
    <n v="70000"/>
  </r>
  <r>
    <s v="TRX-202506-0555"/>
    <x v="155"/>
    <s v="CUST004"/>
    <s v="PRD007"/>
    <n v="4"/>
    <n v="225000"/>
    <n v="900000"/>
    <n v="720000"/>
    <n v="180000"/>
  </r>
  <r>
    <s v="TRX-202506-0555"/>
    <x v="155"/>
    <s v="CUST004"/>
    <s v="PRD005"/>
    <n v="2"/>
    <n v="105000"/>
    <n v="210000"/>
    <n v="140000"/>
    <n v="70000"/>
  </r>
  <r>
    <s v="TRX-202506-0555"/>
    <x v="155"/>
    <s v="CUST004"/>
    <s v="PRD012"/>
    <n v="8"/>
    <n v="48000"/>
    <n v="384000"/>
    <n v="256000"/>
    <n v="128000"/>
  </r>
  <r>
    <s v="TRX-202506-0556"/>
    <x v="155"/>
    <s v="CUST006"/>
    <s v="PRD001"/>
    <n v="8"/>
    <n v="175000"/>
    <n v="1400000"/>
    <n v="960000"/>
    <n v="440000"/>
  </r>
  <r>
    <s v="TRX-202506-0557"/>
    <x v="155"/>
    <s v="CUST002"/>
    <s v="PRD008"/>
    <n v="2"/>
    <n v="40000"/>
    <n v="80000"/>
    <n v="56000"/>
    <n v="24000"/>
  </r>
  <r>
    <s v="TRX-202506-0557"/>
    <x v="155"/>
    <s v="CUST002"/>
    <s v="PRD009"/>
    <n v="2"/>
    <n v="52000"/>
    <n v="104000"/>
    <n v="70000"/>
    <n v="34000"/>
  </r>
  <r>
    <s v="TRX-202506-0558"/>
    <x v="155"/>
    <s v="CUST003"/>
    <s v="PRD007"/>
    <n v="2"/>
    <n v="225000"/>
    <n v="450000"/>
    <n v="360000"/>
    <n v="90000"/>
  </r>
  <r>
    <s v="TRX-202506-0558"/>
    <x v="155"/>
    <s v="CUST003"/>
    <s v="PRD010"/>
    <n v="3"/>
    <n v="20000"/>
    <n v="60000"/>
    <n v="36000"/>
    <n v="24000"/>
  </r>
  <r>
    <s v="TRX-202506-0559"/>
    <x v="155"/>
    <s v="CUST002"/>
    <s v="PRD004"/>
    <n v="4"/>
    <n v="105000"/>
    <n v="420000"/>
    <n v="280000"/>
    <n v="140000"/>
  </r>
  <r>
    <s v="TRX-202506-0559"/>
    <x v="155"/>
    <s v="CUST002"/>
    <s v="PRD006"/>
    <n v="7"/>
    <n v="110000"/>
    <n v="770000"/>
    <n v="525000"/>
    <n v="245000"/>
  </r>
  <r>
    <s v="TRX-202506-0560"/>
    <x v="156"/>
    <s v="CUST002"/>
    <s v="PRD001"/>
    <n v="1"/>
    <n v="175000"/>
    <n v="175000"/>
    <n v="120000"/>
    <n v="55000"/>
  </r>
  <r>
    <s v="TRX-202506-0560"/>
    <x v="156"/>
    <s v="CUST002"/>
    <s v="PRD002"/>
    <n v="3"/>
    <n v="70000"/>
    <n v="210000"/>
    <n v="135000"/>
    <n v="75000"/>
  </r>
  <r>
    <s v="TRX-202506-0560"/>
    <x v="156"/>
    <s v="CUST002"/>
    <s v="PRD008"/>
    <n v="7"/>
    <n v="40000"/>
    <n v="280000"/>
    <n v="196000"/>
    <n v="84000"/>
  </r>
  <r>
    <s v="TRX-202506-0561"/>
    <x v="156"/>
    <s v="CUST006"/>
    <s v="PRD005"/>
    <n v="2"/>
    <n v="105000"/>
    <n v="210000"/>
    <n v="140000"/>
    <n v="70000"/>
  </r>
  <r>
    <s v="TRX-202506-0562"/>
    <x v="157"/>
    <s v="CUST003"/>
    <s v="PRD007"/>
    <n v="5"/>
    <n v="225000"/>
    <n v="1125000"/>
    <n v="900000"/>
    <n v="225000"/>
  </r>
  <r>
    <s v="TRX-202506-0562"/>
    <x v="157"/>
    <s v="CUST003"/>
    <s v="PRD003"/>
    <n v="7"/>
    <n v="130000"/>
    <n v="910000"/>
    <n v="595000"/>
    <n v="315000"/>
  </r>
  <r>
    <s v="TRX-202506-0563"/>
    <x v="157"/>
    <s v="CUST008"/>
    <s v="PRD010"/>
    <n v="8"/>
    <n v="20000"/>
    <n v="160000"/>
    <n v="96000"/>
    <n v="64000"/>
  </r>
  <r>
    <s v="TRX-202506-0564"/>
    <x v="157"/>
    <s v="CUST008"/>
    <s v="PRD009"/>
    <n v="1"/>
    <n v="52000"/>
    <n v="52000"/>
    <n v="35000"/>
    <n v="17000"/>
  </r>
  <r>
    <s v="TRX-202506-0564"/>
    <x v="157"/>
    <s v="CUST008"/>
    <s v="PRD003"/>
    <n v="7"/>
    <n v="130000"/>
    <n v="910000"/>
    <n v="595000"/>
    <n v="315000"/>
  </r>
  <r>
    <s v="TRX-202506-0565"/>
    <x v="157"/>
    <s v="CUST005"/>
    <s v="PRD010"/>
    <n v="6"/>
    <n v="20000"/>
    <n v="120000"/>
    <n v="72000"/>
    <n v="48000"/>
  </r>
  <r>
    <s v="TRX-202506-0565"/>
    <x v="157"/>
    <s v="CUST005"/>
    <s v="PRD007"/>
    <n v="5"/>
    <n v="225000"/>
    <n v="1125000"/>
    <n v="900000"/>
    <n v="225000"/>
  </r>
  <r>
    <s v="TRX-202506-0566"/>
    <x v="158"/>
    <s v="CUST006"/>
    <s v="PRD001"/>
    <n v="6"/>
    <n v="175000"/>
    <n v="1050000"/>
    <n v="720000"/>
    <n v="330000"/>
  </r>
  <r>
    <s v="TRX-202506-0567"/>
    <x v="158"/>
    <s v="CUST001"/>
    <s v="PRD011"/>
    <n v="7"/>
    <n v="35000"/>
    <n v="245000"/>
    <n v="154000"/>
    <n v="91000"/>
  </r>
  <r>
    <s v="TRX-202506-0567"/>
    <x v="158"/>
    <s v="CUST001"/>
    <s v="PRD007"/>
    <n v="5"/>
    <n v="225000"/>
    <n v="1125000"/>
    <n v="900000"/>
    <n v="225000"/>
  </r>
  <r>
    <s v="TRX-202506-0568"/>
    <x v="159"/>
    <s v="CUST005"/>
    <s v="PRD001"/>
    <n v="7"/>
    <n v="175000"/>
    <n v="1225000"/>
    <n v="840000"/>
    <n v="385000"/>
  </r>
  <r>
    <s v="TRX-202506-0568"/>
    <x v="159"/>
    <s v="CUST005"/>
    <s v="PRD005"/>
    <n v="4"/>
    <n v="105000"/>
    <n v="420000"/>
    <n v="280000"/>
    <n v="140000"/>
  </r>
  <r>
    <s v="TRX-202506-0569"/>
    <x v="159"/>
    <s v="CUST002"/>
    <s v="PRD010"/>
    <n v="6"/>
    <n v="20000"/>
    <n v="120000"/>
    <n v="72000"/>
    <n v="48000"/>
  </r>
  <r>
    <s v="TRX-202506-0569"/>
    <x v="159"/>
    <s v="CUST002"/>
    <s v="PRD002"/>
    <n v="5"/>
    <n v="70000"/>
    <n v="350000"/>
    <n v="225000"/>
    <n v="125000"/>
  </r>
  <r>
    <s v="TRX-202506-0569"/>
    <x v="159"/>
    <s v="CUST002"/>
    <s v="PRD012"/>
    <n v="2"/>
    <n v="48000"/>
    <n v="96000"/>
    <n v="64000"/>
    <n v="32000"/>
  </r>
  <r>
    <s v="TRX-202506-0570"/>
    <x v="159"/>
    <s v="CUST008"/>
    <s v="PRD004"/>
    <n v="2"/>
    <n v="105000"/>
    <n v="210000"/>
    <n v="140000"/>
    <n v="70000"/>
  </r>
  <r>
    <s v="TRX-202506-0570"/>
    <x v="159"/>
    <s v="CUST008"/>
    <s v="PRD006"/>
    <n v="5"/>
    <n v="110000"/>
    <n v="550000"/>
    <n v="375000"/>
    <n v="175000"/>
  </r>
  <r>
    <s v="TRX-202506-0571"/>
    <x v="160"/>
    <s v="CUST001"/>
    <s v="PRD004"/>
    <n v="3"/>
    <n v="105000"/>
    <n v="315000"/>
    <n v="210000"/>
    <n v="105000"/>
  </r>
  <r>
    <s v="TRX-202506-0571"/>
    <x v="160"/>
    <s v="CUST001"/>
    <s v="PRD006"/>
    <n v="4"/>
    <n v="110000"/>
    <n v="440000"/>
    <n v="300000"/>
    <n v="140000"/>
  </r>
  <r>
    <s v="TRX-202506-0571"/>
    <x v="160"/>
    <s v="CUST001"/>
    <s v="PRD008"/>
    <n v="3"/>
    <n v="40000"/>
    <n v="120000"/>
    <n v="84000"/>
    <n v="36000"/>
  </r>
  <r>
    <s v="TRX-202506-0572"/>
    <x v="160"/>
    <s v="CUST005"/>
    <s v="PRD007"/>
    <n v="2"/>
    <n v="225000"/>
    <n v="450000"/>
    <n v="360000"/>
    <n v="90000"/>
  </r>
  <r>
    <s v="TRX-202506-0572"/>
    <x v="160"/>
    <s v="CUST005"/>
    <s v="PRD006"/>
    <n v="4"/>
    <n v="110000"/>
    <n v="440000"/>
    <n v="300000"/>
    <n v="140000"/>
  </r>
  <r>
    <s v="TRX-202506-0573"/>
    <x v="160"/>
    <s v="CUST007"/>
    <s v="PRD005"/>
    <n v="3"/>
    <n v="105000"/>
    <n v="315000"/>
    <n v="210000"/>
    <n v="105000"/>
  </r>
  <r>
    <s v="TRX-202506-0573"/>
    <x v="160"/>
    <s v="CUST007"/>
    <s v="PRD011"/>
    <n v="5"/>
    <n v="35000"/>
    <n v="175000"/>
    <n v="110000"/>
    <n v="65000"/>
  </r>
  <r>
    <s v="TRX-202506-0574"/>
    <x v="160"/>
    <s v="CUST004"/>
    <s v="PRD004"/>
    <n v="3"/>
    <n v="105000"/>
    <n v="315000"/>
    <n v="210000"/>
    <n v="105000"/>
  </r>
  <r>
    <s v="TRX-202506-0574"/>
    <x v="160"/>
    <s v="CUST004"/>
    <s v="PRD002"/>
    <n v="4"/>
    <n v="70000"/>
    <n v="280000"/>
    <n v="180000"/>
    <n v="100000"/>
  </r>
  <r>
    <s v="TRX-202506-0575"/>
    <x v="160"/>
    <s v="CUST001"/>
    <s v="PRD005"/>
    <n v="8"/>
    <n v="105000"/>
    <n v="840000"/>
    <n v="560000"/>
    <n v="280000"/>
  </r>
  <r>
    <s v="TRX-202506-0576"/>
    <x v="161"/>
    <s v="CUST006"/>
    <s v="PRD011"/>
    <n v="3"/>
    <n v="35000"/>
    <n v="105000"/>
    <n v="66000"/>
    <n v="39000"/>
  </r>
  <r>
    <s v="TRX-202506-0576"/>
    <x v="161"/>
    <s v="CUST006"/>
    <s v="PRD002"/>
    <n v="4"/>
    <n v="70000"/>
    <n v="280000"/>
    <n v="180000"/>
    <n v="100000"/>
  </r>
  <r>
    <s v="TRX-202506-0576"/>
    <x v="161"/>
    <s v="CUST006"/>
    <s v="PRD007"/>
    <n v="2"/>
    <n v="225000"/>
    <n v="450000"/>
    <n v="360000"/>
    <n v="90000"/>
  </r>
  <r>
    <s v="TRX-202506-0577"/>
    <x v="161"/>
    <s v="CUST002"/>
    <s v="PRD011"/>
    <n v="5"/>
    <n v="35000"/>
    <n v="175000"/>
    <n v="110000"/>
    <n v="65000"/>
  </r>
  <r>
    <s v="TRX-202506-0577"/>
    <x v="161"/>
    <s v="CUST002"/>
    <s v="PRD010"/>
    <n v="8"/>
    <n v="20000"/>
    <n v="160000"/>
    <n v="96000"/>
    <n v="64000"/>
  </r>
  <r>
    <s v="TRX-202506-0577"/>
    <x v="161"/>
    <s v="CUST002"/>
    <s v="PRD009"/>
    <n v="2"/>
    <n v="52000"/>
    <n v="104000"/>
    <n v="70000"/>
    <n v="34000"/>
  </r>
  <r>
    <s v="TRX-202506-0578"/>
    <x v="161"/>
    <s v="CUST004"/>
    <s v="PRD002"/>
    <n v="7"/>
    <n v="70000"/>
    <n v="490000"/>
    <n v="315000"/>
    <n v="175000"/>
  </r>
  <r>
    <s v="TRX-202506-0578"/>
    <x v="161"/>
    <s v="CUST004"/>
    <s v="PRD006"/>
    <n v="4"/>
    <n v="110000"/>
    <n v="440000"/>
    <n v="300000"/>
    <n v="140000"/>
  </r>
  <r>
    <s v="TRX-202506-0578"/>
    <x v="161"/>
    <s v="CUST004"/>
    <s v="PRD011"/>
    <n v="7"/>
    <n v="35000"/>
    <n v="245000"/>
    <n v="154000"/>
    <n v="91000"/>
  </r>
  <r>
    <s v="TRX-202506-0579"/>
    <x v="161"/>
    <s v="CUST004"/>
    <s v="PRD002"/>
    <n v="3"/>
    <n v="70000"/>
    <n v="210000"/>
    <n v="135000"/>
    <n v="75000"/>
  </r>
  <r>
    <s v="TRX-202506-0580"/>
    <x v="161"/>
    <s v="CUST004"/>
    <s v="PRD008"/>
    <n v="5"/>
    <n v="40000"/>
    <n v="200000"/>
    <n v="140000"/>
    <n v="60000"/>
  </r>
  <r>
    <s v="TRX-202506-0580"/>
    <x v="161"/>
    <s v="CUST004"/>
    <s v="PRD007"/>
    <n v="1"/>
    <n v="225000"/>
    <n v="225000"/>
    <n v="180000"/>
    <n v="45000"/>
  </r>
  <r>
    <s v="TRX-202506-0581"/>
    <x v="162"/>
    <s v="CUST005"/>
    <s v="PRD012"/>
    <n v="4"/>
    <n v="48000"/>
    <n v="192000"/>
    <n v="128000"/>
    <n v="64000"/>
  </r>
  <r>
    <s v="TRX-202506-0581"/>
    <x v="162"/>
    <s v="CUST005"/>
    <s v="PRD006"/>
    <n v="8"/>
    <n v="110000"/>
    <n v="880000"/>
    <n v="600000"/>
    <n v="280000"/>
  </r>
  <r>
    <s v="TRX-202506-0581"/>
    <x v="162"/>
    <s v="CUST005"/>
    <s v="PRD002"/>
    <n v="7"/>
    <n v="70000"/>
    <n v="490000"/>
    <n v="315000"/>
    <n v="175000"/>
  </r>
  <r>
    <s v="TRX-202506-0582"/>
    <x v="162"/>
    <s v="CUST001"/>
    <s v="PRD005"/>
    <n v="2"/>
    <n v="105000"/>
    <n v="210000"/>
    <n v="140000"/>
    <n v="70000"/>
  </r>
  <r>
    <s v="TRX-202506-0582"/>
    <x v="162"/>
    <s v="CUST001"/>
    <s v="PRD012"/>
    <n v="4"/>
    <n v="48000"/>
    <n v="192000"/>
    <n v="128000"/>
    <n v="64000"/>
  </r>
  <r>
    <s v="TRX-202506-0583"/>
    <x v="162"/>
    <s v="CUST005"/>
    <s v="PRD003"/>
    <n v="8"/>
    <n v="130000"/>
    <n v="1040000"/>
    <n v="680000"/>
    <n v="360000"/>
  </r>
  <r>
    <s v="TRX-202506-0584"/>
    <x v="162"/>
    <s v="CUST006"/>
    <s v="PRD007"/>
    <n v="2"/>
    <n v="225000"/>
    <n v="450000"/>
    <n v="360000"/>
    <n v="90000"/>
  </r>
  <r>
    <s v="TRX-202506-0584"/>
    <x v="162"/>
    <s v="CUST006"/>
    <s v="PRD001"/>
    <n v="8"/>
    <n v="175000"/>
    <n v="1400000"/>
    <n v="960000"/>
    <n v="440000"/>
  </r>
  <r>
    <s v="TRX-202506-0584"/>
    <x v="162"/>
    <s v="CUST006"/>
    <s v="PRD005"/>
    <n v="8"/>
    <n v="105000"/>
    <n v="840000"/>
    <n v="560000"/>
    <n v="280000"/>
  </r>
  <r>
    <s v="TRX-202506-0585"/>
    <x v="162"/>
    <s v="CUST007"/>
    <s v="PRD012"/>
    <n v="2"/>
    <n v="48000"/>
    <n v="96000"/>
    <n v="64000"/>
    <n v="32000"/>
  </r>
  <r>
    <s v="TRX-202506-0585"/>
    <x v="162"/>
    <s v="CUST007"/>
    <s v="PRD007"/>
    <n v="3"/>
    <n v="225000"/>
    <n v="675000"/>
    <n v="540000"/>
    <n v="135000"/>
  </r>
  <r>
    <s v="TRX-202506-0586"/>
    <x v="163"/>
    <s v="CUST007"/>
    <s v="PRD008"/>
    <n v="3"/>
    <n v="40000"/>
    <n v="120000"/>
    <n v="84000"/>
    <n v="36000"/>
  </r>
  <r>
    <s v="TRX-202506-0586"/>
    <x v="163"/>
    <s v="CUST007"/>
    <s v="PRD012"/>
    <n v="5"/>
    <n v="48000"/>
    <n v="240000"/>
    <n v="160000"/>
    <n v="80000"/>
  </r>
  <r>
    <s v="TRX-202506-0587"/>
    <x v="163"/>
    <s v="CUST003"/>
    <s v="PRD010"/>
    <n v="4"/>
    <n v="20000"/>
    <n v="80000"/>
    <n v="48000"/>
    <n v="32000"/>
  </r>
  <r>
    <s v="TRX-202506-0587"/>
    <x v="163"/>
    <s v="CUST003"/>
    <s v="PRD006"/>
    <n v="2"/>
    <n v="110000"/>
    <n v="220000"/>
    <n v="150000"/>
    <n v="70000"/>
  </r>
  <r>
    <s v="TRX-202506-0587"/>
    <x v="163"/>
    <s v="CUST003"/>
    <s v="PRD005"/>
    <n v="7"/>
    <n v="105000"/>
    <n v="735000"/>
    <n v="490000"/>
    <n v="245000"/>
  </r>
  <r>
    <s v="TRX-202506-0588"/>
    <x v="163"/>
    <s v="CUST006"/>
    <s v="PRD007"/>
    <n v="7"/>
    <n v="225000"/>
    <n v="1575000"/>
    <n v="1260000"/>
    <n v="315000"/>
  </r>
  <r>
    <s v="TRX-202506-0589"/>
    <x v="164"/>
    <s v="CUST008"/>
    <s v="PRD004"/>
    <n v="4"/>
    <n v="105000"/>
    <n v="420000"/>
    <n v="280000"/>
    <n v="140000"/>
  </r>
  <r>
    <s v="TRX-202506-0590"/>
    <x v="164"/>
    <s v="CUST004"/>
    <s v="PRD005"/>
    <n v="7"/>
    <n v="105000"/>
    <n v="735000"/>
    <n v="490000"/>
    <n v="245000"/>
  </r>
  <r>
    <s v="TRX-202506-0590"/>
    <x v="164"/>
    <s v="CUST004"/>
    <s v="PRD008"/>
    <n v="3"/>
    <n v="40000"/>
    <n v="120000"/>
    <n v="84000"/>
    <n v="36000"/>
  </r>
  <r>
    <s v="TRX-202506-0591"/>
    <x v="164"/>
    <s v="CUST007"/>
    <s v="PRD010"/>
    <n v="4"/>
    <n v="20000"/>
    <n v="80000"/>
    <n v="48000"/>
    <n v="32000"/>
  </r>
  <r>
    <s v="TRX-202506-0592"/>
    <x v="164"/>
    <s v="CUST005"/>
    <s v="PRD011"/>
    <n v="3"/>
    <n v="35000"/>
    <n v="105000"/>
    <n v="66000"/>
    <n v="39000"/>
  </r>
  <r>
    <s v="TRX-202506-0592"/>
    <x v="164"/>
    <s v="CUST005"/>
    <s v="PRD004"/>
    <n v="7"/>
    <n v="105000"/>
    <n v="735000"/>
    <n v="490000"/>
    <n v="245000"/>
  </r>
  <r>
    <s v="TRX-202506-0592"/>
    <x v="164"/>
    <s v="CUST005"/>
    <s v="PRD007"/>
    <n v="3"/>
    <n v="225000"/>
    <n v="675000"/>
    <n v="540000"/>
    <n v="135000"/>
  </r>
  <r>
    <s v="TRX-202506-0593"/>
    <x v="164"/>
    <s v="CUST001"/>
    <s v="PRD005"/>
    <n v="8"/>
    <n v="105000"/>
    <n v="840000"/>
    <n v="560000"/>
    <n v="280000"/>
  </r>
  <r>
    <s v="TRX-202506-0593"/>
    <x v="164"/>
    <s v="CUST001"/>
    <s v="PRD004"/>
    <n v="4"/>
    <n v="105000"/>
    <n v="420000"/>
    <n v="280000"/>
    <n v="140000"/>
  </r>
  <r>
    <s v="TRX-202506-0594"/>
    <x v="165"/>
    <s v="CUST001"/>
    <s v="PRD009"/>
    <n v="7"/>
    <n v="52000"/>
    <n v="364000"/>
    <n v="245000"/>
    <n v="119000"/>
  </r>
  <r>
    <s v="TRX-202506-0594"/>
    <x v="165"/>
    <s v="CUST001"/>
    <s v="PRD010"/>
    <n v="5"/>
    <n v="20000"/>
    <n v="100000"/>
    <n v="60000"/>
    <n v="40000"/>
  </r>
  <r>
    <s v="TRX-202506-0595"/>
    <x v="165"/>
    <s v="CUST007"/>
    <s v="PRD006"/>
    <n v="1"/>
    <n v="110000"/>
    <n v="110000"/>
    <n v="75000"/>
    <n v="35000"/>
  </r>
  <r>
    <s v="TRX-202506-0595"/>
    <x v="165"/>
    <s v="CUST007"/>
    <s v="PRD003"/>
    <n v="3"/>
    <n v="130000"/>
    <n v="390000"/>
    <n v="255000"/>
    <n v="135000"/>
  </r>
  <r>
    <s v="TRX-202506-0595"/>
    <x v="165"/>
    <s v="CUST007"/>
    <s v="PRD009"/>
    <n v="5"/>
    <n v="52000"/>
    <n v="260000"/>
    <n v="175000"/>
    <n v="85000"/>
  </r>
  <r>
    <s v="TRX-202506-0596"/>
    <x v="166"/>
    <s v="CUST008"/>
    <s v="PRD009"/>
    <n v="8"/>
    <n v="52000"/>
    <n v="416000"/>
    <n v="280000"/>
    <n v="136000"/>
  </r>
  <r>
    <s v="TRX-202506-0597"/>
    <x v="166"/>
    <s v="CUST001"/>
    <s v="PRD003"/>
    <n v="1"/>
    <n v="130000"/>
    <n v="130000"/>
    <n v="85000"/>
    <n v="45000"/>
  </r>
  <r>
    <s v="TRX-202506-0598"/>
    <x v="166"/>
    <s v="CUST004"/>
    <s v="PRD001"/>
    <n v="8"/>
    <n v="175000"/>
    <n v="1400000"/>
    <n v="960000"/>
    <n v="440000"/>
  </r>
  <r>
    <s v="TRX-202506-0599"/>
    <x v="166"/>
    <s v="CUST005"/>
    <s v="PRD012"/>
    <n v="8"/>
    <n v="48000"/>
    <n v="384000"/>
    <n v="256000"/>
    <n v="128000"/>
  </r>
  <r>
    <s v="TRX-202506-0600"/>
    <x v="167"/>
    <s v="CUST003"/>
    <s v="PRD002"/>
    <n v="8"/>
    <n v="70000"/>
    <n v="560000"/>
    <n v="360000"/>
    <n v="200000"/>
  </r>
  <r>
    <s v="TRX-202506-0600"/>
    <x v="167"/>
    <s v="CUST003"/>
    <s v="PRD004"/>
    <n v="2"/>
    <n v="105000"/>
    <n v="210000"/>
    <n v="140000"/>
    <n v="70000"/>
  </r>
  <r>
    <s v="TRX-202506-0601"/>
    <x v="167"/>
    <s v="CUST006"/>
    <s v="PRD005"/>
    <n v="2"/>
    <n v="105000"/>
    <n v="210000"/>
    <n v="140000"/>
    <n v="70000"/>
  </r>
  <r>
    <s v="TRX-202506-0602"/>
    <x v="168"/>
    <s v="CUST006"/>
    <s v="PRD012"/>
    <n v="2"/>
    <n v="48000"/>
    <n v="96000"/>
    <n v="64000"/>
    <n v="32000"/>
  </r>
  <r>
    <s v="TRX-202506-0603"/>
    <x v="168"/>
    <s v="CUST007"/>
    <s v="PRD007"/>
    <n v="5"/>
    <n v="225000"/>
    <n v="1125000"/>
    <n v="900000"/>
    <n v="225000"/>
  </r>
  <r>
    <s v="TRX-202506-0604"/>
    <x v="168"/>
    <s v="CUST003"/>
    <s v="PRD007"/>
    <n v="2"/>
    <n v="225000"/>
    <n v="450000"/>
    <n v="360000"/>
    <n v="90000"/>
  </r>
  <r>
    <s v="TRX-202506-0605"/>
    <x v="168"/>
    <s v="CUST001"/>
    <s v="PRD003"/>
    <n v="7"/>
    <n v="130000"/>
    <n v="910000"/>
    <n v="595000"/>
    <n v="315000"/>
  </r>
  <r>
    <s v="TRX-202506-0606"/>
    <x v="169"/>
    <s v="CUST003"/>
    <s v="PRD011"/>
    <n v="2"/>
    <n v="35000"/>
    <n v="70000"/>
    <n v="44000"/>
    <n v="26000"/>
  </r>
  <r>
    <s v="TRX-202506-0606"/>
    <x v="169"/>
    <s v="CUST003"/>
    <s v="PRD007"/>
    <n v="1"/>
    <n v="225000"/>
    <n v="225000"/>
    <n v="180000"/>
    <n v="45000"/>
  </r>
  <r>
    <s v="TRX-202506-0607"/>
    <x v="169"/>
    <s v="CUST006"/>
    <s v="PRD011"/>
    <n v="3"/>
    <n v="35000"/>
    <n v="105000"/>
    <n v="66000"/>
    <n v="39000"/>
  </r>
  <r>
    <s v="TRX-202506-0607"/>
    <x v="169"/>
    <s v="CUST006"/>
    <s v="PRD004"/>
    <n v="8"/>
    <n v="105000"/>
    <n v="840000"/>
    <n v="560000"/>
    <n v="280000"/>
  </r>
  <r>
    <s v="TRX-202506-0608"/>
    <x v="169"/>
    <s v="CUST002"/>
    <s v="PRD008"/>
    <n v="2"/>
    <n v="40000"/>
    <n v="80000"/>
    <n v="56000"/>
    <n v="24000"/>
  </r>
  <r>
    <s v="TRX-202506-0608"/>
    <x v="169"/>
    <s v="CUST002"/>
    <s v="PRD007"/>
    <n v="8"/>
    <n v="225000"/>
    <n v="1800000"/>
    <n v="1440000"/>
    <n v="360000"/>
  </r>
  <r>
    <s v="TRX-202506-0609"/>
    <x v="169"/>
    <s v="CUST005"/>
    <s v="PRD003"/>
    <n v="5"/>
    <n v="130000"/>
    <n v="650000"/>
    <n v="425000"/>
    <n v="225000"/>
  </r>
  <r>
    <s v="TRX-202506-0610"/>
    <x v="170"/>
    <s v="CUST002"/>
    <s v="PRD012"/>
    <n v="6"/>
    <n v="48000"/>
    <n v="288000"/>
    <n v="192000"/>
    <n v="96000"/>
  </r>
  <r>
    <s v="TRX-202506-0610"/>
    <x v="170"/>
    <s v="CUST002"/>
    <s v="PRD005"/>
    <n v="8"/>
    <n v="105000"/>
    <n v="840000"/>
    <n v="560000"/>
    <n v="280000"/>
  </r>
  <r>
    <s v="TRX-202506-0611"/>
    <x v="170"/>
    <s v="CUST008"/>
    <s v="PRD005"/>
    <n v="4"/>
    <n v="105000"/>
    <n v="420000"/>
    <n v="280000"/>
    <n v="140000"/>
  </r>
  <r>
    <s v="TRX-202506-0611"/>
    <x v="170"/>
    <s v="CUST008"/>
    <s v="PRD006"/>
    <n v="3"/>
    <n v="110000"/>
    <n v="330000"/>
    <n v="225000"/>
    <n v="105000"/>
  </r>
  <r>
    <s v="TRX-202506-0611"/>
    <x v="170"/>
    <s v="CUST008"/>
    <s v="PRD003"/>
    <n v="2"/>
    <n v="130000"/>
    <n v="260000"/>
    <n v="170000"/>
    <n v="90000"/>
  </r>
  <r>
    <s v="TRX-202506-0612"/>
    <x v="171"/>
    <s v="CUST002"/>
    <s v="PRD003"/>
    <n v="1"/>
    <n v="130000"/>
    <n v="130000"/>
    <n v="85000"/>
    <n v="45000"/>
  </r>
  <r>
    <s v="TRX-202506-0613"/>
    <x v="171"/>
    <s v="CUST004"/>
    <s v="PRD001"/>
    <n v="4"/>
    <n v="175000"/>
    <n v="700000"/>
    <n v="480000"/>
    <n v="220000"/>
  </r>
  <r>
    <s v="TRX-202506-0614"/>
    <x v="171"/>
    <s v="CUST001"/>
    <s v="PRD008"/>
    <n v="3"/>
    <n v="40000"/>
    <n v="120000"/>
    <n v="84000"/>
    <n v="36000"/>
  </r>
  <r>
    <s v="TRX-202506-0615"/>
    <x v="171"/>
    <s v="CUST004"/>
    <s v="PRD011"/>
    <n v="4"/>
    <n v="35000"/>
    <n v="140000"/>
    <n v="88000"/>
    <n v="52000"/>
  </r>
  <r>
    <s v="TRX-202506-0615"/>
    <x v="171"/>
    <s v="CUST004"/>
    <s v="PRD009"/>
    <n v="2"/>
    <n v="52000"/>
    <n v="104000"/>
    <n v="70000"/>
    <n v="34000"/>
  </r>
  <r>
    <s v="TRX-202506-0616"/>
    <x v="172"/>
    <s v="CUST001"/>
    <s v="PRD007"/>
    <n v="8"/>
    <n v="225000"/>
    <n v="1800000"/>
    <n v="1440000"/>
    <n v="360000"/>
  </r>
  <r>
    <s v="TRX-202506-0616"/>
    <x v="172"/>
    <s v="CUST001"/>
    <s v="PRD008"/>
    <n v="4"/>
    <n v="40000"/>
    <n v="160000"/>
    <n v="112000"/>
    <n v="48000"/>
  </r>
  <r>
    <s v="TRX-202506-0617"/>
    <x v="172"/>
    <s v="CUST001"/>
    <s v="PRD001"/>
    <n v="6"/>
    <n v="175000"/>
    <n v="1050000"/>
    <n v="720000"/>
    <n v="330000"/>
  </r>
  <r>
    <s v="TRX-202506-0617"/>
    <x v="172"/>
    <s v="CUST001"/>
    <s v="PRD007"/>
    <n v="2"/>
    <n v="225000"/>
    <n v="450000"/>
    <n v="360000"/>
    <n v="90000"/>
  </r>
  <r>
    <s v="TRX-202506-0617"/>
    <x v="172"/>
    <s v="CUST001"/>
    <s v="PRD010"/>
    <n v="5"/>
    <n v="20000"/>
    <n v="100000"/>
    <n v="60000"/>
    <n v="40000"/>
  </r>
  <r>
    <s v="TRX-202506-0618"/>
    <x v="172"/>
    <s v="CUST007"/>
    <s v="PRD002"/>
    <n v="6"/>
    <n v="70000"/>
    <n v="420000"/>
    <n v="270000"/>
    <n v="150000"/>
  </r>
  <r>
    <s v="TRX-202506-0618"/>
    <x v="172"/>
    <s v="CUST007"/>
    <s v="PRD008"/>
    <n v="8"/>
    <n v="40000"/>
    <n v="320000"/>
    <n v="224000"/>
    <n v="96000"/>
  </r>
  <r>
    <s v="TRX-202506-0619"/>
    <x v="172"/>
    <s v="CUST007"/>
    <s v="PRD003"/>
    <n v="5"/>
    <n v="130000"/>
    <n v="650000"/>
    <n v="425000"/>
    <n v="225000"/>
  </r>
  <r>
    <s v="TRX-202506-0620"/>
    <x v="173"/>
    <s v="CUST002"/>
    <s v="PRD008"/>
    <n v="4"/>
    <n v="40000"/>
    <n v="160000"/>
    <n v="112000"/>
    <n v="48000"/>
  </r>
  <r>
    <s v="TRX-202506-0620"/>
    <x v="173"/>
    <s v="CUST002"/>
    <s v="PRD003"/>
    <n v="3"/>
    <n v="130000"/>
    <n v="390000"/>
    <n v="255000"/>
    <n v="135000"/>
  </r>
  <r>
    <s v="TRX-202506-0620"/>
    <x v="173"/>
    <s v="CUST002"/>
    <s v="PRD011"/>
    <n v="8"/>
    <n v="35000"/>
    <n v="280000"/>
    <n v="176000"/>
    <n v="104000"/>
  </r>
  <r>
    <s v="TRX-202506-0621"/>
    <x v="173"/>
    <s v="CUST002"/>
    <s v="PRD008"/>
    <n v="4"/>
    <n v="40000"/>
    <n v="160000"/>
    <n v="112000"/>
    <n v="48000"/>
  </r>
  <r>
    <s v="TRX-202506-0621"/>
    <x v="173"/>
    <s v="CUST002"/>
    <s v="PRD005"/>
    <n v="4"/>
    <n v="105000"/>
    <n v="420000"/>
    <n v="280000"/>
    <n v="140000"/>
  </r>
  <r>
    <s v="TRX-202506-0622"/>
    <x v="173"/>
    <s v="CUST001"/>
    <s v="PRD006"/>
    <n v="5"/>
    <n v="110000"/>
    <n v="550000"/>
    <n v="375000"/>
    <n v="175000"/>
  </r>
  <r>
    <s v="TRX-202506-0623"/>
    <x v="173"/>
    <s v="CUST006"/>
    <s v="PRD003"/>
    <n v="1"/>
    <n v="130000"/>
    <n v="130000"/>
    <n v="85000"/>
    <n v="45000"/>
  </r>
  <r>
    <s v="TRX-202506-0623"/>
    <x v="173"/>
    <s v="CUST006"/>
    <s v="PRD012"/>
    <n v="2"/>
    <n v="48000"/>
    <n v="96000"/>
    <n v="64000"/>
    <n v="32000"/>
  </r>
  <r>
    <s v="TRX-202506-0623"/>
    <x v="173"/>
    <s v="CUST006"/>
    <s v="PRD009"/>
    <n v="6"/>
    <n v="52000"/>
    <n v="312000"/>
    <n v="210000"/>
    <n v="102000"/>
  </r>
  <r>
    <s v="TRX-202506-0624"/>
    <x v="174"/>
    <s v="CUST001"/>
    <s v="PRD002"/>
    <n v="4"/>
    <n v="70000"/>
    <n v="280000"/>
    <n v="180000"/>
    <n v="100000"/>
  </r>
  <r>
    <s v="TRX-202506-0624"/>
    <x v="174"/>
    <s v="CUST001"/>
    <s v="PRD003"/>
    <n v="6"/>
    <n v="130000"/>
    <n v="780000"/>
    <n v="510000"/>
    <n v="270000"/>
  </r>
  <r>
    <s v="TRX-202506-0624"/>
    <x v="174"/>
    <s v="CUST001"/>
    <s v="PRD012"/>
    <n v="3"/>
    <n v="48000"/>
    <n v="144000"/>
    <n v="96000"/>
    <n v="48000"/>
  </r>
  <r>
    <s v="TRX-202506-0625"/>
    <x v="174"/>
    <s v="CUST005"/>
    <s v="PRD008"/>
    <n v="2"/>
    <n v="40000"/>
    <n v="80000"/>
    <n v="56000"/>
    <n v="24000"/>
  </r>
  <r>
    <s v="TRX-202506-0625"/>
    <x v="174"/>
    <s v="CUST005"/>
    <s v="PRD009"/>
    <n v="3"/>
    <n v="52000"/>
    <n v="156000"/>
    <n v="105000"/>
    <n v="51000"/>
  </r>
  <r>
    <s v="TRX-202506-0625"/>
    <x v="174"/>
    <s v="CUST005"/>
    <s v="PRD012"/>
    <n v="6"/>
    <n v="48000"/>
    <n v="288000"/>
    <n v="192000"/>
    <n v="96000"/>
  </r>
  <r>
    <s v="TRX-202506-0626"/>
    <x v="175"/>
    <s v="CUST008"/>
    <s v="PRD011"/>
    <n v="8"/>
    <n v="35000"/>
    <n v="280000"/>
    <n v="176000"/>
    <n v="104000"/>
  </r>
  <r>
    <s v="TRX-202506-0626"/>
    <x v="175"/>
    <s v="CUST008"/>
    <s v="PRD006"/>
    <n v="3"/>
    <n v="110000"/>
    <n v="330000"/>
    <n v="225000"/>
    <n v="105000"/>
  </r>
  <r>
    <s v="TRX-202506-0626"/>
    <x v="175"/>
    <s v="CUST008"/>
    <s v="PRD001"/>
    <n v="1"/>
    <n v="175000"/>
    <n v="175000"/>
    <n v="120000"/>
    <n v="55000"/>
  </r>
  <r>
    <s v="TRX-202506-0627"/>
    <x v="175"/>
    <s v="CUST002"/>
    <s v="PRD006"/>
    <n v="6"/>
    <n v="110000"/>
    <n v="660000"/>
    <n v="450000"/>
    <n v="210000"/>
  </r>
  <r>
    <s v="TRX-202506-0628"/>
    <x v="175"/>
    <s v="CUST007"/>
    <s v="PRD007"/>
    <n v="1"/>
    <n v="225000"/>
    <n v="225000"/>
    <n v="180000"/>
    <n v="45000"/>
  </r>
  <r>
    <s v="TRX-202506-0629"/>
    <x v="175"/>
    <s v="CUST007"/>
    <s v="PRD011"/>
    <n v="3"/>
    <n v="35000"/>
    <n v="105000"/>
    <n v="66000"/>
    <n v="39000"/>
  </r>
  <r>
    <s v="TRX-202506-0630"/>
    <x v="175"/>
    <s v="CUST001"/>
    <s v="PRD012"/>
    <n v="5"/>
    <n v="48000"/>
    <n v="240000"/>
    <n v="160000"/>
    <n v="80000"/>
  </r>
  <r>
    <s v="TRX-202506-0630"/>
    <x v="175"/>
    <s v="CUST001"/>
    <s v="PRD011"/>
    <n v="7"/>
    <n v="35000"/>
    <n v="245000"/>
    <n v="154000"/>
    <n v="91000"/>
  </r>
  <r>
    <s v="TRX-202506-0630"/>
    <x v="175"/>
    <s v="CUST001"/>
    <s v="PRD009"/>
    <n v="7"/>
    <n v="52000"/>
    <n v="364000"/>
    <n v="245000"/>
    <n v="119000"/>
  </r>
  <r>
    <s v="TRX-202506-0631"/>
    <x v="176"/>
    <s v="CUST001"/>
    <s v="PRD006"/>
    <n v="5"/>
    <n v="110000"/>
    <n v="550000"/>
    <n v="375000"/>
    <n v="175000"/>
  </r>
  <r>
    <s v="TRX-202506-0631"/>
    <x v="176"/>
    <s v="CUST001"/>
    <s v="PRD007"/>
    <n v="4"/>
    <n v="225000"/>
    <n v="900000"/>
    <n v="720000"/>
    <n v="180000"/>
  </r>
  <r>
    <s v="TRX-202506-0631"/>
    <x v="176"/>
    <s v="CUST001"/>
    <s v="PRD003"/>
    <n v="2"/>
    <n v="130000"/>
    <n v="260000"/>
    <n v="170000"/>
    <n v="90000"/>
  </r>
  <r>
    <s v="TRX-202506-0632"/>
    <x v="176"/>
    <s v="CUST005"/>
    <s v="PRD006"/>
    <n v="1"/>
    <n v="110000"/>
    <n v="110000"/>
    <n v="75000"/>
    <n v="35000"/>
  </r>
  <r>
    <s v="TRX-202506-0632"/>
    <x v="176"/>
    <s v="CUST005"/>
    <s v="PRD011"/>
    <n v="1"/>
    <n v="35000"/>
    <n v="35000"/>
    <n v="22000"/>
    <n v="13000"/>
  </r>
  <r>
    <s v="TRX-202506-0632"/>
    <x v="176"/>
    <s v="CUST005"/>
    <s v="PRD003"/>
    <n v="5"/>
    <n v="130000"/>
    <n v="650000"/>
    <n v="425000"/>
    <n v="225000"/>
  </r>
  <r>
    <s v="TRX-202506-0633"/>
    <x v="177"/>
    <s v="CUST006"/>
    <s v="PRD005"/>
    <n v="3"/>
    <n v="105000"/>
    <n v="315000"/>
    <n v="210000"/>
    <n v="105000"/>
  </r>
  <r>
    <s v="TRX-202506-0633"/>
    <x v="177"/>
    <s v="CUST006"/>
    <s v="PRD011"/>
    <n v="7"/>
    <n v="35000"/>
    <n v="245000"/>
    <n v="154000"/>
    <n v="91000"/>
  </r>
  <r>
    <s v="TRX-202506-0634"/>
    <x v="177"/>
    <s v="CUST004"/>
    <s v="PRD006"/>
    <n v="4"/>
    <n v="110000"/>
    <n v="440000"/>
    <n v="300000"/>
    <n v="140000"/>
  </r>
  <r>
    <s v="TRX-202506-0635"/>
    <x v="177"/>
    <s v="CUST006"/>
    <s v="PRD002"/>
    <n v="7"/>
    <n v="70000"/>
    <n v="490000"/>
    <n v="315000"/>
    <n v="175000"/>
  </r>
  <r>
    <s v="TRX-202506-0635"/>
    <x v="177"/>
    <s v="CUST006"/>
    <s v="PRD003"/>
    <n v="7"/>
    <n v="130000"/>
    <n v="910000"/>
    <n v="595000"/>
    <n v="315000"/>
  </r>
  <r>
    <s v="TRX-202506-0636"/>
    <x v="178"/>
    <s v="CUST003"/>
    <s v="PRD012"/>
    <n v="3"/>
    <n v="48000"/>
    <n v="144000"/>
    <n v="96000"/>
    <n v="48000"/>
  </r>
  <r>
    <s v="TRX-202506-0636"/>
    <x v="178"/>
    <s v="CUST003"/>
    <s v="PRD008"/>
    <n v="2"/>
    <n v="40000"/>
    <n v="80000"/>
    <n v="56000"/>
    <n v="24000"/>
  </r>
  <r>
    <s v="TRX-202506-0637"/>
    <x v="178"/>
    <s v="CUST004"/>
    <s v="PRD008"/>
    <n v="3"/>
    <n v="40000"/>
    <n v="120000"/>
    <n v="84000"/>
    <n v="36000"/>
  </r>
  <r>
    <s v="TRX-202506-0637"/>
    <x v="178"/>
    <s v="CUST004"/>
    <s v="PRD001"/>
    <n v="6"/>
    <n v="175000"/>
    <n v="1050000"/>
    <n v="720000"/>
    <n v="330000"/>
  </r>
  <r>
    <s v="TRX-202506-0638"/>
    <x v="178"/>
    <s v="CUST002"/>
    <s v="PRD007"/>
    <n v="6"/>
    <n v="225000"/>
    <n v="1350000"/>
    <n v="1080000"/>
    <n v="270000"/>
  </r>
  <r>
    <s v="TRX-202506-0638"/>
    <x v="178"/>
    <s v="CUST002"/>
    <s v="PRD002"/>
    <n v="5"/>
    <n v="70000"/>
    <n v="350000"/>
    <n v="225000"/>
    <n v="125000"/>
  </r>
  <r>
    <s v="TRX-202506-0638"/>
    <x v="178"/>
    <s v="CUST002"/>
    <s v="PRD011"/>
    <n v="1"/>
    <n v="35000"/>
    <n v="35000"/>
    <n v="22000"/>
    <n v="13000"/>
  </r>
  <r>
    <s v="TRX-202506-0639"/>
    <x v="179"/>
    <s v="CUST008"/>
    <s v="PRD007"/>
    <n v="3"/>
    <n v="225000"/>
    <n v="675000"/>
    <n v="540000"/>
    <n v="135000"/>
  </r>
  <r>
    <s v="TRX-202506-0639"/>
    <x v="179"/>
    <s v="CUST008"/>
    <s v="PRD008"/>
    <n v="3"/>
    <n v="40000"/>
    <n v="120000"/>
    <n v="84000"/>
    <n v="36000"/>
  </r>
  <r>
    <s v="TRX-202506-0640"/>
    <x v="179"/>
    <s v="CUST008"/>
    <s v="PRD011"/>
    <n v="3"/>
    <n v="35000"/>
    <n v="105000"/>
    <n v="66000"/>
    <n v="39000"/>
  </r>
  <r>
    <s v="TRX-202506-0640"/>
    <x v="179"/>
    <s v="CUST008"/>
    <s v="PRD008"/>
    <n v="6"/>
    <n v="40000"/>
    <n v="240000"/>
    <n v="168000"/>
    <n v="72000"/>
  </r>
  <r>
    <s v="TRX-202506-0641"/>
    <x v="179"/>
    <s v="CUST002"/>
    <s v="PRD011"/>
    <n v="7"/>
    <n v="35000"/>
    <n v="245000"/>
    <n v="154000"/>
    <n v="91000"/>
  </r>
  <r>
    <s v="TRX-202506-0641"/>
    <x v="179"/>
    <s v="CUST002"/>
    <s v="PRD010"/>
    <n v="4"/>
    <n v="20000"/>
    <n v="80000"/>
    <n v="48000"/>
    <n v="32000"/>
  </r>
  <r>
    <s v="TRX-202506-0641"/>
    <x v="179"/>
    <s v="CUST002"/>
    <s v="PRD007"/>
    <n v="7"/>
    <n v="225000"/>
    <n v="1575000"/>
    <n v="1260000"/>
    <n v="315000"/>
  </r>
  <r>
    <s v="TRX-202506-0642"/>
    <x v="179"/>
    <s v="CUST006"/>
    <s v="PRD001"/>
    <n v="5"/>
    <n v="175000"/>
    <n v="875000"/>
    <n v="600000"/>
    <n v="275000"/>
  </r>
  <r>
    <s v="TRX-202506-0642"/>
    <x v="179"/>
    <s v="CUST006"/>
    <s v="PRD011"/>
    <n v="2"/>
    <n v="35000"/>
    <n v="70000"/>
    <n v="44000"/>
    <n v="26000"/>
  </r>
  <r>
    <s v="TRX-202506-0642"/>
    <x v="179"/>
    <s v="CUST006"/>
    <s v="PRD008"/>
    <n v="3"/>
    <n v="40000"/>
    <n v="120000"/>
    <n v="84000"/>
    <n v="36000"/>
  </r>
  <r>
    <s v="TRX-202506-0643"/>
    <x v="180"/>
    <s v="CUST002"/>
    <s v="PRD010"/>
    <n v="1"/>
    <n v="20000"/>
    <n v="20000"/>
    <n v="12000"/>
    <n v="8000"/>
  </r>
  <r>
    <s v="TRX-202506-0643"/>
    <x v="180"/>
    <s v="CUST002"/>
    <s v="PRD006"/>
    <n v="8"/>
    <n v="110000"/>
    <n v="880000"/>
    <n v="600000"/>
    <n v="280000"/>
  </r>
  <r>
    <s v="TRX-202506-0643"/>
    <x v="180"/>
    <s v="CUST002"/>
    <s v="PRD007"/>
    <n v="1"/>
    <n v="225000"/>
    <n v="225000"/>
    <n v="180000"/>
    <n v="45000"/>
  </r>
  <r>
    <s v="TRX-202506-0644"/>
    <x v="180"/>
    <s v="CUST006"/>
    <s v="PRD003"/>
    <n v="1"/>
    <n v="130000"/>
    <n v="130000"/>
    <n v="85000"/>
    <n v="45000"/>
  </r>
  <r>
    <s v="TRX-202506-0644"/>
    <x v="180"/>
    <s v="CUST006"/>
    <s v="PRD007"/>
    <n v="6"/>
    <n v="225000"/>
    <n v="1350000"/>
    <n v="1080000"/>
    <n v="270000"/>
  </r>
  <r>
    <s v="TRX-202506-0645"/>
    <x v="180"/>
    <s v="CUST007"/>
    <s v="PRD002"/>
    <n v="2"/>
    <n v="70000"/>
    <n v="140000"/>
    <n v="90000"/>
    <n v="50000"/>
  </r>
  <r>
    <s v="TRX-202506-0645"/>
    <x v="180"/>
    <s v="CUST007"/>
    <s v="PRD012"/>
    <n v="3"/>
    <n v="48000"/>
    <n v="144000"/>
    <n v="96000"/>
    <n v="48000"/>
  </r>
  <r>
    <s v="TRX-202506-0646"/>
    <x v="180"/>
    <s v="CUST005"/>
    <s v="PRD003"/>
    <n v="5"/>
    <n v="130000"/>
    <n v="650000"/>
    <n v="425000"/>
    <n v="225000"/>
  </r>
  <r>
    <s v="TRX-202506-0647"/>
    <x v="180"/>
    <s v="CUST002"/>
    <s v="PRD005"/>
    <n v="7"/>
    <n v="105000"/>
    <n v="735000"/>
    <n v="490000"/>
    <n v="245000"/>
  </r>
  <r>
    <s v="TRX-202507-0648"/>
    <x v="181"/>
    <s v="CUST007"/>
    <s v="PRD008"/>
    <n v="1"/>
    <n v="40000"/>
    <n v="40000"/>
    <n v="28000"/>
    <n v="12000"/>
  </r>
  <r>
    <s v="TRX-202507-0649"/>
    <x v="181"/>
    <s v="CUST007"/>
    <s v="PRD004"/>
    <n v="2"/>
    <n v="105000"/>
    <n v="210000"/>
    <n v="140000"/>
    <n v="70000"/>
  </r>
  <r>
    <s v="TRX-202507-0649"/>
    <x v="181"/>
    <s v="CUST007"/>
    <s v="PRD001"/>
    <n v="4"/>
    <n v="175000"/>
    <n v="700000"/>
    <n v="480000"/>
    <n v="220000"/>
  </r>
  <r>
    <s v="TRX-202507-0649"/>
    <x v="181"/>
    <s v="CUST007"/>
    <s v="PRD005"/>
    <n v="3"/>
    <n v="105000"/>
    <n v="315000"/>
    <n v="210000"/>
    <n v="105000"/>
  </r>
  <r>
    <s v="TRX-202507-0650"/>
    <x v="181"/>
    <s v="CUST005"/>
    <s v="PRD007"/>
    <n v="4"/>
    <n v="225000"/>
    <n v="900000"/>
    <n v="720000"/>
    <n v="180000"/>
  </r>
  <r>
    <s v="TRX-202507-0650"/>
    <x v="181"/>
    <s v="CUST005"/>
    <s v="PRD008"/>
    <n v="3"/>
    <n v="40000"/>
    <n v="120000"/>
    <n v="84000"/>
    <n v="36000"/>
  </r>
  <r>
    <s v="TRX-202507-0650"/>
    <x v="181"/>
    <s v="CUST005"/>
    <s v="PRD002"/>
    <n v="6"/>
    <n v="70000"/>
    <n v="420000"/>
    <n v="270000"/>
    <n v="150000"/>
  </r>
  <r>
    <s v="TRX-202507-0651"/>
    <x v="181"/>
    <s v="CUST003"/>
    <s v="PRD009"/>
    <n v="7"/>
    <n v="52000"/>
    <n v="364000"/>
    <n v="245000"/>
    <n v="119000"/>
  </r>
  <r>
    <s v="TRX-202507-0652"/>
    <x v="181"/>
    <s v="CUST008"/>
    <s v="PRD001"/>
    <n v="8"/>
    <n v="175000"/>
    <n v="1400000"/>
    <n v="960000"/>
    <n v="440000"/>
  </r>
  <r>
    <s v="TRX-202507-0653"/>
    <x v="182"/>
    <s v="CUST007"/>
    <s v="PRD010"/>
    <n v="6"/>
    <n v="20000"/>
    <n v="120000"/>
    <n v="72000"/>
    <n v="48000"/>
  </r>
  <r>
    <s v="TRX-202507-0654"/>
    <x v="182"/>
    <s v="CUST006"/>
    <s v="PRD005"/>
    <n v="4"/>
    <n v="105000"/>
    <n v="420000"/>
    <n v="280000"/>
    <n v="140000"/>
  </r>
  <r>
    <s v="TRX-202507-0654"/>
    <x v="182"/>
    <s v="CUST006"/>
    <s v="PRD008"/>
    <n v="6"/>
    <n v="40000"/>
    <n v="240000"/>
    <n v="168000"/>
    <n v="72000"/>
  </r>
  <r>
    <s v="TRX-202507-0654"/>
    <x v="182"/>
    <s v="CUST006"/>
    <s v="PRD012"/>
    <n v="6"/>
    <n v="48000"/>
    <n v="288000"/>
    <n v="192000"/>
    <n v="96000"/>
  </r>
  <r>
    <s v="TRX-202507-0655"/>
    <x v="182"/>
    <s v="CUST004"/>
    <s v="PRD010"/>
    <n v="1"/>
    <n v="20000"/>
    <n v="20000"/>
    <n v="12000"/>
    <n v="8000"/>
  </r>
  <r>
    <s v="TRX-202507-0655"/>
    <x v="182"/>
    <s v="CUST004"/>
    <s v="PRD006"/>
    <n v="3"/>
    <n v="110000"/>
    <n v="330000"/>
    <n v="225000"/>
    <n v="105000"/>
  </r>
  <r>
    <s v="TRX-202507-0656"/>
    <x v="182"/>
    <s v="CUST001"/>
    <s v="PRD008"/>
    <n v="3"/>
    <n v="40000"/>
    <n v="120000"/>
    <n v="84000"/>
    <n v="36000"/>
  </r>
  <r>
    <s v="TRX-202507-0656"/>
    <x v="182"/>
    <s v="CUST001"/>
    <s v="PRD001"/>
    <n v="7"/>
    <n v="175000"/>
    <n v="1225000"/>
    <n v="840000"/>
    <n v="385000"/>
  </r>
  <r>
    <s v="TRX-202507-0656"/>
    <x v="182"/>
    <s v="CUST001"/>
    <s v="PRD011"/>
    <n v="8"/>
    <n v="35000"/>
    <n v="280000"/>
    <n v="176000"/>
    <n v="104000"/>
  </r>
  <r>
    <s v="TRX-202507-0657"/>
    <x v="183"/>
    <s v="CUST004"/>
    <s v="PRD010"/>
    <n v="5"/>
    <n v="20000"/>
    <n v="100000"/>
    <n v="60000"/>
    <n v="40000"/>
  </r>
  <r>
    <s v="TRX-202507-0658"/>
    <x v="183"/>
    <s v="CUST004"/>
    <s v="PRD008"/>
    <n v="6"/>
    <n v="40000"/>
    <n v="240000"/>
    <n v="168000"/>
    <n v="72000"/>
  </r>
  <r>
    <s v="TRX-202507-0659"/>
    <x v="183"/>
    <s v="CUST001"/>
    <s v="PRD008"/>
    <n v="4"/>
    <n v="40000"/>
    <n v="160000"/>
    <n v="112000"/>
    <n v="48000"/>
  </r>
  <r>
    <s v="TRX-202507-0659"/>
    <x v="183"/>
    <s v="CUST001"/>
    <s v="PRD010"/>
    <n v="1"/>
    <n v="20000"/>
    <n v="20000"/>
    <n v="12000"/>
    <n v="8000"/>
  </r>
  <r>
    <s v="TRX-202507-0660"/>
    <x v="183"/>
    <s v="CUST004"/>
    <s v="PRD007"/>
    <n v="8"/>
    <n v="225000"/>
    <n v="1800000"/>
    <n v="1440000"/>
    <n v="360000"/>
  </r>
  <r>
    <s v="TRX-202507-0660"/>
    <x v="183"/>
    <s v="CUST004"/>
    <s v="PRD002"/>
    <n v="3"/>
    <n v="70000"/>
    <n v="210000"/>
    <n v="135000"/>
    <n v="75000"/>
  </r>
  <r>
    <s v="TRX-202507-0660"/>
    <x v="183"/>
    <s v="CUST004"/>
    <s v="PRD005"/>
    <n v="4"/>
    <n v="105000"/>
    <n v="420000"/>
    <n v="280000"/>
    <n v="140000"/>
  </r>
  <r>
    <s v="TRX-202507-0661"/>
    <x v="184"/>
    <s v="CUST006"/>
    <s v="PRD007"/>
    <n v="2"/>
    <n v="225000"/>
    <n v="450000"/>
    <n v="360000"/>
    <n v="90000"/>
  </r>
  <r>
    <s v="TRX-202507-0661"/>
    <x v="184"/>
    <s v="CUST006"/>
    <s v="PRD005"/>
    <n v="8"/>
    <n v="105000"/>
    <n v="840000"/>
    <n v="560000"/>
    <n v="280000"/>
  </r>
  <r>
    <s v="TRX-202507-0662"/>
    <x v="184"/>
    <s v="CUST008"/>
    <s v="PRD009"/>
    <n v="4"/>
    <n v="52000"/>
    <n v="208000"/>
    <n v="140000"/>
    <n v="68000"/>
  </r>
  <r>
    <s v="TRX-202507-0662"/>
    <x v="184"/>
    <s v="CUST008"/>
    <s v="PRD001"/>
    <n v="1"/>
    <n v="175000"/>
    <n v="175000"/>
    <n v="120000"/>
    <n v="55000"/>
  </r>
  <r>
    <s v="TRX-202507-0663"/>
    <x v="185"/>
    <s v="CUST006"/>
    <s v="PRD004"/>
    <n v="8"/>
    <n v="105000"/>
    <n v="840000"/>
    <n v="560000"/>
    <n v="280000"/>
  </r>
  <r>
    <s v="TRX-202507-0663"/>
    <x v="185"/>
    <s v="CUST006"/>
    <s v="PRD002"/>
    <n v="4"/>
    <n v="70000"/>
    <n v="280000"/>
    <n v="180000"/>
    <n v="100000"/>
  </r>
  <r>
    <s v="TRX-202507-0664"/>
    <x v="185"/>
    <s v="CUST006"/>
    <s v="PRD006"/>
    <n v="4"/>
    <n v="110000"/>
    <n v="440000"/>
    <n v="300000"/>
    <n v="140000"/>
  </r>
  <r>
    <s v="TRX-202507-0665"/>
    <x v="186"/>
    <s v="CUST007"/>
    <s v="PRD002"/>
    <n v="7"/>
    <n v="70000"/>
    <n v="490000"/>
    <n v="315000"/>
    <n v="175000"/>
  </r>
  <r>
    <s v="TRX-202507-0665"/>
    <x v="186"/>
    <s v="CUST007"/>
    <s v="PRD010"/>
    <n v="4"/>
    <n v="20000"/>
    <n v="80000"/>
    <n v="48000"/>
    <n v="32000"/>
  </r>
  <r>
    <s v="TRX-202507-0666"/>
    <x v="186"/>
    <s v="CUST001"/>
    <s v="PRD007"/>
    <n v="7"/>
    <n v="225000"/>
    <n v="1575000"/>
    <n v="1260000"/>
    <n v="315000"/>
  </r>
  <r>
    <s v="TRX-202507-0666"/>
    <x v="186"/>
    <s v="CUST001"/>
    <s v="PRD008"/>
    <n v="2"/>
    <n v="40000"/>
    <n v="80000"/>
    <n v="56000"/>
    <n v="24000"/>
  </r>
  <r>
    <s v="TRX-202507-0667"/>
    <x v="186"/>
    <s v="CUST006"/>
    <s v="PRD011"/>
    <n v="6"/>
    <n v="35000"/>
    <n v="210000"/>
    <n v="132000"/>
    <n v="78000"/>
  </r>
  <r>
    <s v="TRX-202507-0667"/>
    <x v="186"/>
    <s v="CUST006"/>
    <s v="PRD001"/>
    <n v="4"/>
    <n v="175000"/>
    <n v="700000"/>
    <n v="480000"/>
    <n v="220000"/>
  </r>
  <r>
    <s v="TRX-202507-0667"/>
    <x v="186"/>
    <s v="CUST006"/>
    <s v="PRD008"/>
    <n v="2"/>
    <n v="40000"/>
    <n v="80000"/>
    <n v="56000"/>
    <n v="24000"/>
  </r>
  <r>
    <s v="TRX-202507-0668"/>
    <x v="186"/>
    <s v="CUST002"/>
    <s v="PRD010"/>
    <n v="2"/>
    <n v="20000"/>
    <n v="40000"/>
    <n v="24000"/>
    <n v="16000"/>
  </r>
  <r>
    <s v="TRX-202507-0669"/>
    <x v="187"/>
    <s v="CUST008"/>
    <s v="PRD010"/>
    <n v="5"/>
    <n v="20000"/>
    <n v="100000"/>
    <n v="60000"/>
    <n v="40000"/>
  </r>
  <r>
    <s v="TRX-202507-0669"/>
    <x v="187"/>
    <s v="CUST008"/>
    <s v="PRD006"/>
    <n v="6"/>
    <n v="110000"/>
    <n v="660000"/>
    <n v="450000"/>
    <n v="210000"/>
  </r>
  <r>
    <s v="TRX-202507-0670"/>
    <x v="187"/>
    <s v="CUST001"/>
    <s v="PRD010"/>
    <n v="1"/>
    <n v="20000"/>
    <n v="20000"/>
    <n v="12000"/>
    <n v="8000"/>
  </r>
  <r>
    <s v="TRX-202507-0670"/>
    <x v="187"/>
    <s v="CUST001"/>
    <s v="PRD011"/>
    <n v="4"/>
    <n v="35000"/>
    <n v="140000"/>
    <n v="88000"/>
    <n v="52000"/>
  </r>
  <r>
    <s v="TRX-202507-0670"/>
    <x v="187"/>
    <s v="CUST001"/>
    <s v="PRD003"/>
    <n v="1"/>
    <n v="130000"/>
    <n v="130000"/>
    <n v="85000"/>
    <n v="45000"/>
  </r>
  <r>
    <s v="TRX-202507-0671"/>
    <x v="187"/>
    <s v="CUST007"/>
    <s v="PRD004"/>
    <n v="4"/>
    <n v="105000"/>
    <n v="420000"/>
    <n v="280000"/>
    <n v="140000"/>
  </r>
  <r>
    <s v="TRX-202507-0671"/>
    <x v="187"/>
    <s v="CUST007"/>
    <s v="PRD012"/>
    <n v="2"/>
    <n v="48000"/>
    <n v="96000"/>
    <n v="64000"/>
    <n v="32000"/>
  </r>
  <r>
    <s v="TRX-202507-0672"/>
    <x v="188"/>
    <s v="CUST006"/>
    <s v="PRD007"/>
    <n v="3"/>
    <n v="225000"/>
    <n v="675000"/>
    <n v="540000"/>
    <n v="135000"/>
  </r>
  <r>
    <s v="TRX-202507-0672"/>
    <x v="188"/>
    <s v="CUST006"/>
    <s v="PRD004"/>
    <n v="1"/>
    <n v="105000"/>
    <n v="105000"/>
    <n v="70000"/>
    <n v="35000"/>
  </r>
  <r>
    <s v="TRX-202507-0672"/>
    <x v="188"/>
    <s v="CUST006"/>
    <s v="PRD012"/>
    <n v="6"/>
    <n v="48000"/>
    <n v="288000"/>
    <n v="192000"/>
    <n v="96000"/>
  </r>
  <r>
    <s v="TRX-202507-0673"/>
    <x v="188"/>
    <s v="CUST001"/>
    <s v="PRD006"/>
    <n v="1"/>
    <n v="110000"/>
    <n v="110000"/>
    <n v="75000"/>
    <n v="35000"/>
  </r>
  <r>
    <s v="TRX-202507-0674"/>
    <x v="188"/>
    <s v="CUST002"/>
    <s v="PRD005"/>
    <n v="8"/>
    <n v="105000"/>
    <n v="840000"/>
    <n v="560000"/>
    <n v="280000"/>
  </r>
  <r>
    <s v="TRX-202507-0675"/>
    <x v="188"/>
    <s v="CUST004"/>
    <s v="PRD010"/>
    <n v="1"/>
    <n v="20000"/>
    <n v="20000"/>
    <n v="12000"/>
    <n v="8000"/>
  </r>
  <r>
    <s v="TRX-202507-0675"/>
    <x v="188"/>
    <s v="CUST004"/>
    <s v="PRD006"/>
    <n v="4"/>
    <n v="110000"/>
    <n v="440000"/>
    <n v="300000"/>
    <n v="140000"/>
  </r>
  <r>
    <s v="TRX-202507-0675"/>
    <x v="188"/>
    <s v="CUST004"/>
    <s v="PRD001"/>
    <n v="4"/>
    <n v="175000"/>
    <n v="700000"/>
    <n v="480000"/>
    <n v="220000"/>
  </r>
  <r>
    <s v="TRX-202507-0676"/>
    <x v="188"/>
    <s v="CUST005"/>
    <s v="PRD004"/>
    <n v="5"/>
    <n v="105000"/>
    <n v="525000"/>
    <n v="350000"/>
    <n v="175000"/>
  </r>
  <r>
    <s v="TRX-202507-0677"/>
    <x v="189"/>
    <s v="CUST003"/>
    <s v="PRD004"/>
    <n v="7"/>
    <n v="105000"/>
    <n v="735000"/>
    <n v="490000"/>
    <n v="245000"/>
  </r>
  <r>
    <s v="TRX-202507-0678"/>
    <x v="189"/>
    <s v="CUST006"/>
    <s v="PRD010"/>
    <n v="4"/>
    <n v="20000"/>
    <n v="80000"/>
    <n v="48000"/>
    <n v="32000"/>
  </r>
  <r>
    <s v="TRX-202507-0678"/>
    <x v="189"/>
    <s v="CUST006"/>
    <s v="PRD007"/>
    <n v="1"/>
    <n v="225000"/>
    <n v="225000"/>
    <n v="180000"/>
    <n v="45000"/>
  </r>
  <r>
    <s v="TRX-202507-0679"/>
    <x v="189"/>
    <s v="CUST004"/>
    <s v="PRD005"/>
    <n v="4"/>
    <n v="105000"/>
    <n v="420000"/>
    <n v="280000"/>
    <n v="140000"/>
  </r>
  <r>
    <s v="TRX-202507-0679"/>
    <x v="189"/>
    <s v="CUST004"/>
    <s v="PRD003"/>
    <n v="1"/>
    <n v="130000"/>
    <n v="130000"/>
    <n v="85000"/>
    <n v="45000"/>
  </r>
  <r>
    <s v="TRX-202507-0679"/>
    <x v="189"/>
    <s v="CUST004"/>
    <s v="PRD006"/>
    <n v="5"/>
    <n v="110000"/>
    <n v="550000"/>
    <n v="375000"/>
    <n v="175000"/>
  </r>
  <r>
    <s v="TRX-202507-0680"/>
    <x v="190"/>
    <s v="CUST001"/>
    <s v="PRD004"/>
    <n v="4"/>
    <n v="105000"/>
    <n v="420000"/>
    <n v="280000"/>
    <n v="140000"/>
  </r>
  <r>
    <s v="TRX-202507-0681"/>
    <x v="190"/>
    <s v="CUST008"/>
    <s v="PRD007"/>
    <n v="4"/>
    <n v="225000"/>
    <n v="900000"/>
    <n v="720000"/>
    <n v="180000"/>
  </r>
  <r>
    <s v="TRX-202507-0682"/>
    <x v="190"/>
    <s v="CUST005"/>
    <s v="PRD007"/>
    <n v="3"/>
    <n v="225000"/>
    <n v="675000"/>
    <n v="540000"/>
    <n v="135000"/>
  </r>
  <r>
    <s v="TRX-202507-0682"/>
    <x v="190"/>
    <s v="CUST005"/>
    <s v="PRD010"/>
    <n v="6"/>
    <n v="20000"/>
    <n v="120000"/>
    <n v="72000"/>
    <n v="48000"/>
  </r>
  <r>
    <s v="TRX-202507-0683"/>
    <x v="190"/>
    <s v="CUST005"/>
    <s v="PRD002"/>
    <n v="5"/>
    <n v="70000"/>
    <n v="350000"/>
    <n v="225000"/>
    <n v="125000"/>
  </r>
  <r>
    <s v="TRX-202507-0683"/>
    <x v="190"/>
    <s v="CUST005"/>
    <s v="PRD003"/>
    <n v="8"/>
    <n v="130000"/>
    <n v="1040000"/>
    <n v="680000"/>
    <n v="360000"/>
  </r>
  <r>
    <s v="TRX-202507-0683"/>
    <x v="190"/>
    <s v="CUST005"/>
    <s v="PRD012"/>
    <n v="6"/>
    <n v="48000"/>
    <n v="288000"/>
    <n v="192000"/>
    <n v="96000"/>
  </r>
  <r>
    <s v="TRX-202507-0684"/>
    <x v="190"/>
    <s v="CUST004"/>
    <s v="PRD001"/>
    <n v="6"/>
    <n v="175000"/>
    <n v="1050000"/>
    <n v="720000"/>
    <n v="330000"/>
  </r>
  <r>
    <s v="TRX-202507-0684"/>
    <x v="190"/>
    <s v="CUST004"/>
    <s v="PRD008"/>
    <n v="7"/>
    <n v="40000"/>
    <n v="280000"/>
    <n v="196000"/>
    <n v="84000"/>
  </r>
  <r>
    <s v="TRX-202507-0684"/>
    <x v="190"/>
    <s v="CUST004"/>
    <s v="PRD009"/>
    <n v="8"/>
    <n v="52000"/>
    <n v="416000"/>
    <n v="280000"/>
    <n v="136000"/>
  </r>
  <r>
    <s v="TRX-202507-0685"/>
    <x v="191"/>
    <s v="CUST006"/>
    <s v="PRD011"/>
    <n v="6"/>
    <n v="35000"/>
    <n v="210000"/>
    <n v="132000"/>
    <n v="78000"/>
  </r>
  <r>
    <s v="TRX-202507-0686"/>
    <x v="191"/>
    <s v="CUST005"/>
    <s v="PRD012"/>
    <n v="5"/>
    <n v="48000"/>
    <n v="240000"/>
    <n v="160000"/>
    <n v="80000"/>
  </r>
  <r>
    <s v="TRX-202507-0686"/>
    <x v="191"/>
    <s v="CUST005"/>
    <s v="PRD011"/>
    <n v="4"/>
    <n v="35000"/>
    <n v="140000"/>
    <n v="88000"/>
    <n v="52000"/>
  </r>
  <r>
    <s v="TRX-202507-0687"/>
    <x v="191"/>
    <s v="CUST003"/>
    <s v="PRD012"/>
    <n v="1"/>
    <n v="48000"/>
    <n v="48000"/>
    <n v="32000"/>
    <n v="16000"/>
  </r>
  <r>
    <s v="TRX-202507-0687"/>
    <x v="191"/>
    <s v="CUST003"/>
    <s v="PRD009"/>
    <n v="5"/>
    <n v="52000"/>
    <n v="260000"/>
    <n v="175000"/>
    <n v="85000"/>
  </r>
  <r>
    <s v="TRX-202507-0687"/>
    <x v="191"/>
    <s v="CUST003"/>
    <s v="PRD005"/>
    <n v="5"/>
    <n v="105000"/>
    <n v="525000"/>
    <n v="350000"/>
    <n v="175000"/>
  </r>
  <r>
    <s v="TRX-202507-0688"/>
    <x v="192"/>
    <s v="CUST004"/>
    <s v="PRD012"/>
    <n v="4"/>
    <n v="48000"/>
    <n v="192000"/>
    <n v="128000"/>
    <n v="64000"/>
  </r>
  <r>
    <s v="TRX-202507-0688"/>
    <x v="192"/>
    <s v="CUST004"/>
    <s v="PRD007"/>
    <n v="8"/>
    <n v="225000"/>
    <n v="1800000"/>
    <n v="1440000"/>
    <n v="360000"/>
  </r>
  <r>
    <s v="TRX-202507-0689"/>
    <x v="192"/>
    <s v="CUST008"/>
    <s v="PRD001"/>
    <n v="3"/>
    <n v="175000"/>
    <n v="525000"/>
    <n v="360000"/>
    <n v="165000"/>
  </r>
  <r>
    <s v="TRX-202507-0689"/>
    <x v="192"/>
    <s v="CUST008"/>
    <s v="PRD006"/>
    <n v="5"/>
    <n v="110000"/>
    <n v="550000"/>
    <n v="375000"/>
    <n v="175000"/>
  </r>
  <r>
    <s v="TRX-202507-0689"/>
    <x v="192"/>
    <s v="CUST008"/>
    <s v="PRD003"/>
    <n v="1"/>
    <n v="130000"/>
    <n v="130000"/>
    <n v="85000"/>
    <n v="45000"/>
  </r>
  <r>
    <s v="TRX-202507-0690"/>
    <x v="192"/>
    <s v="CUST008"/>
    <s v="PRD006"/>
    <n v="7"/>
    <n v="110000"/>
    <n v="770000"/>
    <n v="525000"/>
    <n v="245000"/>
  </r>
  <r>
    <s v="TRX-202507-0690"/>
    <x v="192"/>
    <s v="CUST008"/>
    <s v="PRD012"/>
    <n v="7"/>
    <n v="48000"/>
    <n v="336000"/>
    <n v="224000"/>
    <n v="112000"/>
  </r>
  <r>
    <s v="TRX-202507-0690"/>
    <x v="192"/>
    <s v="CUST008"/>
    <s v="PRD004"/>
    <n v="7"/>
    <n v="105000"/>
    <n v="735000"/>
    <n v="490000"/>
    <n v="245000"/>
  </r>
  <r>
    <s v="TRX-202507-0691"/>
    <x v="192"/>
    <s v="CUST005"/>
    <s v="PRD010"/>
    <n v="1"/>
    <n v="20000"/>
    <n v="20000"/>
    <n v="12000"/>
    <n v="8000"/>
  </r>
  <r>
    <s v="TRX-202507-0691"/>
    <x v="192"/>
    <s v="CUST005"/>
    <s v="PRD001"/>
    <n v="3"/>
    <n v="175000"/>
    <n v="525000"/>
    <n v="360000"/>
    <n v="165000"/>
  </r>
  <r>
    <s v="TRX-202507-0692"/>
    <x v="193"/>
    <s v="CUST008"/>
    <s v="PRD003"/>
    <n v="4"/>
    <n v="130000"/>
    <n v="520000"/>
    <n v="340000"/>
    <n v="180000"/>
  </r>
  <r>
    <s v="TRX-202507-0693"/>
    <x v="193"/>
    <s v="CUST002"/>
    <s v="PRD005"/>
    <n v="4"/>
    <n v="105000"/>
    <n v="420000"/>
    <n v="280000"/>
    <n v="140000"/>
  </r>
  <r>
    <s v="TRX-202507-0693"/>
    <x v="193"/>
    <s v="CUST002"/>
    <s v="PRD004"/>
    <n v="5"/>
    <n v="105000"/>
    <n v="525000"/>
    <n v="350000"/>
    <n v="175000"/>
  </r>
  <r>
    <s v="TRX-202507-0694"/>
    <x v="194"/>
    <s v="CUST005"/>
    <s v="PRD001"/>
    <n v="3"/>
    <n v="175000"/>
    <n v="525000"/>
    <n v="360000"/>
    <n v="165000"/>
  </r>
  <r>
    <s v="TRX-202507-0695"/>
    <x v="194"/>
    <s v="CUST008"/>
    <s v="PRD007"/>
    <n v="4"/>
    <n v="225000"/>
    <n v="900000"/>
    <n v="720000"/>
    <n v="180000"/>
  </r>
  <r>
    <s v="TRX-202507-0696"/>
    <x v="194"/>
    <s v="CUST006"/>
    <s v="PRD008"/>
    <n v="1"/>
    <n v="40000"/>
    <n v="40000"/>
    <n v="28000"/>
    <n v="12000"/>
  </r>
  <r>
    <s v="TRX-202507-0696"/>
    <x v="194"/>
    <s v="CUST006"/>
    <s v="PRD012"/>
    <n v="2"/>
    <n v="48000"/>
    <n v="96000"/>
    <n v="64000"/>
    <n v="32000"/>
  </r>
  <r>
    <s v="TRX-202507-0696"/>
    <x v="194"/>
    <s v="CUST006"/>
    <s v="PRD011"/>
    <n v="5"/>
    <n v="35000"/>
    <n v="175000"/>
    <n v="110000"/>
    <n v="65000"/>
  </r>
  <r>
    <s v="TRX-202507-0697"/>
    <x v="194"/>
    <s v="CUST008"/>
    <s v="PRD012"/>
    <n v="7"/>
    <n v="48000"/>
    <n v="336000"/>
    <n v="224000"/>
    <n v="112000"/>
  </r>
  <r>
    <s v="TRX-202507-0697"/>
    <x v="194"/>
    <s v="CUST008"/>
    <s v="PRD005"/>
    <n v="3"/>
    <n v="105000"/>
    <n v="315000"/>
    <n v="210000"/>
    <n v="105000"/>
  </r>
  <r>
    <s v="TRX-202507-0698"/>
    <x v="194"/>
    <s v="CUST007"/>
    <s v="PRD003"/>
    <n v="7"/>
    <n v="130000"/>
    <n v="910000"/>
    <n v="595000"/>
    <n v="315000"/>
  </r>
  <r>
    <s v="TRX-202507-0699"/>
    <x v="195"/>
    <s v="CUST002"/>
    <s v="PRD009"/>
    <n v="6"/>
    <n v="52000"/>
    <n v="312000"/>
    <n v="210000"/>
    <n v="102000"/>
  </r>
  <r>
    <s v="TRX-202507-0700"/>
    <x v="195"/>
    <s v="CUST007"/>
    <s v="PRD003"/>
    <n v="4"/>
    <n v="130000"/>
    <n v="520000"/>
    <n v="340000"/>
    <n v="180000"/>
  </r>
  <r>
    <s v="TRX-202507-0700"/>
    <x v="195"/>
    <s v="CUST007"/>
    <s v="PRD005"/>
    <n v="1"/>
    <n v="105000"/>
    <n v="105000"/>
    <n v="70000"/>
    <n v="35000"/>
  </r>
  <r>
    <s v="TRX-202507-0701"/>
    <x v="195"/>
    <s v="CUST008"/>
    <s v="PRD002"/>
    <n v="8"/>
    <n v="70000"/>
    <n v="560000"/>
    <n v="360000"/>
    <n v="200000"/>
  </r>
  <r>
    <s v="TRX-202507-0702"/>
    <x v="195"/>
    <s v="CUST007"/>
    <s v="PRD012"/>
    <n v="4"/>
    <n v="48000"/>
    <n v="192000"/>
    <n v="128000"/>
    <n v="64000"/>
  </r>
  <r>
    <s v="TRX-202507-0702"/>
    <x v="195"/>
    <s v="CUST007"/>
    <s v="PRD007"/>
    <n v="7"/>
    <n v="225000"/>
    <n v="1575000"/>
    <n v="1260000"/>
    <n v="315000"/>
  </r>
  <r>
    <s v="TRX-202507-0703"/>
    <x v="196"/>
    <s v="CUST001"/>
    <s v="PRD005"/>
    <n v="6"/>
    <n v="105000"/>
    <n v="630000"/>
    <n v="420000"/>
    <n v="210000"/>
  </r>
  <r>
    <s v="TRX-202507-0703"/>
    <x v="196"/>
    <s v="CUST001"/>
    <s v="PRD003"/>
    <n v="3"/>
    <n v="130000"/>
    <n v="390000"/>
    <n v="255000"/>
    <n v="135000"/>
  </r>
  <r>
    <s v="TRX-202507-0703"/>
    <x v="196"/>
    <s v="CUST001"/>
    <s v="PRD008"/>
    <n v="4"/>
    <n v="40000"/>
    <n v="160000"/>
    <n v="112000"/>
    <n v="48000"/>
  </r>
  <r>
    <s v="TRX-202507-0704"/>
    <x v="196"/>
    <s v="CUST001"/>
    <s v="PRD009"/>
    <n v="1"/>
    <n v="52000"/>
    <n v="52000"/>
    <n v="35000"/>
    <n v="17000"/>
  </r>
  <r>
    <s v="TRX-202507-0704"/>
    <x v="196"/>
    <s v="CUST001"/>
    <s v="PRD004"/>
    <n v="2"/>
    <n v="105000"/>
    <n v="210000"/>
    <n v="140000"/>
    <n v="70000"/>
  </r>
  <r>
    <s v="TRX-202507-0704"/>
    <x v="196"/>
    <s v="CUST001"/>
    <s v="PRD008"/>
    <n v="7"/>
    <n v="40000"/>
    <n v="280000"/>
    <n v="196000"/>
    <n v="84000"/>
  </r>
  <r>
    <s v="TRX-202507-0705"/>
    <x v="197"/>
    <s v="CUST001"/>
    <s v="PRD009"/>
    <n v="6"/>
    <n v="52000"/>
    <n v="312000"/>
    <n v="210000"/>
    <n v="102000"/>
  </r>
  <r>
    <s v="TRX-202507-0705"/>
    <x v="197"/>
    <s v="CUST001"/>
    <s v="PRD002"/>
    <n v="6"/>
    <n v="70000"/>
    <n v="420000"/>
    <n v="270000"/>
    <n v="150000"/>
  </r>
  <r>
    <s v="TRX-202507-0706"/>
    <x v="197"/>
    <s v="CUST004"/>
    <s v="PRD004"/>
    <n v="7"/>
    <n v="105000"/>
    <n v="735000"/>
    <n v="490000"/>
    <n v="245000"/>
  </r>
  <r>
    <s v="TRX-202507-0706"/>
    <x v="197"/>
    <s v="CUST004"/>
    <s v="PRD009"/>
    <n v="2"/>
    <n v="52000"/>
    <n v="104000"/>
    <n v="70000"/>
    <n v="34000"/>
  </r>
  <r>
    <s v="TRX-202507-0706"/>
    <x v="197"/>
    <s v="CUST004"/>
    <s v="PRD007"/>
    <n v="4"/>
    <n v="225000"/>
    <n v="900000"/>
    <n v="720000"/>
    <n v="180000"/>
  </r>
  <r>
    <s v="TRX-202507-0707"/>
    <x v="197"/>
    <s v="CUST004"/>
    <s v="PRD006"/>
    <n v="6"/>
    <n v="110000"/>
    <n v="660000"/>
    <n v="450000"/>
    <n v="210000"/>
  </r>
  <r>
    <s v="TRX-202507-0708"/>
    <x v="198"/>
    <s v="CUST006"/>
    <s v="PRD011"/>
    <n v="6"/>
    <n v="35000"/>
    <n v="210000"/>
    <n v="132000"/>
    <n v="78000"/>
  </r>
  <r>
    <s v="TRX-202507-0709"/>
    <x v="198"/>
    <s v="CUST008"/>
    <s v="PRD006"/>
    <n v="1"/>
    <n v="110000"/>
    <n v="110000"/>
    <n v="75000"/>
    <n v="35000"/>
  </r>
  <r>
    <s v="TRX-202507-0710"/>
    <x v="198"/>
    <s v="CUST008"/>
    <s v="PRD009"/>
    <n v="4"/>
    <n v="52000"/>
    <n v="208000"/>
    <n v="140000"/>
    <n v="68000"/>
  </r>
  <r>
    <s v="TRX-202507-0710"/>
    <x v="198"/>
    <s v="CUST008"/>
    <s v="PRD011"/>
    <n v="1"/>
    <n v="35000"/>
    <n v="35000"/>
    <n v="22000"/>
    <n v="13000"/>
  </r>
  <r>
    <s v="TRX-202507-0711"/>
    <x v="199"/>
    <s v="CUST007"/>
    <s v="PRD005"/>
    <n v="6"/>
    <n v="105000"/>
    <n v="630000"/>
    <n v="420000"/>
    <n v="210000"/>
  </r>
  <r>
    <s v="TRX-202507-0711"/>
    <x v="199"/>
    <s v="CUST007"/>
    <s v="PRD001"/>
    <n v="6"/>
    <n v="175000"/>
    <n v="1050000"/>
    <n v="720000"/>
    <n v="330000"/>
  </r>
  <r>
    <s v="TRX-202507-0711"/>
    <x v="199"/>
    <s v="CUST007"/>
    <s v="PRD004"/>
    <n v="4"/>
    <n v="105000"/>
    <n v="420000"/>
    <n v="280000"/>
    <n v="140000"/>
  </r>
  <r>
    <s v="TRX-202507-0712"/>
    <x v="199"/>
    <s v="CUST004"/>
    <s v="PRD001"/>
    <n v="4"/>
    <n v="175000"/>
    <n v="700000"/>
    <n v="480000"/>
    <n v="220000"/>
  </r>
  <r>
    <s v="TRX-202507-0712"/>
    <x v="199"/>
    <s v="CUST004"/>
    <s v="PRD011"/>
    <n v="7"/>
    <n v="35000"/>
    <n v="245000"/>
    <n v="154000"/>
    <n v="91000"/>
  </r>
  <r>
    <s v="TRX-202507-0712"/>
    <x v="199"/>
    <s v="CUST004"/>
    <s v="PRD004"/>
    <n v="6"/>
    <n v="105000"/>
    <n v="630000"/>
    <n v="420000"/>
    <n v="210000"/>
  </r>
  <r>
    <s v="TRX-202507-0713"/>
    <x v="200"/>
    <s v="CUST005"/>
    <s v="PRD010"/>
    <n v="4"/>
    <n v="20000"/>
    <n v="80000"/>
    <n v="48000"/>
    <n v="32000"/>
  </r>
  <r>
    <s v="TRX-202507-0713"/>
    <x v="200"/>
    <s v="CUST005"/>
    <s v="PRD008"/>
    <n v="5"/>
    <n v="40000"/>
    <n v="200000"/>
    <n v="140000"/>
    <n v="60000"/>
  </r>
  <r>
    <s v="TRX-202507-0714"/>
    <x v="200"/>
    <s v="CUST008"/>
    <s v="PRD006"/>
    <n v="7"/>
    <n v="110000"/>
    <n v="770000"/>
    <n v="525000"/>
    <n v="245000"/>
  </r>
  <r>
    <s v="TRX-202507-0715"/>
    <x v="200"/>
    <s v="CUST007"/>
    <s v="PRD008"/>
    <n v="8"/>
    <n v="40000"/>
    <n v="320000"/>
    <n v="224000"/>
    <n v="96000"/>
  </r>
  <r>
    <s v="TRX-202507-0716"/>
    <x v="201"/>
    <s v="CUST004"/>
    <s v="PRD004"/>
    <n v="1"/>
    <n v="105000"/>
    <n v="105000"/>
    <n v="70000"/>
    <n v="35000"/>
  </r>
  <r>
    <s v="TRX-202507-0717"/>
    <x v="201"/>
    <s v="CUST001"/>
    <s v="PRD012"/>
    <n v="7"/>
    <n v="48000"/>
    <n v="336000"/>
    <n v="224000"/>
    <n v="112000"/>
  </r>
  <r>
    <s v="TRX-202507-0717"/>
    <x v="201"/>
    <s v="CUST001"/>
    <s v="PRD006"/>
    <n v="7"/>
    <n v="110000"/>
    <n v="770000"/>
    <n v="525000"/>
    <n v="245000"/>
  </r>
  <r>
    <s v="TRX-202507-0717"/>
    <x v="201"/>
    <s v="CUST001"/>
    <s v="PRD008"/>
    <n v="7"/>
    <n v="40000"/>
    <n v="280000"/>
    <n v="196000"/>
    <n v="84000"/>
  </r>
  <r>
    <s v="TRX-202507-0718"/>
    <x v="201"/>
    <s v="CUST006"/>
    <s v="PRD008"/>
    <n v="2"/>
    <n v="40000"/>
    <n v="80000"/>
    <n v="56000"/>
    <n v="24000"/>
  </r>
  <r>
    <s v="TRX-202507-0718"/>
    <x v="201"/>
    <s v="CUST006"/>
    <s v="PRD005"/>
    <n v="7"/>
    <n v="105000"/>
    <n v="735000"/>
    <n v="490000"/>
    <n v="245000"/>
  </r>
  <r>
    <s v="TRX-202507-0719"/>
    <x v="201"/>
    <s v="CUST001"/>
    <s v="PRD007"/>
    <n v="3"/>
    <n v="225000"/>
    <n v="675000"/>
    <n v="540000"/>
    <n v="135000"/>
  </r>
  <r>
    <s v="TRX-202507-0720"/>
    <x v="201"/>
    <s v="CUST004"/>
    <s v="PRD005"/>
    <n v="8"/>
    <n v="105000"/>
    <n v="840000"/>
    <n v="560000"/>
    <n v="280000"/>
  </r>
  <r>
    <s v="TRX-202507-0720"/>
    <x v="201"/>
    <s v="CUST004"/>
    <s v="PRD006"/>
    <n v="5"/>
    <n v="110000"/>
    <n v="550000"/>
    <n v="375000"/>
    <n v="175000"/>
  </r>
  <r>
    <s v="TRX-202507-0721"/>
    <x v="202"/>
    <s v="CUST002"/>
    <s v="PRD011"/>
    <n v="7"/>
    <n v="35000"/>
    <n v="245000"/>
    <n v="154000"/>
    <n v="91000"/>
  </r>
  <r>
    <s v="TRX-202507-0722"/>
    <x v="202"/>
    <s v="CUST007"/>
    <s v="PRD010"/>
    <n v="4"/>
    <n v="20000"/>
    <n v="80000"/>
    <n v="48000"/>
    <n v="32000"/>
  </r>
  <r>
    <s v="TRX-202507-0722"/>
    <x v="202"/>
    <s v="CUST007"/>
    <s v="PRD002"/>
    <n v="7"/>
    <n v="70000"/>
    <n v="490000"/>
    <n v="315000"/>
    <n v="175000"/>
  </r>
  <r>
    <s v="TRX-202507-0722"/>
    <x v="202"/>
    <s v="CUST007"/>
    <s v="PRD009"/>
    <n v="3"/>
    <n v="52000"/>
    <n v="156000"/>
    <n v="105000"/>
    <n v="51000"/>
  </r>
  <r>
    <s v="TRX-202507-0723"/>
    <x v="203"/>
    <s v="CUST007"/>
    <s v="PRD005"/>
    <n v="3"/>
    <n v="105000"/>
    <n v="315000"/>
    <n v="210000"/>
    <n v="105000"/>
  </r>
  <r>
    <s v="TRX-202507-0723"/>
    <x v="203"/>
    <s v="CUST007"/>
    <s v="PRD007"/>
    <n v="6"/>
    <n v="225000"/>
    <n v="1350000"/>
    <n v="1080000"/>
    <n v="270000"/>
  </r>
  <r>
    <s v="TRX-202507-0723"/>
    <x v="203"/>
    <s v="CUST007"/>
    <s v="PRD003"/>
    <n v="3"/>
    <n v="130000"/>
    <n v="390000"/>
    <n v="255000"/>
    <n v="135000"/>
  </r>
  <r>
    <s v="TRX-202507-0724"/>
    <x v="203"/>
    <s v="CUST003"/>
    <s v="PRD008"/>
    <n v="3"/>
    <n v="40000"/>
    <n v="120000"/>
    <n v="84000"/>
    <n v="36000"/>
  </r>
  <r>
    <s v="TRX-202507-0725"/>
    <x v="203"/>
    <s v="CUST002"/>
    <s v="PRD010"/>
    <n v="3"/>
    <n v="20000"/>
    <n v="60000"/>
    <n v="36000"/>
    <n v="24000"/>
  </r>
  <r>
    <s v="TRX-202507-0725"/>
    <x v="203"/>
    <s v="CUST002"/>
    <s v="PRD004"/>
    <n v="4"/>
    <n v="105000"/>
    <n v="420000"/>
    <n v="280000"/>
    <n v="140000"/>
  </r>
  <r>
    <s v="TRX-202507-0726"/>
    <x v="203"/>
    <s v="CUST001"/>
    <s v="PRD003"/>
    <n v="7"/>
    <n v="130000"/>
    <n v="910000"/>
    <n v="595000"/>
    <n v="315000"/>
  </r>
  <r>
    <s v="TRX-202507-0726"/>
    <x v="203"/>
    <s v="CUST001"/>
    <s v="PRD004"/>
    <n v="8"/>
    <n v="105000"/>
    <n v="840000"/>
    <n v="560000"/>
    <n v="280000"/>
  </r>
  <r>
    <s v="TRX-202507-0726"/>
    <x v="203"/>
    <s v="CUST001"/>
    <s v="PRD005"/>
    <n v="2"/>
    <n v="105000"/>
    <n v="210000"/>
    <n v="140000"/>
    <n v="70000"/>
  </r>
  <r>
    <s v="TRX-202507-0727"/>
    <x v="203"/>
    <s v="CUST003"/>
    <s v="PRD005"/>
    <n v="2"/>
    <n v="105000"/>
    <n v="210000"/>
    <n v="140000"/>
    <n v="70000"/>
  </r>
  <r>
    <s v="TRX-202507-0728"/>
    <x v="204"/>
    <s v="CUST006"/>
    <s v="PRD004"/>
    <n v="7"/>
    <n v="105000"/>
    <n v="735000"/>
    <n v="490000"/>
    <n v="245000"/>
  </r>
  <r>
    <s v="TRX-202507-0728"/>
    <x v="204"/>
    <s v="CUST006"/>
    <s v="PRD006"/>
    <n v="7"/>
    <n v="110000"/>
    <n v="770000"/>
    <n v="525000"/>
    <n v="245000"/>
  </r>
  <r>
    <s v="TRX-202507-0729"/>
    <x v="204"/>
    <s v="CUST001"/>
    <s v="PRD006"/>
    <n v="1"/>
    <n v="110000"/>
    <n v="110000"/>
    <n v="75000"/>
    <n v="35000"/>
  </r>
  <r>
    <s v="TRX-202507-0729"/>
    <x v="204"/>
    <s v="CUST001"/>
    <s v="PRD002"/>
    <n v="8"/>
    <n v="70000"/>
    <n v="560000"/>
    <n v="360000"/>
    <n v="200000"/>
  </r>
  <r>
    <s v="TRX-202507-0730"/>
    <x v="204"/>
    <s v="CUST007"/>
    <s v="PRD003"/>
    <n v="2"/>
    <n v="130000"/>
    <n v="260000"/>
    <n v="170000"/>
    <n v="90000"/>
  </r>
  <r>
    <s v="TRX-202507-0730"/>
    <x v="204"/>
    <s v="CUST007"/>
    <s v="PRD001"/>
    <n v="5"/>
    <n v="175000"/>
    <n v="875000"/>
    <n v="600000"/>
    <n v="275000"/>
  </r>
  <r>
    <s v="TRX-202507-0730"/>
    <x v="204"/>
    <s v="CUST007"/>
    <s v="PRD010"/>
    <n v="4"/>
    <n v="20000"/>
    <n v="80000"/>
    <n v="48000"/>
    <n v="32000"/>
  </r>
  <r>
    <s v="TRX-202507-0731"/>
    <x v="204"/>
    <s v="CUST006"/>
    <s v="PRD010"/>
    <n v="8"/>
    <n v="20000"/>
    <n v="160000"/>
    <n v="96000"/>
    <n v="64000"/>
  </r>
  <r>
    <s v="TRX-202507-0731"/>
    <x v="204"/>
    <s v="CUST006"/>
    <s v="PRD011"/>
    <n v="7"/>
    <n v="35000"/>
    <n v="245000"/>
    <n v="154000"/>
    <n v="91000"/>
  </r>
  <r>
    <s v="TRX-202507-0732"/>
    <x v="205"/>
    <s v="CUST003"/>
    <s v="PRD010"/>
    <n v="3"/>
    <n v="20000"/>
    <n v="60000"/>
    <n v="36000"/>
    <n v="24000"/>
  </r>
  <r>
    <s v="TRX-202507-0732"/>
    <x v="205"/>
    <s v="CUST003"/>
    <s v="PRD009"/>
    <n v="8"/>
    <n v="52000"/>
    <n v="416000"/>
    <n v="280000"/>
    <n v="136000"/>
  </r>
  <r>
    <s v="TRX-202507-0732"/>
    <x v="205"/>
    <s v="CUST003"/>
    <s v="PRD001"/>
    <n v="2"/>
    <n v="175000"/>
    <n v="350000"/>
    <n v="240000"/>
    <n v="110000"/>
  </r>
  <r>
    <s v="TRX-202507-0733"/>
    <x v="205"/>
    <s v="CUST005"/>
    <s v="PRD009"/>
    <n v="8"/>
    <n v="52000"/>
    <n v="416000"/>
    <n v="280000"/>
    <n v="136000"/>
  </r>
  <r>
    <s v="TRX-202507-0733"/>
    <x v="205"/>
    <s v="CUST005"/>
    <s v="PRD008"/>
    <n v="2"/>
    <n v="40000"/>
    <n v="80000"/>
    <n v="56000"/>
    <n v="24000"/>
  </r>
  <r>
    <s v="TRX-202507-0733"/>
    <x v="205"/>
    <s v="CUST005"/>
    <s v="PRD003"/>
    <n v="8"/>
    <n v="130000"/>
    <n v="1040000"/>
    <n v="680000"/>
    <n v="360000"/>
  </r>
  <r>
    <s v="TRX-202507-0734"/>
    <x v="205"/>
    <s v="CUST004"/>
    <s v="PRD004"/>
    <n v="3"/>
    <n v="105000"/>
    <n v="315000"/>
    <n v="210000"/>
    <n v="105000"/>
  </r>
  <r>
    <s v="TRX-202507-0735"/>
    <x v="206"/>
    <s v="CUST006"/>
    <s v="PRD012"/>
    <n v="7"/>
    <n v="48000"/>
    <n v="336000"/>
    <n v="224000"/>
    <n v="112000"/>
  </r>
  <r>
    <s v="TRX-202507-0735"/>
    <x v="206"/>
    <s v="CUST006"/>
    <s v="PRD007"/>
    <n v="4"/>
    <n v="225000"/>
    <n v="900000"/>
    <n v="720000"/>
    <n v="180000"/>
  </r>
  <r>
    <s v="TRX-202507-0736"/>
    <x v="206"/>
    <s v="CUST004"/>
    <s v="PRD002"/>
    <n v="2"/>
    <n v="70000"/>
    <n v="140000"/>
    <n v="90000"/>
    <n v="50000"/>
  </r>
  <r>
    <s v="TRX-202507-0736"/>
    <x v="206"/>
    <s v="CUST004"/>
    <s v="PRD005"/>
    <n v="2"/>
    <n v="105000"/>
    <n v="210000"/>
    <n v="140000"/>
    <n v="70000"/>
  </r>
  <r>
    <s v="TRX-202507-0737"/>
    <x v="207"/>
    <s v="CUST002"/>
    <s v="PRD001"/>
    <n v="8"/>
    <n v="175000"/>
    <n v="1400000"/>
    <n v="960000"/>
    <n v="440000"/>
  </r>
  <r>
    <s v="TRX-202507-0737"/>
    <x v="207"/>
    <s v="CUST002"/>
    <s v="PRD009"/>
    <n v="6"/>
    <n v="52000"/>
    <n v="312000"/>
    <n v="210000"/>
    <n v="102000"/>
  </r>
  <r>
    <s v="TRX-202507-0738"/>
    <x v="207"/>
    <s v="CUST003"/>
    <s v="PRD004"/>
    <n v="8"/>
    <n v="105000"/>
    <n v="840000"/>
    <n v="560000"/>
    <n v="280000"/>
  </r>
  <r>
    <s v="TRX-202507-0738"/>
    <x v="207"/>
    <s v="CUST003"/>
    <s v="PRD008"/>
    <n v="3"/>
    <n v="40000"/>
    <n v="120000"/>
    <n v="84000"/>
    <n v="36000"/>
  </r>
  <r>
    <s v="TRX-202507-0739"/>
    <x v="207"/>
    <s v="CUST005"/>
    <s v="PRD012"/>
    <n v="1"/>
    <n v="48000"/>
    <n v="48000"/>
    <n v="32000"/>
    <n v="16000"/>
  </r>
  <r>
    <s v="TRX-202507-0740"/>
    <x v="208"/>
    <s v="CUST008"/>
    <s v="PRD007"/>
    <n v="1"/>
    <n v="225000"/>
    <n v="225000"/>
    <n v="180000"/>
    <n v="45000"/>
  </r>
  <r>
    <s v="TRX-202507-0740"/>
    <x v="208"/>
    <s v="CUST008"/>
    <s v="PRD005"/>
    <n v="7"/>
    <n v="105000"/>
    <n v="735000"/>
    <n v="490000"/>
    <n v="245000"/>
  </r>
  <r>
    <s v="TRX-202507-0740"/>
    <x v="208"/>
    <s v="CUST008"/>
    <s v="PRD003"/>
    <n v="6"/>
    <n v="130000"/>
    <n v="780000"/>
    <n v="510000"/>
    <n v="270000"/>
  </r>
  <r>
    <s v="TRX-202507-0741"/>
    <x v="208"/>
    <s v="CUST007"/>
    <s v="PRD008"/>
    <n v="7"/>
    <n v="40000"/>
    <n v="280000"/>
    <n v="196000"/>
    <n v="84000"/>
  </r>
  <r>
    <s v="TRX-202507-0741"/>
    <x v="208"/>
    <s v="CUST007"/>
    <s v="PRD006"/>
    <n v="2"/>
    <n v="110000"/>
    <n v="220000"/>
    <n v="150000"/>
    <n v="70000"/>
  </r>
  <r>
    <s v="TRX-202507-0741"/>
    <x v="208"/>
    <s v="CUST007"/>
    <s v="PRD007"/>
    <n v="5"/>
    <n v="225000"/>
    <n v="1125000"/>
    <n v="900000"/>
    <n v="225000"/>
  </r>
  <r>
    <s v="TRX-202507-0742"/>
    <x v="208"/>
    <s v="CUST005"/>
    <s v="PRD004"/>
    <n v="2"/>
    <n v="105000"/>
    <n v="210000"/>
    <n v="140000"/>
    <n v="70000"/>
  </r>
  <r>
    <s v="TRX-202507-0742"/>
    <x v="208"/>
    <s v="CUST005"/>
    <s v="PRD009"/>
    <n v="3"/>
    <n v="52000"/>
    <n v="156000"/>
    <n v="105000"/>
    <n v="51000"/>
  </r>
  <r>
    <s v="TRX-202507-0742"/>
    <x v="208"/>
    <s v="CUST005"/>
    <s v="PRD007"/>
    <n v="6"/>
    <n v="225000"/>
    <n v="1350000"/>
    <n v="1080000"/>
    <n v="270000"/>
  </r>
  <r>
    <s v="TRX-202507-0743"/>
    <x v="209"/>
    <s v="CUST001"/>
    <s v="PRD006"/>
    <n v="8"/>
    <n v="110000"/>
    <n v="880000"/>
    <n v="600000"/>
    <n v="280000"/>
  </r>
  <r>
    <s v="TRX-202507-0744"/>
    <x v="209"/>
    <s v="CUST003"/>
    <s v="PRD002"/>
    <n v="6"/>
    <n v="70000"/>
    <n v="420000"/>
    <n v="270000"/>
    <n v="150000"/>
  </r>
  <r>
    <s v="TRX-202507-0745"/>
    <x v="209"/>
    <s v="CUST007"/>
    <s v="PRD011"/>
    <n v="7"/>
    <n v="35000"/>
    <n v="245000"/>
    <n v="154000"/>
    <n v="91000"/>
  </r>
  <r>
    <s v="TRX-202507-0746"/>
    <x v="210"/>
    <s v="CUST001"/>
    <s v="PRD010"/>
    <n v="5"/>
    <n v="20000"/>
    <n v="100000"/>
    <n v="60000"/>
    <n v="40000"/>
  </r>
  <r>
    <s v="TRX-202507-0746"/>
    <x v="210"/>
    <s v="CUST001"/>
    <s v="PRD012"/>
    <n v="2"/>
    <n v="48000"/>
    <n v="96000"/>
    <n v="64000"/>
    <n v="32000"/>
  </r>
  <r>
    <s v="TRX-202507-0746"/>
    <x v="210"/>
    <s v="CUST001"/>
    <s v="PRD008"/>
    <n v="3"/>
    <n v="40000"/>
    <n v="120000"/>
    <n v="84000"/>
    <n v="36000"/>
  </r>
  <r>
    <s v="TRX-202507-0747"/>
    <x v="210"/>
    <s v="CUST007"/>
    <s v="PRD011"/>
    <n v="5"/>
    <n v="35000"/>
    <n v="175000"/>
    <n v="110000"/>
    <n v="65000"/>
  </r>
  <r>
    <s v="TRX-202507-0747"/>
    <x v="210"/>
    <s v="CUST007"/>
    <s v="PRD007"/>
    <n v="3"/>
    <n v="225000"/>
    <n v="675000"/>
    <n v="540000"/>
    <n v="135000"/>
  </r>
  <r>
    <s v="TRX-202507-0748"/>
    <x v="210"/>
    <s v="CUST002"/>
    <s v="PRD002"/>
    <n v="3"/>
    <n v="70000"/>
    <n v="210000"/>
    <n v="135000"/>
    <n v="75000"/>
  </r>
  <r>
    <s v="TRX-202507-0748"/>
    <x v="210"/>
    <s v="CUST002"/>
    <s v="PRD009"/>
    <n v="7"/>
    <n v="52000"/>
    <n v="364000"/>
    <n v="245000"/>
    <n v="119000"/>
  </r>
  <r>
    <s v="TRX-202507-0749"/>
    <x v="211"/>
    <s v="CUST002"/>
    <s v="PRD005"/>
    <n v="2"/>
    <n v="105000"/>
    <n v="210000"/>
    <n v="140000"/>
    <n v="70000"/>
  </r>
  <r>
    <s v="TRX-202507-0749"/>
    <x v="211"/>
    <s v="CUST002"/>
    <s v="PRD001"/>
    <n v="5"/>
    <n v="175000"/>
    <n v="875000"/>
    <n v="600000"/>
    <n v="275000"/>
  </r>
  <r>
    <s v="TRX-202507-0749"/>
    <x v="211"/>
    <s v="CUST002"/>
    <s v="PRD002"/>
    <n v="6"/>
    <n v="70000"/>
    <n v="420000"/>
    <n v="270000"/>
    <n v="150000"/>
  </r>
  <r>
    <s v="TRX-202507-0750"/>
    <x v="211"/>
    <s v="CUST003"/>
    <s v="PRD011"/>
    <n v="4"/>
    <n v="35000"/>
    <n v="140000"/>
    <n v="88000"/>
    <n v="52000"/>
  </r>
  <r>
    <s v="TRX-202507-0750"/>
    <x v="211"/>
    <s v="CUST003"/>
    <s v="PRD001"/>
    <n v="5"/>
    <n v="175000"/>
    <n v="875000"/>
    <n v="600000"/>
    <n v="275000"/>
  </r>
  <r>
    <s v="TRX-202507-0751"/>
    <x v="211"/>
    <s v="CUST001"/>
    <s v="PRD005"/>
    <n v="8"/>
    <n v="105000"/>
    <n v="840000"/>
    <n v="560000"/>
    <n v="280000"/>
  </r>
  <r>
    <s v="TRX-202507-0751"/>
    <x v="211"/>
    <s v="CUST001"/>
    <s v="PRD011"/>
    <n v="3"/>
    <n v="35000"/>
    <n v="105000"/>
    <n v="66000"/>
    <n v="39000"/>
  </r>
  <r>
    <s v="TRX-202507-0751"/>
    <x v="211"/>
    <s v="CUST001"/>
    <s v="PRD009"/>
    <n v="8"/>
    <n v="52000"/>
    <n v="416000"/>
    <n v="280000"/>
    <n v="136000"/>
  </r>
  <r>
    <s v="TRX-202508-0752"/>
    <x v="212"/>
    <s v="CUST007"/>
    <s v="PRD002"/>
    <n v="7"/>
    <n v="70000"/>
    <n v="490000"/>
    <n v="315000"/>
    <n v="175000"/>
  </r>
  <r>
    <s v="TRX-202508-0752"/>
    <x v="212"/>
    <s v="CUST007"/>
    <s v="PRD005"/>
    <n v="3"/>
    <n v="105000"/>
    <n v="315000"/>
    <n v="210000"/>
    <n v="105000"/>
  </r>
  <r>
    <s v="TRX-202508-0753"/>
    <x v="212"/>
    <s v="CUST004"/>
    <s v="PRD011"/>
    <n v="5"/>
    <n v="35000"/>
    <n v="175000"/>
    <n v="110000"/>
    <n v="65000"/>
  </r>
  <r>
    <s v="TRX-202508-0754"/>
    <x v="212"/>
    <s v="CUST004"/>
    <s v="PRD006"/>
    <n v="3"/>
    <n v="110000"/>
    <n v="330000"/>
    <n v="225000"/>
    <n v="105000"/>
  </r>
  <r>
    <s v="TRX-202508-0754"/>
    <x v="212"/>
    <s v="CUST004"/>
    <s v="PRD010"/>
    <n v="7"/>
    <n v="20000"/>
    <n v="140000"/>
    <n v="84000"/>
    <n v="56000"/>
  </r>
  <r>
    <s v="TRX-202508-0754"/>
    <x v="212"/>
    <s v="CUST004"/>
    <s v="PRD009"/>
    <n v="3"/>
    <n v="52000"/>
    <n v="156000"/>
    <n v="105000"/>
    <n v="51000"/>
  </r>
  <r>
    <s v="TRX-202508-0755"/>
    <x v="213"/>
    <s v="CUST002"/>
    <s v="PRD009"/>
    <n v="5"/>
    <n v="52000"/>
    <n v="260000"/>
    <n v="175000"/>
    <n v="85000"/>
  </r>
  <r>
    <s v="TRX-202508-0756"/>
    <x v="213"/>
    <s v="CUST008"/>
    <s v="PRD009"/>
    <n v="6"/>
    <n v="52000"/>
    <n v="312000"/>
    <n v="210000"/>
    <n v="102000"/>
  </r>
  <r>
    <s v="TRX-202508-0757"/>
    <x v="214"/>
    <s v="CUST001"/>
    <s v="PRD011"/>
    <n v="7"/>
    <n v="35000"/>
    <n v="245000"/>
    <n v="154000"/>
    <n v="91000"/>
  </r>
  <r>
    <s v="TRX-202508-0757"/>
    <x v="214"/>
    <s v="CUST001"/>
    <s v="PRD006"/>
    <n v="8"/>
    <n v="110000"/>
    <n v="880000"/>
    <n v="600000"/>
    <n v="280000"/>
  </r>
  <r>
    <s v="TRX-202508-0757"/>
    <x v="214"/>
    <s v="CUST001"/>
    <s v="PRD004"/>
    <n v="3"/>
    <n v="105000"/>
    <n v="315000"/>
    <n v="210000"/>
    <n v="105000"/>
  </r>
  <r>
    <s v="TRX-202508-0758"/>
    <x v="214"/>
    <s v="CUST008"/>
    <s v="PRD008"/>
    <n v="5"/>
    <n v="40000"/>
    <n v="200000"/>
    <n v="140000"/>
    <n v="60000"/>
  </r>
  <r>
    <s v="TRX-202508-0758"/>
    <x v="214"/>
    <s v="CUST008"/>
    <s v="PRD009"/>
    <n v="5"/>
    <n v="52000"/>
    <n v="260000"/>
    <n v="175000"/>
    <n v="85000"/>
  </r>
  <r>
    <s v="TRX-202508-0759"/>
    <x v="214"/>
    <s v="CUST007"/>
    <s v="PRD012"/>
    <n v="2"/>
    <n v="48000"/>
    <n v="96000"/>
    <n v="64000"/>
    <n v="32000"/>
  </r>
  <r>
    <s v="TRX-202508-0759"/>
    <x v="214"/>
    <s v="CUST007"/>
    <s v="PRD004"/>
    <n v="5"/>
    <n v="105000"/>
    <n v="525000"/>
    <n v="350000"/>
    <n v="175000"/>
  </r>
  <r>
    <s v="TRX-202508-0759"/>
    <x v="214"/>
    <s v="CUST007"/>
    <s v="PRD005"/>
    <n v="7"/>
    <n v="105000"/>
    <n v="735000"/>
    <n v="490000"/>
    <n v="245000"/>
  </r>
  <r>
    <s v="TRX-202508-0760"/>
    <x v="214"/>
    <s v="CUST006"/>
    <s v="PRD011"/>
    <n v="2"/>
    <n v="35000"/>
    <n v="70000"/>
    <n v="44000"/>
    <n v="26000"/>
  </r>
  <r>
    <s v="TRX-202508-0761"/>
    <x v="215"/>
    <s v="CUST007"/>
    <s v="PRD009"/>
    <n v="1"/>
    <n v="52000"/>
    <n v="52000"/>
    <n v="35000"/>
    <n v="17000"/>
  </r>
  <r>
    <s v="TRX-202508-0761"/>
    <x v="215"/>
    <s v="CUST007"/>
    <s v="PRD006"/>
    <n v="8"/>
    <n v="110000"/>
    <n v="880000"/>
    <n v="600000"/>
    <n v="280000"/>
  </r>
  <r>
    <s v="TRX-202508-0761"/>
    <x v="215"/>
    <s v="CUST007"/>
    <s v="PRD004"/>
    <n v="3"/>
    <n v="105000"/>
    <n v="315000"/>
    <n v="210000"/>
    <n v="105000"/>
  </r>
  <r>
    <s v="TRX-202508-0762"/>
    <x v="215"/>
    <s v="CUST004"/>
    <s v="PRD002"/>
    <n v="6"/>
    <n v="70000"/>
    <n v="420000"/>
    <n v="270000"/>
    <n v="150000"/>
  </r>
  <r>
    <s v="TRX-202508-0763"/>
    <x v="216"/>
    <s v="CUST008"/>
    <s v="PRD008"/>
    <n v="1"/>
    <n v="40000"/>
    <n v="40000"/>
    <n v="28000"/>
    <n v="12000"/>
  </r>
  <r>
    <s v="TRX-202508-0763"/>
    <x v="216"/>
    <s v="CUST008"/>
    <s v="PRD001"/>
    <n v="8"/>
    <n v="175000"/>
    <n v="1400000"/>
    <n v="960000"/>
    <n v="440000"/>
  </r>
  <r>
    <s v="TRX-202508-0763"/>
    <x v="216"/>
    <s v="CUST008"/>
    <s v="PRD006"/>
    <n v="6"/>
    <n v="110000"/>
    <n v="660000"/>
    <n v="450000"/>
    <n v="210000"/>
  </r>
  <r>
    <s v="TRX-202508-0764"/>
    <x v="216"/>
    <s v="CUST005"/>
    <s v="PRD002"/>
    <n v="6"/>
    <n v="70000"/>
    <n v="420000"/>
    <n v="270000"/>
    <n v="150000"/>
  </r>
  <r>
    <s v="TRX-202508-0764"/>
    <x v="216"/>
    <s v="CUST005"/>
    <s v="PRD001"/>
    <n v="3"/>
    <n v="175000"/>
    <n v="525000"/>
    <n v="360000"/>
    <n v="165000"/>
  </r>
  <r>
    <s v="TRX-202508-0765"/>
    <x v="217"/>
    <s v="CUST003"/>
    <s v="PRD006"/>
    <n v="7"/>
    <n v="110000"/>
    <n v="770000"/>
    <n v="525000"/>
    <n v="245000"/>
  </r>
  <r>
    <s v="TRX-202508-0766"/>
    <x v="217"/>
    <s v="CUST001"/>
    <s v="PRD012"/>
    <n v="2"/>
    <n v="48000"/>
    <n v="96000"/>
    <n v="64000"/>
    <n v="32000"/>
  </r>
  <r>
    <s v="TRX-202508-0766"/>
    <x v="217"/>
    <s v="CUST001"/>
    <s v="PRD004"/>
    <n v="4"/>
    <n v="105000"/>
    <n v="420000"/>
    <n v="280000"/>
    <n v="140000"/>
  </r>
  <r>
    <s v="TRX-202508-0767"/>
    <x v="217"/>
    <s v="CUST005"/>
    <s v="PRD003"/>
    <n v="7"/>
    <n v="130000"/>
    <n v="910000"/>
    <n v="595000"/>
    <n v="315000"/>
  </r>
  <r>
    <s v="TRX-202508-0768"/>
    <x v="217"/>
    <s v="CUST007"/>
    <s v="PRD006"/>
    <n v="4"/>
    <n v="110000"/>
    <n v="440000"/>
    <n v="300000"/>
    <n v="140000"/>
  </r>
  <r>
    <s v="TRX-202508-0768"/>
    <x v="217"/>
    <s v="CUST007"/>
    <s v="PRD001"/>
    <n v="8"/>
    <n v="175000"/>
    <n v="1400000"/>
    <n v="960000"/>
    <n v="440000"/>
  </r>
  <r>
    <s v="TRX-202508-0768"/>
    <x v="217"/>
    <s v="CUST007"/>
    <s v="PRD003"/>
    <n v="5"/>
    <n v="130000"/>
    <n v="650000"/>
    <n v="425000"/>
    <n v="225000"/>
  </r>
  <r>
    <s v="TRX-202508-0769"/>
    <x v="217"/>
    <s v="CUST002"/>
    <s v="PRD008"/>
    <n v="8"/>
    <n v="40000"/>
    <n v="320000"/>
    <n v="224000"/>
    <n v="96000"/>
  </r>
  <r>
    <s v="TRX-202508-0769"/>
    <x v="217"/>
    <s v="CUST002"/>
    <s v="PRD009"/>
    <n v="3"/>
    <n v="52000"/>
    <n v="156000"/>
    <n v="105000"/>
    <n v="51000"/>
  </r>
  <r>
    <s v="TRX-202508-0770"/>
    <x v="218"/>
    <s v="CUST007"/>
    <s v="PRD010"/>
    <n v="3"/>
    <n v="20000"/>
    <n v="60000"/>
    <n v="36000"/>
    <n v="24000"/>
  </r>
  <r>
    <s v="TRX-202508-0771"/>
    <x v="218"/>
    <s v="CUST003"/>
    <s v="PRD005"/>
    <n v="2"/>
    <n v="105000"/>
    <n v="210000"/>
    <n v="140000"/>
    <n v="70000"/>
  </r>
  <r>
    <s v="TRX-202508-0772"/>
    <x v="219"/>
    <s v="CUST002"/>
    <s v="PRD007"/>
    <n v="7"/>
    <n v="225000"/>
    <n v="1575000"/>
    <n v="1260000"/>
    <n v="315000"/>
  </r>
  <r>
    <s v="TRX-202508-0773"/>
    <x v="219"/>
    <s v="CUST005"/>
    <s v="PRD011"/>
    <n v="6"/>
    <n v="35000"/>
    <n v="210000"/>
    <n v="132000"/>
    <n v="78000"/>
  </r>
  <r>
    <s v="TRX-202508-0773"/>
    <x v="219"/>
    <s v="CUST005"/>
    <s v="PRD004"/>
    <n v="7"/>
    <n v="105000"/>
    <n v="735000"/>
    <n v="490000"/>
    <n v="245000"/>
  </r>
  <r>
    <s v="TRX-202508-0773"/>
    <x v="219"/>
    <s v="CUST005"/>
    <s v="PRD012"/>
    <n v="8"/>
    <n v="48000"/>
    <n v="384000"/>
    <n v="256000"/>
    <n v="128000"/>
  </r>
  <r>
    <s v="TRX-202508-0774"/>
    <x v="219"/>
    <s v="CUST001"/>
    <s v="PRD007"/>
    <n v="5"/>
    <n v="225000"/>
    <n v="1125000"/>
    <n v="900000"/>
    <n v="225000"/>
  </r>
  <r>
    <s v="TRX-202508-0774"/>
    <x v="219"/>
    <s v="CUST001"/>
    <s v="PRD011"/>
    <n v="2"/>
    <n v="35000"/>
    <n v="70000"/>
    <n v="44000"/>
    <n v="26000"/>
  </r>
  <r>
    <s v="TRX-202508-0774"/>
    <x v="219"/>
    <s v="CUST001"/>
    <s v="PRD001"/>
    <n v="5"/>
    <n v="175000"/>
    <n v="875000"/>
    <n v="600000"/>
    <n v="275000"/>
  </r>
  <r>
    <s v="TRX-202508-0775"/>
    <x v="220"/>
    <s v="CUST006"/>
    <s v="PRD012"/>
    <n v="6"/>
    <n v="48000"/>
    <n v="288000"/>
    <n v="192000"/>
    <n v="96000"/>
  </r>
  <r>
    <s v="TRX-202508-0775"/>
    <x v="220"/>
    <s v="CUST006"/>
    <s v="PRD006"/>
    <n v="4"/>
    <n v="110000"/>
    <n v="440000"/>
    <n v="300000"/>
    <n v="140000"/>
  </r>
  <r>
    <s v="TRX-202508-0776"/>
    <x v="220"/>
    <s v="CUST005"/>
    <s v="PRD010"/>
    <n v="7"/>
    <n v="20000"/>
    <n v="140000"/>
    <n v="84000"/>
    <n v="56000"/>
  </r>
  <r>
    <s v="TRX-202508-0777"/>
    <x v="220"/>
    <s v="CUST002"/>
    <s v="PRD003"/>
    <n v="2"/>
    <n v="130000"/>
    <n v="260000"/>
    <n v="170000"/>
    <n v="90000"/>
  </r>
  <r>
    <s v="TRX-202508-0778"/>
    <x v="221"/>
    <s v="CUST007"/>
    <s v="PRD008"/>
    <n v="7"/>
    <n v="40000"/>
    <n v="280000"/>
    <n v="196000"/>
    <n v="84000"/>
  </r>
  <r>
    <s v="TRX-202508-0779"/>
    <x v="221"/>
    <s v="CUST001"/>
    <s v="PRD010"/>
    <n v="5"/>
    <n v="20000"/>
    <n v="100000"/>
    <n v="60000"/>
    <n v="40000"/>
  </r>
  <r>
    <s v="TRX-202508-0780"/>
    <x v="222"/>
    <s v="CUST008"/>
    <s v="PRD012"/>
    <n v="5"/>
    <n v="48000"/>
    <n v="240000"/>
    <n v="160000"/>
    <n v="80000"/>
  </r>
  <r>
    <s v="TRX-202508-0780"/>
    <x v="222"/>
    <s v="CUST008"/>
    <s v="PRD009"/>
    <n v="4"/>
    <n v="52000"/>
    <n v="208000"/>
    <n v="140000"/>
    <n v="68000"/>
  </r>
  <r>
    <s v="TRX-202508-0780"/>
    <x v="222"/>
    <s v="CUST008"/>
    <s v="PRD005"/>
    <n v="5"/>
    <n v="105000"/>
    <n v="525000"/>
    <n v="350000"/>
    <n v="175000"/>
  </r>
  <r>
    <s v="TRX-202508-0781"/>
    <x v="222"/>
    <s v="CUST005"/>
    <s v="PRD002"/>
    <n v="1"/>
    <n v="70000"/>
    <n v="70000"/>
    <n v="45000"/>
    <n v="25000"/>
  </r>
  <r>
    <s v="TRX-202508-0781"/>
    <x v="222"/>
    <s v="CUST005"/>
    <s v="PRD003"/>
    <n v="4"/>
    <n v="130000"/>
    <n v="520000"/>
    <n v="340000"/>
    <n v="180000"/>
  </r>
  <r>
    <s v="TRX-202508-0781"/>
    <x v="222"/>
    <s v="CUST005"/>
    <s v="PRD004"/>
    <n v="5"/>
    <n v="105000"/>
    <n v="525000"/>
    <n v="350000"/>
    <n v="175000"/>
  </r>
  <r>
    <s v="TRX-202508-0782"/>
    <x v="223"/>
    <s v="CUST006"/>
    <s v="PRD011"/>
    <n v="1"/>
    <n v="35000"/>
    <n v="35000"/>
    <n v="22000"/>
    <n v="13000"/>
  </r>
  <r>
    <s v="TRX-202508-0783"/>
    <x v="223"/>
    <s v="CUST006"/>
    <s v="PRD012"/>
    <n v="5"/>
    <n v="48000"/>
    <n v="240000"/>
    <n v="160000"/>
    <n v="80000"/>
  </r>
  <r>
    <s v="TRX-202508-0784"/>
    <x v="223"/>
    <s v="CUST003"/>
    <s v="PRD001"/>
    <n v="2"/>
    <n v="175000"/>
    <n v="350000"/>
    <n v="240000"/>
    <n v="110000"/>
  </r>
  <r>
    <s v="TRX-202508-0784"/>
    <x v="223"/>
    <s v="CUST003"/>
    <s v="PRD009"/>
    <n v="7"/>
    <n v="52000"/>
    <n v="364000"/>
    <n v="245000"/>
    <n v="119000"/>
  </r>
  <r>
    <s v="TRX-202508-0785"/>
    <x v="223"/>
    <s v="CUST005"/>
    <s v="PRD011"/>
    <n v="4"/>
    <n v="35000"/>
    <n v="140000"/>
    <n v="88000"/>
    <n v="52000"/>
  </r>
  <r>
    <s v="TRX-202508-0785"/>
    <x v="223"/>
    <s v="CUST005"/>
    <s v="PRD010"/>
    <n v="8"/>
    <n v="20000"/>
    <n v="160000"/>
    <n v="96000"/>
    <n v="64000"/>
  </r>
  <r>
    <s v="TRX-202508-0785"/>
    <x v="223"/>
    <s v="CUST005"/>
    <s v="PRD009"/>
    <n v="4"/>
    <n v="52000"/>
    <n v="208000"/>
    <n v="140000"/>
    <n v="68000"/>
  </r>
  <r>
    <s v="TRX-202508-0786"/>
    <x v="224"/>
    <s v="CUST002"/>
    <s v="PRD002"/>
    <n v="7"/>
    <n v="70000"/>
    <n v="490000"/>
    <n v="315000"/>
    <n v="175000"/>
  </r>
  <r>
    <s v="TRX-202508-0787"/>
    <x v="224"/>
    <s v="CUST004"/>
    <s v="PRD011"/>
    <n v="2"/>
    <n v="35000"/>
    <n v="70000"/>
    <n v="44000"/>
    <n v="26000"/>
  </r>
  <r>
    <s v="TRX-202508-0787"/>
    <x v="224"/>
    <s v="CUST004"/>
    <s v="PRD007"/>
    <n v="3"/>
    <n v="225000"/>
    <n v="675000"/>
    <n v="540000"/>
    <n v="135000"/>
  </r>
  <r>
    <s v="TRX-202508-0788"/>
    <x v="224"/>
    <s v="CUST001"/>
    <s v="PRD002"/>
    <n v="1"/>
    <n v="70000"/>
    <n v="70000"/>
    <n v="45000"/>
    <n v="25000"/>
  </r>
  <r>
    <s v="TRX-202508-0788"/>
    <x v="224"/>
    <s v="CUST001"/>
    <s v="PRD007"/>
    <n v="2"/>
    <n v="225000"/>
    <n v="450000"/>
    <n v="360000"/>
    <n v="90000"/>
  </r>
  <r>
    <s v="TRX-202508-0788"/>
    <x v="224"/>
    <s v="CUST001"/>
    <s v="PRD011"/>
    <n v="1"/>
    <n v="35000"/>
    <n v="35000"/>
    <n v="22000"/>
    <n v="13000"/>
  </r>
  <r>
    <s v="TRX-202508-0789"/>
    <x v="225"/>
    <s v="CUST002"/>
    <s v="PRD001"/>
    <n v="2"/>
    <n v="175000"/>
    <n v="350000"/>
    <n v="240000"/>
    <n v="110000"/>
  </r>
  <r>
    <s v="TRX-202508-0790"/>
    <x v="225"/>
    <s v="CUST005"/>
    <s v="PRD009"/>
    <n v="7"/>
    <n v="52000"/>
    <n v="364000"/>
    <n v="245000"/>
    <n v="119000"/>
  </r>
  <r>
    <s v="TRX-202508-0791"/>
    <x v="225"/>
    <s v="CUST003"/>
    <s v="PRD004"/>
    <n v="1"/>
    <n v="105000"/>
    <n v="105000"/>
    <n v="70000"/>
    <n v="35000"/>
  </r>
  <r>
    <s v="TRX-202508-0792"/>
    <x v="225"/>
    <s v="CUST004"/>
    <s v="PRD007"/>
    <n v="6"/>
    <n v="225000"/>
    <n v="1350000"/>
    <n v="1080000"/>
    <n v="270000"/>
  </r>
  <r>
    <s v="TRX-202508-0792"/>
    <x v="225"/>
    <s v="CUST004"/>
    <s v="PRD003"/>
    <n v="5"/>
    <n v="130000"/>
    <n v="650000"/>
    <n v="425000"/>
    <n v="225000"/>
  </r>
  <r>
    <s v="TRX-202508-0793"/>
    <x v="226"/>
    <s v="CUST003"/>
    <s v="PRD011"/>
    <n v="5"/>
    <n v="35000"/>
    <n v="175000"/>
    <n v="110000"/>
    <n v="65000"/>
  </r>
  <r>
    <s v="TRX-202508-0793"/>
    <x v="226"/>
    <s v="CUST003"/>
    <s v="PRD005"/>
    <n v="6"/>
    <n v="105000"/>
    <n v="630000"/>
    <n v="420000"/>
    <n v="210000"/>
  </r>
  <r>
    <s v="TRX-202508-0793"/>
    <x v="226"/>
    <s v="CUST003"/>
    <s v="PRD010"/>
    <n v="2"/>
    <n v="20000"/>
    <n v="40000"/>
    <n v="24000"/>
    <n v="16000"/>
  </r>
  <r>
    <s v="TRX-202508-0794"/>
    <x v="226"/>
    <s v="CUST005"/>
    <s v="PRD011"/>
    <n v="5"/>
    <n v="35000"/>
    <n v="175000"/>
    <n v="110000"/>
    <n v="65000"/>
  </r>
  <r>
    <s v="TRX-202508-0794"/>
    <x v="226"/>
    <s v="CUST005"/>
    <s v="PRD006"/>
    <n v="2"/>
    <n v="110000"/>
    <n v="220000"/>
    <n v="150000"/>
    <n v="70000"/>
  </r>
  <r>
    <s v="TRX-202508-0795"/>
    <x v="226"/>
    <s v="CUST001"/>
    <s v="PRD011"/>
    <n v="3"/>
    <n v="35000"/>
    <n v="105000"/>
    <n v="66000"/>
    <n v="39000"/>
  </r>
  <r>
    <s v="TRX-202508-0796"/>
    <x v="226"/>
    <s v="CUST006"/>
    <s v="PRD007"/>
    <n v="8"/>
    <n v="225000"/>
    <n v="1800000"/>
    <n v="1440000"/>
    <n v="360000"/>
  </r>
  <r>
    <s v="TRX-202508-0797"/>
    <x v="226"/>
    <s v="CUST008"/>
    <s v="PRD002"/>
    <n v="7"/>
    <n v="70000"/>
    <n v="490000"/>
    <n v="315000"/>
    <n v="175000"/>
  </r>
  <r>
    <s v="TRX-202508-0798"/>
    <x v="227"/>
    <s v="CUST007"/>
    <s v="PRD010"/>
    <n v="7"/>
    <n v="20000"/>
    <n v="140000"/>
    <n v="84000"/>
    <n v="56000"/>
  </r>
  <r>
    <s v="TRX-202508-0799"/>
    <x v="227"/>
    <s v="CUST004"/>
    <s v="PRD002"/>
    <n v="1"/>
    <n v="70000"/>
    <n v="70000"/>
    <n v="45000"/>
    <n v="25000"/>
  </r>
  <r>
    <s v="TRX-202508-0799"/>
    <x v="227"/>
    <s v="CUST004"/>
    <s v="PRD004"/>
    <n v="4"/>
    <n v="105000"/>
    <n v="420000"/>
    <n v="280000"/>
    <n v="140000"/>
  </r>
  <r>
    <s v="TRX-202508-0799"/>
    <x v="227"/>
    <s v="CUST004"/>
    <s v="PRD006"/>
    <n v="1"/>
    <n v="110000"/>
    <n v="110000"/>
    <n v="75000"/>
    <n v="35000"/>
  </r>
  <r>
    <s v="TRX-202508-0800"/>
    <x v="227"/>
    <s v="CUST006"/>
    <s v="PRD008"/>
    <n v="1"/>
    <n v="40000"/>
    <n v="40000"/>
    <n v="28000"/>
    <n v="12000"/>
  </r>
  <r>
    <s v="TRX-202508-0800"/>
    <x v="227"/>
    <s v="CUST006"/>
    <s v="PRD003"/>
    <n v="6"/>
    <n v="130000"/>
    <n v="780000"/>
    <n v="510000"/>
    <n v="270000"/>
  </r>
  <r>
    <s v="TRX-202508-0800"/>
    <x v="227"/>
    <s v="CUST006"/>
    <s v="PRD002"/>
    <n v="6"/>
    <n v="70000"/>
    <n v="420000"/>
    <n v="270000"/>
    <n v="150000"/>
  </r>
  <r>
    <s v="TRX-202508-0801"/>
    <x v="228"/>
    <s v="CUST001"/>
    <s v="PRD006"/>
    <n v="3"/>
    <n v="110000"/>
    <n v="330000"/>
    <n v="225000"/>
    <n v="105000"/>
  </r>
  <r>
    <s v="TRX-202508-0802"/>
    <x v="228"/>
    <s v="CUST002"/>
    <s v="PRD002"/>
    <n v="1"/>
    <n v="70000"/>
    <n v="70000"/>
    <n v="45000"/>
    <n v="25000"/>
  </r>
  <r>
    <s v="TRX-202508-0803"/>
    <x v="228"/>
    <s v="CUST007"/>
    <s v="PRD003"/>
    <n v="8"/>
    <n v="130000"/>
    <n v="1040000"/>
    <n v="680000"/>
    <n v="360000"/>
  </r>
  <r>
    <s v="TRX-202508-0804"/>
    <x v="229"/>
    <s v="CUST005"/>
    <s v="PRD004"/>
    <n v="5"/>
    <n v="105000"/>
    <n v="525000"/>
    <n v="350000"/>
    <n v="175000"/>
  </r>
  <r>
    <s v="TRX-202508-0804"/>
    <x v="229"/>
    <s v="CUST005"/>
    <s v="PRD007"/>
    <n v="2"/>
    <n v="225000"/>
    <n v="450000"/>
    <n v="360000"/>
    <n v="90000"/>
  </r>
  <r>
    <s v="TRX-202508-0804"/>
    <x v="229"/>
    <s v="CUST005"/>
    <s v="PRD003"/>
    <n v="7"/>
    <n v="130000"/>
    <n v="910000"/>
    <n v="595000"/>
    <n v="315000"/>
  </r>
  <r>
    <s v="TRX-202508-0805"/>
    <x v="229"/>
    <s v="CUST003"/>
    <s v="PRD004"/>
    <n v="1"/>
    <n v="105000"/>
    <n v="105000"/>
    <n v="70000"/>
    <n v="35000"/>
  </r>
  <r>
    <s v="TRX-202508-0805"/>
    <x v="229"/>
    <s v="CUST003"/>
    <s v="PRD007"/>
    <n v="4"/>
    <n v="225000"/>
    <n v="900000"/>
    <n v="720000"/>
    <n v="180000"/>
  </r>
  <r>
    <s v="TRX-202508-0805"/>
    <x v="229"/>
    <s v="CUST003"/>
    <s v="PRD010"/>
    <n v="7"/>
    <n v="20000"/>
    <n v="140000"/>
    <n v="84000"/>
    <n v="56000"/>
  </r>
  <r>
    <s v="TRX-202508-0806"/>
    <x v="229"/>
    <s v="CUST003"/>
    <s v="PRD009"/>
    <n v="8"/>
    <n v="52000"/>
    <n v="416000"/>
    <n v="280000"/>
    <n v="136000"/>
  </r>
  <r>
    <s v="TRX-202508-0806"/>
    <x v="229"/>
    <s v="CUST003"/>
    <s v="PRD010"/>
    <n v="8"/>
    <n v="20000"/>
    <n v="160000"/>
    <n v="96000"/>
    <n v="64000"/>
  </r>
  <r>
    <s v="TRX-202508-0806"/>
    <x v="229"/>
    <s v="CUST003"/>
    <s v="PRD002"/>
    <n v="6"/>
    <n v="70000"/>
    <n v="420000"/>
    <n v="270000"/>
    <n v="150000"/>
  </r>
  <r>
    <s v="TRX-202508-0807"/>
    <x v="229"/>
    <s v="CUST007"/>
    <s v="PRD003"/>
    <n v="6"/>
    <n v="130000"/>
    <n v="780000"/>
    <n v="510000"/>
    <n v="270000"/>
  </r>
  <r>
    <s v="TRX-202508-0807"/>
    <x v="229"/>
    <s v="CUST007"/>
    <s v="PRD001"/>
    <n v="7"/>
    <n v="175000"/>
    <n v="1225000"/>
    <n v="840000"/>
    <n v="385000"/>
  </r>
  <r>
    <s v="TRX-202508-0808"/>
    <x v="230"/>
    <s v="CUST001"/>
    <s v="PRD006"/>
    <n v="2"/>
    <n v="110000"/>
    <n v="220000"/>
    <n v="150000"/>
    <n v="70000"/>
  </r>
  <r>
    <s v="TRX-202508-0809"/>
    <x v="230"/>
    <s v="CUST005"/>
    <s v="PRD006"/>
    <n v="5"/>
    <n v="110000"/>
    <n v="550000"/>
    <n v="375000"/>
    <n v="175000"/>
  </r>
  <r>
    <s v="TRX-202508-0810"/>
    <x v="230"/>
    <s v="CUST007"/>
    <s v="PRD004"/>
    <n v="6"/>
    <n v="105000"/>
    <n v="630000"/>
    <n v="420000"/>
    <n v="210000"/>
  </r>
  <r>
    <s v="TRX-202508-0810"/>
    <x v="230"/>
    <s v="CUST007"/>
    <s v="PRD006"/>
    <n v="3"/>
    <n v="110000"/>
    <n v="330000"/>
    <n v="225000"/>
    <n v="105000"/>
  </r>
  <r>
    <s v="TRX-202508-0810"/>
    <x v="230"/>
    <s v="CUST007"/>
    <s v="PRD007"/>
    <n v="2"/>
    <n v="225000"/>
    <n v="450000"/>
    <n v="360000"/>
    <n v="90000"/>
  </r>
  <r>
    <s v="TRX-202508-0811"/>
    <x v="230"/>
    <s v="CUST006"/>
    <s v="PRD012"/>
    <n v="2"/>
    <n v="48000"/>
    <n v="96000"/>
    <n v="64000"/>
    <n v="32000"/>
  </r>
  <r>
    <s v="TRX-202508-0811"/>
    <x v="230"/>
    <s v="CUST006"/>
    <s v="PRD009"/>
    <n v="3"/>
    <n v="52000"/>
    <n v="156000"/>
    <n v="105000"/>
    <n v="51000"/>
  </r>
  <r>
    <s v="TRX-202508-0812"/>
    <x v="230"/>
    <s v="CUST001"/>
    <s v="PRD007"/>
    <n v="1"/>
    <n v="225000"/>
    <n v="225000"/>
    <n v="180000"/>
    <n v="45000"/>
  </r>
  <r>
    <s v="TRX-202508-0812"/>
    <x v="230"/>
    <s v="CUST001"/>
    <s v="PRD008"/>
    <n v="5"/>
    <n v="40000"/>
    <n v="200000"/>
    <n v="140000"/>
    <n v="60000"/>
  </r>
  <r>
    <s v="TRX-202508-0812"/>
    <x v="230"/>
    <s v="CUST001"/>
    <s v="PRD010"/>
    <n v="3"/>
    <n v="20000"/>
    <n v="60000"/>
    <n v="36000"/>
    <n v="24000"/>
  </r>
  <r>
    <s v="TRX-202508-0813"/>
    <x v="231"/>
    <s v="CUST001"/>
    <s v="PRD011"/>
    <n v="4"/>
    <n v="35000"/>
    <n v="140000"/>
    <n v="88000"/>
    <n v="52000"/>
  </r>
  <r>
    <s v="TRX-202508-0813"/>
    <x v="231"/>
    <s v="CUST001"/>
    <s v="PRD007"/>
    <n v="2"/>
    <n v="225000"/>
    <n v="450000"/>
    <n v="360000"/>
    <n v="90000"/>
  </r>
  <r>
    <s v="TRX-202508-0813"/>
    <x v="231"/>
    <s v="CUST001"/>
    <s v="PRD004"/>
    <n v="3"/>
    <n v="105000"/>
    <n v="315000"/>
    <n v="210000"/>
    <n v="105000"/>
  </r>
  <r>
    <s v="TRX-202508-0814"/>
    <x v="231"/>
    <s v="CUST008"/>
    <s v="PRD001"/>
    <n v="3"/>
    <n v="175000"/>
    <n v="525000"/>
    <n v="360000"/>
    <n v="165000"/>
  </r>
  <r>
    <s v="TRX-202508-0815"/>
    <x v="231"/>
    <s v="CUST005"/>
    <s v="PRD002"/>
    <n v="8"/>
    <n v="70000"/>
    <n v="560000"/>
    <n v="360000"/>
    <n v="200000"/>
  </r>
  <r>
    <s v="TRX-202508-0815"/>
    <x v="231"/>
    <s v="CUST005"/>
    <s v="PRD008"/>
    <n v="6"/>
    <n v="40000"/>
    <n v="240000"/>
    <n v="168000"/>
    <n v="72000"/>
  </r>
  <r>
    <s v="TRX-202508-0815"/>
    <x v="231"/>
    <s v="CUST005"/>
    <s v="PRD012"/>
    <n v="3"/>
    <n v="48000"/>
    <n v="144000"/>
    <n v="96000"/>
    <n v="48000"/>
  </r>
  <r>
    <s v="TRX-202508-0816"/>
    <x v="231"/>
    <s v="CUST005"/>
    <s v="PRD002"/>
    <n v="5"/>
    <n v="70000"/>
    <n v="350000"/>
    <n v="225000"/>
    <n v="125000"/>
  </r>
  <r>
    <s v="TRX-202508-0817"/>
    <x v="231"/>
    <s v="CUST006"/>
    <s v="PRD002"/>
    <n v="3"/>
    <n v="70000"/>
    <n v="210000"/>
    <n v="135000"/>
    <n v="75000"/>
  </r>
  <r>
    <s v="TRX-202508-0817"/>
    <x v="231"/>
    <s v="CUST006"/>
    <s v="PRD012"/>
    <n v="8"/>
    <n v="48000"/>
    <n v="384000"/>
    <n v="256000"/>
    <n v="128000"/>
  </r>
  <r>
    <s v="TRX-202508-0818"/>
    <x v="232"/>
    <s v="CUST005"/>
    <s v="PRD001"/>
    <n v="4"/>
    <n v="175000"/>
    <n v="700000"/>
    <n v="480000"/>
    <n v="220000"/>
  </r>
  <r>
    <s v="TRX-202508-0818"/>
    <x v="232"/>
    <s v="CUST005"/>
    <s v="PRD010"/>
    <n v="1"/>
    <n v="20000"/>
    <n v="20000"/>
    <n v="12000"/>
    <n v="8000"/>
  </r>
  <r>
    <s v="TRX-202508-0818"/>
    <x v="232"/>
    <s v="CUST005"/>
    <s v="PRD012"/>
    <n v="3"/>
    <n v="48000"/>
    <n v="144000"/>
    <n v="96000"/>
    <n v="48000"/>
  </r>
  <r>
    <s v="TRX-202508-0819"/>
    <x v="232"/>
    <s v="CUST002"/>
    <s v="PRD007"/>
    <n v="7"/>
    <n v="225000"/>
    <n v="1575000"/>
    <n v="1260000"/>
    <n v="315000"/>
  </r>
  <r>
    <s v="TRX-202508-0819"/>
    <x v="232"/>
    <s v="CUST002"/>
    <s v="PRD003"/>
    <n v="2"/>
    <n v="130000"/>
    <n v="260000"/>
    <n v="170000"/>
    <n v="90000"/>
  </r>
  <r>
    <s v="TRX-202508-0820"/>
    <x v="232"/>
    <s v="CUST004"/>
    <s v="PRD008"/>
    <n v="2"/>
    <n v="40000"/>
    <n v="80000"/>
    <n v="56000"/>
    <n v="24000"/>
  </r>
  <r>
    <s v="TRX-202508-0820"/>
    <x v="232"/>
    <s v="CUST004"/>
    <s v="PRD011"/>
    <n v="6"/>
    <n v="35000"/>
    <n v="210000"/>
    <n v="132000"/>
    <n v="78000"/>
  </r>
  <r>
    <s v="TRX-202508-0821"/>
    <x v="232"/>
    <s v="CUST008"/>
    <s v="PRD011"/>
    <n v="8"/>
    <n v="35000"/>
    <n v="280000"/>
    <n v="176000"/>
    <n v="104000"/>
  </r>
  <r>
    <s v="TRX-202508-0821"/>
    <x v="232"/>
    <s v="CUST008"/>
    <s v="PRD009"/>
    <n v="2"/>
    <n v="52000"/>
    <n v="104000"/>
    <n v="70000"/>
    <n v="34000"/>
  </r>
  <r>
    <s v="TRX-202508-0822"/>
    <x v="232"/>
    <s v="CUST002"/>
    <s v="PRD012"/>
    <n v="2"/>
    <n v="48000"/>
    <n v="96000"/>
    <n v="64000"/>
    <n v="32000"/>
  </r>
  <r>
    <s v="TRX-202508-0823"/>
    <x v="233"/>
    <s v="CUST004"/>
    <s v="PRD004"/>
    <n v="1"/>
    <n v="105000"/>
    <n v="105000"/>
    <n v="70000"/>
    <n v="35000"/>
  </r>
  <r>
    <s v="TRX-202508-0824"/>
    <x v="233"/>
    <s v="CUST007"/>
    <s v="PRD005"/>
    <n v="3"/>
    <n v="105000"/>
    <n v="315000"/>
    <n v="210000"/>
    <n v="105000"/>
  </r>
  <r>
    <s v="TRX-202508-0824"/>
    <x v="233"/>
    <s v="CUST007"/>
    <s v="PRD011"/>
    <n v="2"/>
    <n v="35000"/>
    <n v="70000"/>
    <n v="44000"/>
    <n v="26000"/>
  </r>
  <r>
    <s v="TRX-202508-0825"/>
    <x v="233"/>
    <s v="CUST003"/>
    <s v="PRD005"/>
    <n v="7"/>
    <n v="105000"/>
    <n v="735000"/>
    <n v="490000"/>
    <n v="245000"/>
  </r>
  <r>
    <s v="TRX-202508-0826"/>
    <x v="233"/>
    <s v="CUST002"/>
    <s v="PRD012"/>
    <n v="7"/>
    <n v="48000"/>
    <n v="336000"/>
    <n v="224000"/>
    <n v="112000"/>
  </r>
  <r>
    <s v="TRX-202508-0826"/>
    <x v="233"/>
    <s v="CUST002"/>
    <s v="PRD008"/>
    <n v="4"/>
    <n v="40000"/>
    <n v="160000"/>
    <n v="112000"/>
    <n v="48000"/>
  </r>
  <r>
    <s v="TRX-202508-0827"/>
    <x v="233"/>
    <s v="CUST005"/>
    <s v="PRD001"/>
    <n v="2"/>
    <n v="175000"/>
    <n v="350000"/>
    <n v="240000"/>
    <n v="110000"/>
  </r>
  <r>
    <s v="TRX-202508-0828"/>
    <x v="234"/>
    <s v="CUST001"/>
    <s v="PRD008"/>
    <n v="3"/>
    <n v="40000"/>
    <n v="120000"/>
    <n v="84000"/>
    <n v="36000"/>
  </r>
  <r>
    <s v="TRX-202508-0829"/>
    <x v="234"/>
    <s v="CUST008"/>
    <s v="PRD002"/>
    <n v="7"/>
    <n v="70000"/>
    <n v="490000"/>
    <n v="315000"/>
    <n v="175000"/>
  </r>
  <r>
    <s v="TRX-202508-0829"/>
    <x v="234"/>
    <s v="CUST008"/>
    <s v="PRD011"/>
    <n v="5"/>
    <n v="35000"/>
    <n v="175000"/>
    <n v="110000"/>
    <n v="65000"/>
  </r>
  <r>
    <s v="TRX-202508-0830"/>
    <x v="234"/>
    <s v="CUST001"/>
    <s v="PRD003"/>
    <n v="8"/>
    <n v="130000"/>
    <n v="1040000"/>
    <n v="680000"/>
    <n v="360000"/>
  </r>
  <r>
    <s v="TRX-202508-0830"/>
    <x v="234"/>
    <s v="CUST001"/>
    <s v="PRD011"/>
    <n v="2"/>
    <n v="35000"/>
    <n v="70000"/>
    <n v="44000"/>
    <n v="26000"/>
  </r>
  <r>
    <s v="TRX-202508-0831"/>
    <x v="234"/>
    <s v="CUST001"/>
    <s v="PRD012"/>
    <n v="4"/>
    <n v="48000"/>
    <n v="192000"/>
    <n v="128000"/>
    <n v="64000"/>
  </r>
  <r>
    <s v="TRX-202508-0832"/>
    <x v="235"/>
    <s v="CUST006"/>
    <s v="PRD003"/>
    <n v="8"/>
    <n v="130000"/>
    <n v="1040000"/>
    <n v="680000"/>
    <n v="360000"/>
  </r>
  <r>
    <s v="TRX-202508-0833"/>
    <x v="235"/>
    <s v="CUST007"/>
    <s v="PRD003"/>
    <n v="3"/>
    <n v="130000"/>
    <n v="390000"/>
    <n v="255000"/>
    <n v="135000"/>
  </r>
  <r>
    <s v="TRX-202508-0833"/>
    <x v="235"/>
    <s v="CUST007"/>
    <s v="PRD009"/>
    <n v="7"/>
    <n v="52000"/>
    <n v="364000"/>
    <n v="245000"/>
    <n v="119000"/>
  </r>
  <r>
    <s v="TRX-202508-0834"/>
    <x v="235"/>
    <s v="CUST007"/>
    <s v="PRD011"/>
    <n v="7"/>
    <n v="35000"/>
    <n v="245000"/>
    <n v="154000"/>
    <n v="91000"/>
  </r>
  <r>
    <s v="TRX-202508-0834"/>
    <x v="235"/>
    <s v="CUST007"/>
    <s v="PRD012"/>
    <n v="5"/>
    <n v="48000"/>
    <n v="240000"/>
    <n v="160000"/>
    <n v="80000"/>
  </r>
  <r>
    <s v="TRX-202508-0835"/>
    <x v="235"/>
    <s v="CUST002"/>
    <s v="PRD002"/>
    <n v="2"/>
    <n v="70000"/>
    <n v="140000"/>
    <n v="90000"/>
    <n v="50000"/>
  </r>
  <r>
    <s v="TRX-202508-0836"/>
    <x v="235"/>
    <s v="CUST001"/>
    <s v="PRD007"/>
    <n v="2"/>
    <n v="225000"/>
    <n v="450000"/>
    <n v="360000"/>
    <n v="90000"/>
  </r>
  <r>
    <s v="TRX-202508-0836"/>
    <x v="235"/>
    <s v="CUST001"/>
    <s v="PRD002"/>
    <n v="8"/>
    <n v="70000"/>
    <n v="560000"/>
    <n v="360000"/>
    <n v="200000"/>
  </r>
  <r>
    <s v="TRX-202508-0836"/>
    <x v="235"/>
    <s v="CUST001"/>
    <s v="PRD008"/>
    <n v="1"/>
    <n v="40000"/>
    <n v="40000"/>
    <n v="28000"/>
    <n v="12000"/>
  </r>
  <r>
    <s v="TRX-202508-0837"/>
    <x v="236"/>
    <s v="CUST005"/>
    <s v="PRD011"/>
    <n v="1"/>
    <n v="35000"/>
    <n v="35000"/>
    <n v="22000"/>
    <n v="13000"/>
  </r>
  <r>
    <s v="TRX-202508-0837"/>
    <x v="236"/>
    <s v="CUST005"/>
    <s v="PRD004"/>
    <n v="7"/>
    <n v="105000"/>
    <n v="735000"/>
    <n v="490000"/>
    <n v="245000"/>
  </r>
  <r>
    <s v="TRX-202508-0838"/>
    <x v="236"/>
    <s v="CUST001"/>
    <s v="PRD001"/>
    <n v="3"/>
    <n v="175000"/>
    <n v="525000"/>
    <n v="360000"/>
    <n v="165000"/>
  </r>
  <r>
    <s v="TRX-202508-0839"/>
    <x v="236"/>
    <s v="CUST006"/>
    <s v="PRD012"/>
    <n v="6"/>
    <n v="48000"/>
    <n v="288000"/>
    <n v="192000"/>
    <n v="96000"/>
  </r>
  <r>
    <s v="TRX-202508-0839"/>
    <x v="236"/>
    <s v="CUST006"/>
    <s v="PRD010"/>
    <n v="3"/>
    <n v="20000"/>
    <n v="60000"/>
    <n v="36000"/>
    <n v="24000"/>
  </r>
  <r>
    <s v="TRX-202508-0839"/>
    <x v="236"/>
    <s v="CUST006"/>
    <s v="PRD006"/>
    <n v="7"/>
    <n v="110000"/>
    <n v="770000"/>
    <n v="525000"/>
    <n v="245000"/>
  </r>
  <r>
    <s v="TRX-202508-0840"/>
    <x v="236"/>
    <s v="CUST004"/>
    <s v="PRD007"/>
    <n v="7"/>
    <n v="225000"/>
    <n v="1575000"/>
    <n v="1260000"/>
    <n v="315000"/>
  </r>
  <r>
    <s v="TRX-202508-0840"/>
    <x v="236"/>
    <s v="CUST004"/>
    <s v="PRD004"/>
    <n v="1"/>
    <n v="105000"/>
    <n v="105000"/>
    <n v="70000"/>
    <n v="35000"/>
  </r>
  <r>
    <s v="TRX-202508-0840"/>
    <x v="236"/>
    <s v="CUST004"/>
    <s v="PRD010"/>
    <n v="7"/>
    <n v="20000"/>
    <n v="140000"/>
    <n v="84000"/>
    <n v="56000"/>
  </r>
  <r>
    <s v="TRX-202508-0841"/>
    <x v="237"/>
    <s v="CUST001"/>
    <s v="PRD012"/>
    <n v="7"/>
    <n v="48000"/>
    <n v="336000"/>
    <n v="224000"/>
    <n v="112000"/>
  </r>
  <r>
    <s v="TRX-202508-0841"/>
    <x v="237"/>
    <s v="CUST001"/>
    <s v="PRD009"/>
    <n v="1"/>
    <n v="52000"/>
    <n v="52000"/>
    <n v="35000"/>
    <n v="17000"/>
  </r>
  <r>
    <s v="TRX-202508-0841"/>
    <x v="237"/>
    <s v="CUST001"/>
    <s v="PRD002"/>
    <n v="3"/>
    <n v="70000"/>
    <n v="210000"/>
    <n v="135000"/>
    <n v="75000"/>
  </r>
  <r>
    <s v="TRX-202508-0842"/>
    <x v="237"/>
    <s v="CUST008"/>
    <s v="PRD011"/>
    <n v="4"/>
    <n v="35000"/>
    <n v="140000"/>
    <n v="88000"/>
    <n v="52000"/>
  </r>
  <r>
    <s v="TRX-202508-0842"/>
    <x v="237"/>
    <s v="CUST008"/>
    <s v="PRD006"/>
    <n v="4"/>
    <n v="110000"/>
    <n v="440000"/>
    <n v="300000"/>
    <n v="140000"/>
  </r>
  <r>
    <s v="TRX-202508-0842"/>
    <x v="237"/>
    <s v="CUST008"/>
    <s v="PRD003"/>
    <n v="5"/>
    <n v="130000"/>
    <n v="650000"/>
    <n v="425000"/>
    <n v="225000"/>
  </r>
  <r>
    <s v="TRX-202508-0843"/>
    <x v="237"/>
    <s v="CUST004"/>
    <s v="PRD004"/>
    <n v="1"/>
    <n v="105000"/>
    <n v="105000"/>
    <n v="70000"/>
    <n v="35000"/>
  </r>
  <r>
    <s v="TRX-202508-0843"/>
    <x v="237"/>
    <s v="CUST004"/>
    <s v="PRD007"/>
    <n v="5"/>
    <n v="225000"/>
    <n v="1125000"/>
    <n v="900000"/>
    <n v="225000"/>
  </r>
  <r>
    <s v="TRX-202508-0843"/>
    <x v="237"/>
    <s v="CUST004"/>
    <s v="PRD005"/>
    <n v="2"/>
    <n v="105000"/>
    <n v="210000"/>
    <n v="140000"/>
    <n v="70000"/>
  </r>
  <r>
    <s v="TRX-202508-0844"/>
    <x v="238"/>
    <s v="CUST008"/>
    <s v="PRD003"/>
    <n v="5"/>
    <n v="130000"/>
    <n v="650000"/>
    <n v="425000"/>
    <n v="225000"/>
  </r>
  <r>
    <s v="TRX-202508-0845"/>
    <x v="238"/>
    <s v="CUST001"/>
    <s v="PRD011"/>
    <n v="1"/>
    <n v="35000"/>
    <n v="35000"/>
    <n v="22000"/>
    <n v="13000"/>
  </r>
  <r>
    <s v="TRX-202508-0846"/>
    <x v="238"/>
    <s v="CUST002"/>
    <s v="PRD006"/>
    <n v="1"/>
    <n v="110000"/>
    <n v="110000"/>
    <n v="75000"/>
    <n v="35000"/>
  </r>
  <r>
    <s v="TRX-202508-0846"/>
    <x v="238"/>
    <s v="CUST002"/>
    <s v="PRD008"/>
    <n v="3"/>
    <n v="40000"/>
    <n v="120000"/>
    <n v="84000"/>
    <n v="36000"/>
  </r>
  <r>
    <s v="TRX-202508-0847"/>
    <x v="238"/>
    <s v="CUST005"/>
    <s v="PRD004"/>
    <n v="1"/>
    <n v="105000"/>
    <n v="105000"/>
    <n v="70000"/>
    <n v="35000"/>
  </r>
  <r>
    <s v="TRX-202508-0848"/>
    <x v="239"/>
    <s v="CUST004"/>
    <s v="PRD003"/>
    <n v="5"/>
    <n v="130000"/>
    <n v="650000"/>
    <n v="425000"/>
    <n v="225000"/>
  </r>
  <r>
    <s v="TRX-202508-0848"/>
    <x v="239"/>
    <s v="CUST004"/>
    <s v="PRD004"/>
    <n v="7"/>
    <n v="105000"/>
    <n v="735000"/>
    <n v="490000"/>
    <n v="245000"/>
  </r>
  <r>
    <s v="TRX-202508-0849"/>
    <x v="239"/>
    <s v="CUST002"/>
    <s v="PRD010"/>
    <n v="4"/>
    <n v="20000"/>
    <n v="80000"/>
    <n v="48000"/>
    <n v="32000"/>
  </r>
  <r>
    <s v="TRX-202508-0849"/>
    <x v="239"/>
    <s v="CUST002"/>
    <s v="PRD005"/>
    <n v="8"/>
    <n v="105000"/>
    <n v="840000"/>
    <n v="560000"/>
    <n v="280000"/>
  </r>
  <r>
    <s v="TRX-202508-0849"/>
    <x v="239"/>
    <s v="CUST002"/>
    <s v="PRD003"/>
    <n v="7"/>
    <n v="130000"/>
    <n v="910000"/>
    <n v="595000"/>
    <n v="315000"/>
  </r>
  <r>
    <s v="TRX-202508-0850"/>
    <x v="239"/>
    <s v="CUST008"/>
    <s v="PRD010"/>
    <n v="6"/>
    <n v="20000"/>
    <n v="120000"/>
    <n v="72000"/>
    <n v="48000"/>
  </r>
  <r>
    <s v="TRX-202508-0850"/>
    <x v="239"/>
    <s v="CUST008"/>
    <s v="PRD005"/>
    <n v="2"/>
    <n v="105000"/>
    <n v="210000"/>
    <n v="140000"/>
    <n v="70000"/>
  </r>
  <r>
    <s v="TRX-202508-0851"/>
    <x v="239"/>
    <s v="CUST007"/>
    <s v="PRD004"/>
    <n v="6"/>
    <n v="105000"/>
    <n v="630000"/>
    <n v="420000"/>
    <n v="210000"/>
  </r>
  <r>
    <s v="TRX-202508-0851"/>
    <x v="239"/>
    <s v="CUST007"/>
    <s v="PRD010"/>
    <n v="6"/>
    <n v="20000"/>
    <n v="120000"/>
    <n v="72000"/>
    <n v="48000"/>
  </r>
  <r>
    <s v="TRX-202508-0852"/>
    <x v="239"/>
    <s v="CUST002"/>
    <s v="PRD003"/>
    <n v="5"/>
    <n v="130000"/>
    <n v="650000"/>
    <n v="425000"/>
    <n v="225000"/>
  </r>
  <r>
    <s v="TRX-202508-0852"/>
    <x v="239"/>
    <s v="CUST002"/>
    <s v="PRD001"/>
    <n v="7"/>
    <n v="175000"/>
    <n v="1225000"/>
    <n v="840000"/>
    <n v="385000"/>
  </r>
  <r>
    <s v="TRX-202508-0853"/>
    <x v="240"/>
    <s v="CUST004"/>
    <s v="PRD002"/>
    <n v="4"/>
    <n v="70000"/>
    <n v="280000"/>
    <n v="180000"/>
    <n v="100000"/>
  </r>
  <r>
    <s v="TRX-202508-0853"/>
    <x v="240"/>
    <s v="CUST004"/>
    <s v="PRD007"/>
    <n v="4"/>
    <n v="225000"/>
    <n v="900000"/>
    <n v="720000"/>
    <n v="180000"/>
  </r>
  <r>
    <s v="TRX-202508-0853"/>
    <x v="240"/>
    <s v="CUST004"/>
    <s v="PRD005"/>
    <n v="2"/>
    <n v="105000"/>
    <n v="210000"/>
    <n v="140000"/>
    <n v="70000"/>
  </r>
  <r>
    <s v="TRX-202508-0854"/>
    <x v="240"/>
    <s v="CUST005"/>
    <s v="PRD010"/>
    <n v="7"/>
    <n v="20000"/>
    <n v="140000"/>
    <n v="84000"/>
    <n v="56000"/>
  </r>
  <r>
    <s v="TRX-202508-0854"/>
    <x v="240"/>
    <s v="CUST005"/>
    <s v="PRD011"/>
    <n v="7"/>
    <n v="35000"/>
    <n v="245000"/>
    <n v="154000"/>
    <n v="91000"/>
  </r>
  <r>
    <s v="TRX-202508-0854"/>
    <x v="240"/>
    <s v="CUST005"/>
    <s v="PRD002"/>
    <n v="6"/>
    <n v="70000"/>
    <n v="420000"/>
    <n v="270000"/>
    <n v="150000"/>
  </r>
  <r>
    <s v="TRX-202508-0855"/>
    <x v="240"/>
    <s v="CUST006"/>
    <s v="PRD004"/>
    <n v="1"/>
    <n v="105000"/>
    <n v="105000"/>
    <n v="70000"/>
    <n v="35000"/>
  </r>
  <r>
    <s v="TRX-202508-0856"/>
    <x v="240"/>
    <s v="CUST008"/>
    <s v="PRD001"/>
    <n v="7"/>
    <n v="175000"/>
    <n v="1225000"/>
    <n v="840000"/>
    <n v="385000"/>
  </r>
  <r>
    <s v="TRX-202508-0856"/>
    <x v="240"/>
    <s v="CUST008"/>
    <s v="PRD005"/>
    <n v="2"/>
    <n v="105000"/>
    <n v="210000"/>
    <n v="140000"/>
    <n v="70000"/>
  </r>
  <r>
    <s v="TRX-202508-0857"/>
    <x v="241"/>
    <s v="CUST005"/>
    <s v="PRD006"/>
    <n v="7"/>
    <n v="110000"/>
    <n v="770000"/>
    <n v="525000"/>
    <n v="245000"/>
  </r>
  <r>
    <s v="TRX-202508-0857"/>
    <x v="241"/>
    <s v="CUST005"/>
    <s v="PRD012"/>
    <n v="2"/>
    <n v="48000"/>
    <n v="96000"/>
    <n v="64000"/>
    <n v="32000"/>
  </r>
  <r>
    <s v="TRX-202508-0858"/>
    <x v="241"/>
    <s v="CUST006"/>
    <s v="PRD010"/>
    <n v="7"/>
    <n v="20000"/>
    <n v="140000"/>
    <n v="84000"/>
    <n v="56000"/>
  </r>
  <r>
    <s v="TRX-202508-0858"/>
    <x v="241"/>
    <s v="CUST006"/>
    <s v="PRD001"/>
    <n v="5"/>
    <n v="175000"/>
    <n v="875000"/>
    <n v="600000"/>
    <n v="275000"/>
  </r>
  <r>
    <s v="TRX-202508-0859"/>
    <x v="241"/>
    <s v="CUST008"/>
    <s v="PRD011"/>
    <n v="6"/>
    <n v="35000"/>
    <n v="210000"/>
    <n v="132000"/>
    <n v="78000"/>
  </r>
  <r>
    <s v="TRX-202508-0859"/>
    <x v="241"/>
    <s v="CUST008"/>
    <s v="PRD002"/>
    <n v="2"/>
    <n v="70000"/>
    <n v="140000"/>
    <n v="90000"/>
    <n v="50000"/>
  </r>
  <r>
    <s v="TRX-202508-0860"/>
    <x v="241"/>
    <s v="CUST001"/>
    <s v="PRD001"/>
    <n v="1"/>
    <n v="175000"/>
    <n v="175000"/>
    <n v="120000"/>
    <n v="55000"/>
  </r>
  <r>
    <s v="TRX-202508-0861"/>
    <x v="241"/>
    <s v="CUST003"/>
    <s v="PRD006"/>
    <n v="7"/>
    <n v="110000"/>
    <n v="770000"/>
    <n v="525000"/>
    <n v="245000"/>
  </r>
  <r>
    <s v="TRX-202508-0862"/>
    <x v="242"/>
    <s v="CUST006"/>
    <s v="PRD010"/>
    <n v="7"/>
    <n v="20000"/>
    <n v="140000"/>
    <n v="84000"/>
    <n v="56000"/>
  </r>
  <r>
    <s v="TRX-202508-0863"/>
    <x v="242"/>
    <s v="CUST008"/>
    <s v="PRD002"/>
    <n v="4"/>
    <n v="70000"/>
    <n v="280000"/>
    <n v="180000"/>
    <n v="100000"/>
  </r>
  <r>
    <s v="TRX-202508-0863"/>
    <x v="242"/>
    <s v="CUST008"/>
    <s v="PRD009"/>
    <n v="8"/>
    <n v="52000"/>
    <n v="416000"/>
    <n v="280000"/>
    <n v="136000"/>
  </r>
  <r>
    <s v="TRX-202508-0863"/>
    <x v="242"/>
    <s v="CUST008"/>
    <s v="PRD011"/>
    <n v="8"/>
    <n v="35000"/>
    <n v="280000"/>
    <n v="176000"/>
    <n v="104000"/>
  </r>
  <r>
    <s v="TRX-202508-0864"/>
    <x v="242"/>
    <s v="CUST005"/>
    <s v="PRD012"/>
    <n v="4"/>
    <n v="48000"/>
    <n v="192000"/>
    <n v="128000"/>
    <n v="64000"/>
  </r>
  <r>
    <s v="TRX-202508-0864"/>
    <x v="242"/>
    <s v="CUST005"/>
    <s v="PRD008"/>
    <n v="2"/>
    <n v="40000"/>
    <n v="80000"/>
    <n v="56000"/>
    <n v="24000"/>
  </r>
  <r>
    <s v="TRX-202509-0865"/>
    <x v="243"/>
    <s v="CUST005"/>
    <s v="PRD008"/>
    <n v="2"/>
    <n v="40000"/>
    <n v="80000"/>
    <n v="56000"/>
    <n v="24000"/>
  </r>
  <r>
    <s v="TRX-202509-0865"/>
    <x v="243"/>
    <s v="CUST005"/>
    <s v="PRD011"/>
    <n v="3"/>
    <n v="35000"/>
    <n v="105000"/>
    <n v="66000"/>
    <n v="39000"/>
  </r>
  <r>
    <s v="TRX-202509-0865"/>
    <x v="243"/>
    <s v="CUST005"/>
    <s v="PRD003"/>
    <n v="4"/>
    <n v="130000"/>
    <n v="520000"/>
    <n v="340000"/>
    <n v="180000"/>
  </r>
  <r>
    <s v="TRX-202509-0866"/>
    <x v="243"/>
    <s v="CUST006"/>
    <s v="PRD008"/>
    <n v="4"/>
    <n v="40000"/>
    <n v="160000"/>
    <n v="112000"/>
    <n v="48000"/>
  </r>
  <r>
    <s v="TRX-202509-0866"/>
    <x v="243"/>
    <s v="CUST006"/>
    <s v="PRD010"/>
    <n v="7"/>
    <n v="20000"/>
    <n v="140000"/>
    <n v="84000"/>
    <n v="56000"/>
  </r>
  <r>
    <s v="TRX-202509-0867"/>
    <x v="243"/>
    <s v="CUST004"/>
    <s v="PRD005"/>
    <n v="7"/>
    <n v="105000"/>
    <n v="735000"/>
    <n v="490000"/>
    <n v="245000"/>
  </r>
  <r>
    <s v="TRX-202509-0868"/>
    <x v="243"/>
    <s v="CUST003"/>
    <s v="PRD005"/>
    <n v="3"/>
    <n v="105000"/>
    <n v="315000"/>
    <n v="210000"/>
    <n v="105000"/>
  </r>
  <r>
    <s v="TRX-202509-0868"/>
    <x v="243"/>
    <s v="CUST003"/>
    <s v="PRD010"/>
    <n v="8"/>
    <n v="20000"/>
    <n v="160000"/>
    <n v="96000"/>
    <n v="64000"/>
  </r>
  <r>
    <s v="TRX-202509-0868"/>
    <x v="243"/>
    <s v="CUST003"/>
    <s v="PRD002"/>
    <n v="2"/>
    <n v="70000"/>
    <n v="140000"/>
    <n v="90000"/>
    <n v="50000"/>
  </r>
  <r>
    <s v="TRX-202509-0869"/>
    <x v="244"/>
    <s v="CUST004"/>
    <s v="PRD004"/>
    <n v="3"/>
    <n v="105000"/>
    <n v="315000"/>
    <n v="210000"/>
    <n v="105000"/>
  </r>
  <r>
    <s v="TRX-202509-0869"/>
    <x v="244"/>
    <s v="CUST004"/>
    <s v="PRD007"/>
    <n v="5"/>
    <n v="225000"/>
    <n v="1125000"/>
    <n v="900000"/>
    <n v="225000"/>
  </r>
  <r>
    <s v="TRX-202509-0870"/>
    <x v="244"/>
    <s v="CUST008"/>
    <s v="PRD007"/>
    <n v="4"/>
    <n v="225000"/>
    <n v="900000"/>
    <n v="720000"/>
    <n v="180000"/>
  </r>
  <r>
    <s v="TRX-202509-0870"/>
    <x v="244"/>
    <s v="CUST008"/>
    <s v="PRD002"/>
    <n v="2"/>
    <n v="70000"/>
    <n v="140000"/>
    <n v="90000"/>
    <n v="50000"/>
  </r>
  <r>
    <s v="TRX-202509-0870"/>
    <x v="244"/>
    <s v="CUST008"/>
    <s v="PRD001"/>
    <n v="4"/>
    <n v="175000"/>
    <n v="700000"/>
    <n v="480000"/>
    <n v="220000"/>
  </r>
  <r>
    <s v="TRX-202509-0871"/>
    <x v="244"/>
    <s v="CUST002"/>
    <s v="PRD001"/>
    <n v="5"/>
    <n v="175000"/>
    <n v="875000"/>
    <n v="600000"/>
    <n v="275000"/>
  </r>
  <r>
    <s v="TRX-202509-0872"/>
    <x v="244"/>
    <s v="CUST004"/>
    <s v="PRD009"/>
    <n v="2"/>
    <n v="52000"/>
    <n v="104000"/>
    <n v="70000"/>
    <n v="34000"/>
  </r>
  <r>
    <s v="TRX-202509-0873"/>
    <x v="244"/>
    <s v="CUST005"/>
    <s v="PRD010"/>
    <n v="7"/>
    <n v="20000"/>
    <n v="140000"/>
    <n v="84000"/>
    <n v="56000"/>
  </r>
  <r>
    <s v="TRX-202509-0874"/>
    <x v="245"/>
    <s v="CUST003"/>
    <s v="PRD008"/>
    <n v="1"/>
    <n v="40000"/>
    <n v="40000"/>
    <n v="28000"/>
    <n v="12000"/>
  </r>
  <r>
    <s v="TRX-202509-0874"/>
    <x v="245"/>
    <s v="CUST003"/>
    <s v="PRD003"/>
    <n v="8"/>
    <n v="130000"/>
    <n v="1040000"/>
    <n v="680000"/>
    <n v="360000"/>
  </r>
  <r>
    <s v="TRX-202509-0875"/>
    <x v="245"/>
    <s v="CUST007"/>
    <s v="PRD001"/>
    <n v="5"/>
    <n v="175000"/>
    <n v="875000"/>
    <n v="600000"/>
    <n v="275000"/>
  </r>
  <r>
    <s v="TRX-202509-0875"/>
    <x v="245"/>
    <s v="CUST007"/>
    <s v="PRD003"/>
    <n v="2"/>
    <n v="130000"/>
    <n v="260000"/>
    <n v="170000"/>
    <n v="90000"/>
  </r>
  <r>
    <s v="TRX-202509-0876"/>
    <x v="245"/>
    <s v="CUST003"/>
    <s v="PRD001"/>
    <n v="8"/>
    <n v="175000"/>
    <n v="1400000"/>
    <n v="960000"/>
    <n v="440000"/>
  </r>
  <r>
    <s v="TRX-202509-0876"/>
    <x v="245"/>
    <s v="CUST003"/>
    <s v="PRD010"/>
    <n v="1"/>
    <n v="20000"/>
    <n v="20000"/>
    <n v="12000"/>
    <n v="8000"/>
  </r>
  <r>
    <s v="TRX-202509-0876"/>
    <x v="245"/>
    <s v="CUST003"/>
    <s v="PRD006"/>
    <n v="8"/>
    <n v="110000"/>
    <n v="880000"/>
    <n v="600000"/>
    <n v="280000"/>
  </r>
  <r>
    <s v="TRX-202509-0877"/>
    <x v="246"/>
    <s v="CUST006"/>
    <s v="PRD011"/>
    <n v="2"/>
    <n v="35000"/>
    <n v="70000"/>
    <n v="44000"/>
    <n v="26000"/>
  </r>
  <r>
    <s v="TRX-202509-0877"/>
    <x v="246"/>
    <s v="CUST006"/>
    <s v="PRD010"/>
    <n v="5"/>
    <n v="20000"/>
    <n v="100000"/>
    <n v="60000"/>
    <n v="40000"/>
  </r>
  <r>
    <s v="TRX-202509-0877"/>
    <x v="246"/>
    <s v="CUST006"/>
    <s v="PRD008"/>
    <n v="1"/>
    <n v="40000"/>
    <n v="40000"/>
    <n v="28000"/>
    <n v="12000"/>
  </r>
  <r>
    <s v="TRX-202509-0878"/>
    <x v="246"/>
    <s v="CUST003"/>
    <s v="PRD004"/>
    <n v="3"/>
    <n v="105000"/>
    <n v="315000"/>
    <n v="210000"/>
    <n v="105000"/>
  </r>
  <r>
    <s v="TRX-202509-0878"/>
    <x v="246"/>
    <s v="CUST003"/>
    <s v="PRD011"/>
    <n v="6"/>
    <n v="35000"/>
    <n v="210000"/>
    <n v="132000"/>
    <n v="78000"/>
  </r>
  <r>
    <s v="TRX-202509-0879"/>
    <x v="246"/>
    <s v="CUST008"/>
    <s v="PRD004"/>
    <n v="7"/>
    <n v="105000"/>
    <n v="735000"/>
    <n v="490000"/>
    <n v="245000"/>
  </r>
  <r>
    <s v="TRX-202509-0880"/>
    <x v="246"/>
    <s v="CUST006"/>
    <s v="PRD012"/>
    <n v="2"/>
    <n v="48000"/>
    <n v="96000"/>
    <n v="64000"/>
    <n v="32000"/>
  </r>
  <r>
    <s v="TRX-202509-0881"/>
    <x v="247"/>
    <s v="CUST007"/>
    <s v="PRD010"/>
    <n v="5"/>
    <n v="20000"/>
    <n v="100000"/>
    <n v="60000"/>
    <n v="40000"/>
  </r>
  <r>
    <s v="TRX-202509-0881"/>
    <x v="247"/>
    <s v="CUST007"/>
    <s v="PRD006"/>
    <n v="2"/>
    <n v="110000"/>
    <n v="220000"/>
    <n v="150000"/>
    <n v="70000"/>
  </r>
  <r>
    <s v="TRX-202509-0882"/>
    <x v="247"/>
    <s v="CUST001"/>
    <s v="PRD011"/>
    <n v="8"/>
    <n v="35000"/>
    <n v="280000"/>
    <n v="176000"/>
    <n v="104000"/>
  </r>
  <r>
    <s v="TRX-202509-0882"/>
    <x v="247"/>
    <s v="CUST001"/>
    <s v="PRD003"/>
    <n v="3"/>
    <n v="130000"/>
    <n v="390000"/>
    <n v="255000"/>
    <n v="135000"/>
  </r>
  <r>
    <s v="TRX-202509-0883"/>
    <x v="248"/>
    <s v="CUST002"/>
    <s v="PRD005"/>
    <n v="7"/>
    <n v="105000"/>
    <n v="735000"/>
    <n v="490000"/>
    <n v="245000"/>
  </r>
  <r>
    <s v="TRX-202509-0883"/>
    <x v="248"/>
    <s v="CUST002"/>
    <s v="PRD003"/>
    <n v="2"/>
    <n v="130000"/>
    <n v="260000"/>
    <n v="170000"/>
    <n v="90000"/>
  </r>
  <r>
    <s v="TRX-202509-0883"/>
    <x v="248"/>
    <s v="CUST002"/>
    <s v="PRD004"/>
    <n v="5"/>
    <n v="105000"/>
    <n v="525000"/>
    <n v="350000"/>
    <n v="175000"/>
  </r>
  <r>
    <s v="TRX-202509-0884"/>
    <x v="248"/>
    <s v="CUST004"/>
    <s v="PRD008"/>
    <n v="6"/>
    <n v="40000"/>
    <n v="240000"/>
    <n v="168000"/>
    <n v="72000"/>
  </r>
  <r>
    <s v="TRX-202509-0885"/>
    <x v="248"/>
    <s v="CUST004"/>
    <s v="PRD011"/>
    <n v="7"/>
    <n v="35000"/>
    <n v="245000"/>
    <n v="154000"/>
    <n v="91000"/>
  </r>
  <r>
    <s v="TRX-202509-0885"/>
    <x v="248"/>
    <s v="CUST004"/>
    <s v="PRD007"/>
    <n v="2"/>
    <n v="225000"/>
    <n v="450000"/>
    <n v="360000"/>
    <n v="90000"/>
  </r>
  <r>
    <s v="TRX-202509-0885"/>
    <x v="248"/>
    <s v="CUST004"/>
    <s v="PRD012"/>
    <n v="5"/>
    <n v="48000"/>
    <n v="240000"/>
    <n v="160000"/>
    <n v="80000"/>
  </r>
  <r>
    <s v="TRX-202509-0886"/>
    <x v="249"/>
    <s v="CUST006"/>
    <s v="PRD006"/>
    <n v="8"/>
    <n v="110000"/>
    <n v="880000"/>
    <n v="600000"/>
    <n v="280000"/>
  </r>
  <r>
    <s v="TRX-202509-0886"/>
    <x v="249"/>
    <s v="CUST006"/>
    <s v="PRD007"/>
    <n v="7"/>
    <n v="225000"/>
    <n v="1575000"/>
    <n v="1260000"/>
    <n v="315000"/>
  </r>
  <r>
    <s v="TRX-202509-0887"/>
    <x v="249"/>
    <s v="CUST007"/>
    <s v="PRD001"/>
    <n v="1"/>
    <n v="175000"/>
    <n v="175000"/>
    <n v="120000"/>
    <n v="55000"/>
  </r>
  <r>
    <s v="TRX-202509-0887"/>
    <x v="249"/>
    <s v="CUST007"/>
    <s v="PRD009"/>
    <n v="7"/>
    <n v="52000"/>
    <n v="364000"/>
    <n v="245000"/>
    <n v="119000"/>
  </r>
  <r>
    <s v="TRX-202509-0888"/>
    <x v="249"/>
    <s v="CUST002"/>
    <s v="PRD010"/>
    <n v="5"/>
    <n v="20000"/>
    <n v="100000"/>
    <n v="60000"/>
    <n v="40000"/>
  </r>
  <r>
    <s v="TRX-202509-0889"/>
    <x v="249"/>
    <s v="CUST004"/>
    <s v="PRD009"/>
    <n v="5"/>
    <n v="52000"/>
    <n v="260000"/>
    <n v="175000"/>
    <n v="85000"/>
  </r>
  <r>
    <s v="TRX-202509-0889"/>
    <x v="249"/>
    <s v="CUST004"/>
    <s v="PRD006"/>
    <n v="1"/>
    <n v="110000"/>
    <n v="110000"/>
    <n v="75000"/>
    <n v="35000"/>
  </r>
  <r>
    <s v="TRX-202509-0889"/>
    <x v="249"/>
    <s v="CUST004"/>
    <s v="PRD003"/>
    <n v="7"/>
    <n v="130000"/>
    <n v="910000"/>
    <n v="595000"/>
    <n v="315000"/>
  </r>
  <r>
    <s v="TRX-202509-0890"/>
    <x v="250"/>
    <s v="CUST003"/>
    <s v="PRD012"/>
    <n v="4"/>
    <n v="48000"/>
    <n v="192000"/>
    <n v="128000"/>
    <n v="64000"/>
  </r>
  <r>
    <s v="TRX-202509-0890"/>
    <x v="250"/>
    <s v="CUST003"/>
    <s v="PRD008"/>
    <n v="3"/>
    <n v="40000"/>
    <n v="120000"/>
    <n v="84000"/>
    <n v="36000"/>
  </r>
  <r>
    <s v="TRX-202509-0890"/>
    <x v="250"/>
    <s v="CUST003"/>
    <s v="PRD003"/>
    <n v="5"/>
    <n v="130000"/>
    <n v="650000"/>
    <n v="425000"/>
    <n v="225000"/>
  </r>
  <r>
    <s v="TRX-202509-0891"/>
    <x v="250"/>
    <s v="CUST005"/>
    <s v="PRD001"/>
    <n v="4"/>
    <n v="175000"/>
    <n v="700000"/>
    <n v="480000"/>
    <n v="220000"/>
  </r>
  <r>
    <s v="TRX-202509-0891"/>
    <x v="250"/>
    <s v="CUST005"/>
    <s v="PRD008"/>
    <n v="2"/>
    <n v="40000"/>
    <n v="80000"/>
    <n v="56000"/>
    <n v="24000"/>
  </r>
  <r>
    <s v="TRX-202509-0891"/>
    <x v="250"/>
    <s v="CUST005"/>
    <s v="PRD010"/>
    <n v="2"/>
    <n v="20000"/>
    <n v="40000"/>
    <n v="24000"/>
    <n v="16000"/>
  </r>
  <r>
    <s v="TRX-202509-0892"/>
    <x v="250"/>
    <s v="CUST001"/>
    <s v="PRD010"/>
    <n v="2"/>
    <n v="20000"/>
    <n v="40000"/>
    <n v="24000"/>
    <n v="16000"/>
  </r>
  <r>
    <s v="TRX-202509-0893"/>
    <x v="251"/>
    <s v="CUST003"/>
    <s v="PRD012"/>
    <n v="8"/>
    <n v="48000"/>
    <n v="384000"/>
    <n v="256000"/>
    <n v="128000"/>
  </r>
  <r>
    <s v="TRX-202509-0893"/>
    <x v="251"/>
    <s v="CUST003"/>
    <s v="PRD009"/>
    <n v="8"/>
    <n v="52000"/>
    <n v="416000"/>
    <n v="280000"/>
    <n v="136000"/>
  </r>
  <r>
    <s v="TRX-202509-0893"/>
    <x v="251"/>
    <s v="CUST003"/>
    <s v="PRD004"/>
    <n v="5"/>
    <n v="105000"/>
    <n v="525000"/>
    <n v="350000"/>
    <n v="175000"/>
  </r>
  <r>
    <s v="TRX-202509-0894"/>
    <x v="251"/>
    <s v="CUST005"/>
    <s v="PRD002"/>
    <n v="6"/>
    <n v="70000"/>
    <n v="420000"/>
    <n v="270000"/>
    <n v="150000"/>
  </r>
  <r>
    <s v="TRX-202509-0894"/>
    <x v="251"/>
    <s v="CUST005"/>
    <s v="PRD010"/>
    <n v="5"/>
    <n v="20000"/>
    <n v="100000"/>
    <n v="60000"/>
    <n v="40000"/>
  </r>
  <r>
    <s v="TRX-202509-0894"/>
    <x v="251"/>
    <s v="CUST005"/>
    <s v="PRD008"/>
    <n v="7"/>
    <n v="40000"/>
    <n v="280000"/>
    <n v="196000"/>
    <n v="84000"/>
  </r>
  <r>
    <s v="TRX-202509-0895"/>
    <x v="251"/>
    <s v="CUST007"/>
    <s v="PRD002"/>
    <n v="7"/>
    <n v="70000"/>
    <n v="490000"/>
    <n v="315000"/>
    <n v="175000"/>
  </r>
  <r>
    <s v="TRX-202509-0895"/>
    <x v="251"/>
    <s v="CUST007"/>
    <s v="PRD008"/>
    <n v="3"/>
    <n v="40000"/>
    <n v="120000"/>
    <n v="84000"/>
    <n v="36000"/>
  </r>
  <r>
    <s v="TRX-202509-0895"/>
    <x v="251"/>
    <s v="CUST007"/>
    <s v="PRD007"/>
    <n v="1"/>
    <n v="225000"/>
    <n v="225000"/>
    <n v="180000"/>
    <n v="45000"/>
  </r>
  <r>
    <s v="TRX-202509-0896"/>
    <x v="252"/>
    <s v="CUST003"/>
    <s v="PRD003"/>
    <n v="6"/>
    <n v="130000"/>
    <n v="780000"/>
    <n v="510000"/>
    <n v="270000"/>
  </r>
  <r>
    <s v="TRX-202509-0896"/>
    <x v="252"/>
    <s v="CUST003"/>
    <s v="PRD006"/>
    <n v="8"/>
    <n v="110000"/>
    <n v="880000"/>
    <n v="600000"/>
    <n v="280000"/>
  </r>
  <r>
    <s v="TRX-202509-0896"/>
    <x v="252"/>
    <s v="CUST003"/>
    <s v="PRD010"/>
    <n v="3"/>
    <n v="20000"/>
    <n v="60000"/>
    <n v="36000"/>
    <n v="24000"/>
  </r>
  <r>
    <s v="TRX-202509-0897"/>
    <x v="252"/>
    <s v="CUST005"/>
    <s v="PRD005"/>
    <n v="8"/>
    <n v="105000"/>
    <n v="840000"/>
    <n v="560000"/>
    <n v="280000"/>
  </r>
  <r>
    <s v="TRX-202509-0897"/>
    <x v="252"/>
    <s v="CUST005"/>
    <s v="PRD007"/>
    <n v="7"/>
    <n v="225000"/>
    <n v="1575000"/>
    <n v="1260000"/>
    <n v="315000"/>
  </r>
  <r>
    <s v="TRX-202509-0897"/>
    <x v="252"/>
    <s v="CUST005"/>
    <s v="PRD002"/>
    <n v="8"/>
    <n v="70000"/>
    <n v="560000"/>
    <n v="360000"/>
    <n v="200000"/>
  </r>
  <r>
    <s v="TRX-202509-0898"/>
    <x v="253"/>
    <s v="CUST004"/>
    <s v="PRD003"/>
    <n v="7"/>
    <n v="130000"/>
    <n v="910000"/>
    <n v="595000"/>
    <n v="315000"/>
  </r>
  <r>
    <s v="TRX-202509-0899"/>
    <x v="253"/>
    <s v="CUST007"/>
    <s v="PRD001"/>
    <n v="5"/>
    <n v="175000"/>
    <n v="875000"/>
    <n v="600000"/>
    <n v="275000"/>
  </r>
  <r>
    <s v="TRX-202509-0900"/>
    <x v="253"/>
    <s v="CUST002"/>
    <s v="PRD012"/>
    <n v="2"/>
    <n v="48000"/>
    <n v="96000"/>
    <n v="64000"/>
    <n v="32000"/>
  </r>
  <r>
    <s v="TRX-202509-0901"/>
    <x v="254"/>
    <s v="CUST002"/>
    <s v="PRD001"/>
    <n v="3"/>
    <n v="175000"/>
    <n v="525000"/>
    <n v="360000"/>
    <n v="165000"/>
  </r>
  <r>
    <s v="TRX-202509-0902"/>
    <x v="254"/>
    <s v="CUST001"/>
    <s v="PRD007"/>
    <n v="2"/>
    <n v="225000"/>
    <n v="450000"/>
    <n v="360000"/>
    <n v="90000"/>
  </r>
  <r>
    <s v="TRX-202509-0902"/>
    <x v="254"/>
    <s v="CUST001"/>
    <s v="PRD010"/>
    <n v="6"/>
    <n v="20000"/>
    <n v="120000"/>
    <n v="72000"/>
    <n v="48000"/>
  </r>
  <r>
    <s v="TRX-202509-0903"/>
    <x v="255"/>
    <s v="CUST004"/>
    <s v="PRD010"/>
    <n v="6"/>
    <n v="20000"/>
    <n v="120000"/>
    <n v="72000"/>
    <n v="48000"/>
  </r>
  <r>
    <s v="TRX-202509-0904"/>
    <x v="255"/>
    <s v="CUST001"/>
    <s v="PRD005"/>
    <n v="5"/>
    <n v="105000"/>
    <n v="525000"/>
    <n v="350000"/>
    <n v="175000"/>
  </r>
  <r>
    <s v="TRX-202509-0905"/>
    <x v="255"/>
    <s v="CUST007"/>
    <s v="PRD006"/>
    <n v="5"/>
    <n v="110000"/>
    <n v="550000"/>
    <n v="375000"/>
    <n v="175000"/>
  </r>
  <r>
    <s v="TRX-202509-0905"/>
    <x v="255"/>
    <s v="CUST007"/>
    <s v="PRD002"/>
    <n v="2"/>
    <n v="70000"/>
    <n v="140000"/>
    <n v="90000"/>
    <n v="50000"/>
  </r>
  <r>
    <s v="TRX-202509-0905"/>
    <x v="255"/>
    <s v="CUST007"/>
    <s v="PRD003"/>
    <n v="4"/>
    <n v="130000"/>
    <n v="520000"/>
    <n v="340000"/>
    <n v="180000"/>
  </r>
  <r>
    <s v="TRX-202509-0906"/>
    <x v="255"/>
    <s v="CUST005"/>
    <s v="PRD010"/>
    <n v="2"/>
    <n v="20000"/>
    <n v="40000"/>
    <n v="24000"/>
    <n v="16000"/>
  </r>
  <r>
    <s v="TRX-202509-0906"/>
    <x v="255"/>
    <s v="CUST005"/>
    <s v="PRD001"/>
    <n v="8"/>
    <n v="175000"/>
    <n v="1400000"/>
    <n v="960000"/>
    <n v="440000"/>
  </r>
  <r>
    <s v="TRX-202509-0907"/>
    <x v="255"/>
    <s v="CUST005"/>
    <s v="PRD001"/>
    <n v="7"/>
    <n v="175000"/>
    <n v="1225000"/>
    <n v="840000"/>
    <n v="385000"/>
  </r>
  <r>
    <s v="TRX-202509-0907"/>
    <x v="255"/>
    <s v="CUST005"/>
    <s v="PRD012"/>
    <n v="5"/>
    <n v="48000"/>
    <n v="240000"/>
    <n v="160000"/>
    <n v="80000"/>
  </r>
  <r>
    <s v="TRX-202509-0907"/>
    <x v="255"/>
    <s v="CUST005"/>
    <s v="PRD006"/>
    <n v="4"/>
    <n v="110000"/>
    <n v="440000"/>
    <n v="300000"/>
    <n v="140000"/>
  </r>
  <r>
    <s v="TRX-202509-0908"/>
    <x v="256"/>
    <s v="CUST008"/>
    <s v="PRD005"/>
    <n v="1"/>
    <n v="105000"/>
    <n v="105000"/>
    <n v="70000"/>
    <n v="35000"/>
  </r>
  <r>
    <s v="TRX-202509-0909"/>
    <x v="256"/>
    <s v="CUST002"/>
    <s v="PRD008"/>
    <n v="4"/>
    <n v="40000"/>
    <n v="160000"/>
    <n v="112000"/>
    <n v="48000"/>
  </r>
  <r>
    <s v="TRX-202509-0910"/>
    <x v="257"/>
    <s v="CUST006"/>
    <s v="PRD006"/>
    <n v="7"/>
    <n v="110000"/>
    <n v="770000"/>
    <n v="525000"/>
    <n v="245000"/>
  </r>
  <r>
    <s v="TRX-202509-0911"/>
    <x v="257"/>
    <s v="CUST001"/>
    <s v="PRD004"/>
    <n v="2"/>
    <n v="105000"/>
    <n v="210000"/>
    <n v="140000"/>
    <n v="70000"/>
  </r>
  <r>
    <s v="TRX-202509-0912"/>
    <x v="257"/>
    <s v="CUST001"/>
    <s v="PRD007"/>
    <n v="1"/>
    <n v="225000"/>
    <n v="225000"/>
    <n v="180000"/>
    <n v="45000"/>
  </r>
  <r>
    <s v="TRX-202509-0913"/>
    <x v="257"/>
    <s v="CUST001"/>
    <s v="PRD004"/>
    <n v="1"/>
    <n v="105000"/>
    <n v="105000"/>
    <n v="70000"/>
    <n v="35000"/>
  </r>
  <r>
    <s v="TRX-202509-0913"/>
    <x v="257"/>
    <s v="CUST001"/>
    <s v="PRD001"/>
    <n v="3"/>
    <n v="175000"/>
    <n v="525000"/>
    <n v="360000"/>
    <n v="165000"/>
  </r>
  <r>
    <s v="TRX-202509-0913"/>
    <x v="257"/>
    <s v="CUST001"/>
    <s v="PRD002"/>
    <n v="8"/>
    <n v="70000"/>
    <n v="560000"/>
    <n v="360000"/>
    <n v="200000"/>
  </r>
  <r>
    <s v="TRX-202509-0914"/>
    <x v="258"/>
    <s v="CUST004"/>
    <s v="PRD005"/>
    <n v="2"/>
    <n v="105000"/>
    <n v="210000"/>
    <n v="140000"/>
    <n v="70000"/>
  </r>
  <r>
    <s v="TRX-202509-0914"/>
    <x v="258"/>
    <s v="CUST004"/>
    <s v="PRD006"/>
    <n v="1"/>
    <n v="110000"/>
    <n v="110000"/>
    <n v="75000"/>
    <n v="35000"/>
  </r>
  <r>
    <s v="TRX-202509-0914"/>
    <x v="258"/>
    <s v="CUST004"/>
    <s v="PRD009"/>
    <n v="6"/>
    <n v="52000"/>
    <n v="312000"/>
    <n v="210000"/>
    <n v="102000"/>
  </r>
  <r>
    <s v="TRX-202509-0915"/>
    <x v="258"/>
    <s v="CUST007"/>
    <s v="PRD010"/>
    <n v="2"/>
    <n v="20000"/>
    <n v="40000"/>
    <n v="24000"/>
    <n v="16000"/>
  </r>
  <r>
    <s v="TRX-202509-0915"/>
    <x v="258"/>
    <s v="CUST007"/>
    <s v="PRD008"/>
    <n v="4"/>
    <n v="40000"/>
    <n v="160000"/>
    <n v="112000"/>
    <n v="48000"/>
  </r>
  <r>
    <s v="TRX-202509-0915"/>
    <x v="258"/>
    <s v="CUST007"/>
    <s v="PRD005"/>
    <n v="3"/>
    <n v="105000"/>
    <n v="315000"/>
    <n v="210000"/>
    <n v="105000"/>
  </r>
  <r>
    <s v="TRX-202509-0916"/>
    <x v="258"/>
    <s v="CUST004"/>
    <s v="PRD012"/>
    <n v="4"/>
    <n v="48000"/>
    <n v="192000"/>
    <n v="128000"/>
    <n v="64000"/>
  </r>
  <r>
    <s v="TRX-202509-0916"/>
    <x v="258"/>
    <s v="CUST004"/>
    <s v="PRD009"/>
    <n v="2"/>
    <n v="52000"/>
    <n v="104000"/>
    <n v="70000"/>
    <n v="34000"/>
  </r>
  <r>
    <s v="TRX-202509-0917"/>
    <x v="258"/>
    <s v="CUST006"/>
    <s v="PRD003"/>
    <n v="8"/>
    <n v="130000"/>
    <n v="1040000"/>
    <n v="680000"/>
    <n v="360000"/>
  </r>
  <r>
    <s v="TRX-202509-0917"/>
    <x v="258"/>
    <s v="CUST006"/>
    <s v="PRD001"/>
    <n v="8"/>
    <n v="175000"/>
    <n v="1400000"/>
    <n v="960000"/>
    <n v="440000"/>
  </r>
  <r>
    <s v="TRX-202509-0917"/>
    <x v="258"/>
    <s v="CUST006"/>
    <s v="PRD004"/>
    <n v="2"/>
    <n v="105000"/>
    <n v="210000"/>
    <n v="140000"/>
    <n v="70000"/>
  </r>
  <r>
    <s v="TRX-202509-0918"/>
    <x v="259"/>
    <s v="CUST005"/>
    <s v="PRD004"/>
    <n v="7"/>
    <n v="105000"/>
    <n v="735000"/>
    <n v="490000"/>
    <n v="245000"/>
  </r>
  <r>
    <s v="TRX-202509-0918"/>
    <x v="259"/>
    <s v="CUST005"/>
    <s v="PRD001"/>
    <n v="7"/>
    <n v="175000"/>
    <n v="1225000"/>
    <n v="840000"/>
    <n v="385000"/>
  </r>
  <r>
    <s v="TRX-202509-0918"/>
    <x v="259"/>
    <s v="CUST005"/>
    <s v="PRD006"/>
    <n v="1"/>
    <n v="110000"/>
    <n v="110000"/>
    <n v="75000"/>
    <n v="35000"/>
  </r>
  <r>
    <s v="TRX-202509-0919"/>
    <x v="259"/>
    <s v="CUST002"/>
    <s v="PRD007"/>
    <n v="8"/>
    <n v="225000"/>
    <n v="1800000"/>
    <n v="1440000"/>
    <n v="360000"/>
  </r>
  <r>
    <s v="TRX-202509-0919"/>
    <x v="259"/>
    <s v="CUST002"/>
    <s v="PRD011"/>
    <n v="7"/>
    <n v="35000"/>
    <n v="245000"/>
    <n v="154000"/>
    <n v="91000"/>
  </r>
  <r>
    <s v="TRX-202509-0919"/>
    <x v="259"/>
    <s v="CUST002"/>
    <s v="PRD005"/>
    <n v="5"/>
    <n v="105000"/>
    <n v="525000"/>
    <n v="350000"/>
    <n v="175000"/>
  </r>
  <r>
    <s v="TRX-202509-0920"/>
    <x v="259"/>
    <s v="CUST003"/>
    <s v="PRD008"/>
    <n v="3"/>
    <n v="40000"/>
    <n v="120000"/>
    <n v="84000"/>
    <n v="36000"/>
  </r>
  <r>
    <s v="TRX-202509-0920"/>
    <x v="259"/>
    <s v="CUST003"/>
    <s v="PRD004"/>
    <n v="1"/>
    <n v="105000"/>
    <n v="105000"/>
    <n v="70000"/>
    <n v="35000"/>
  </r>
  <r>
    <s v="TRX-202509-0921"/>
    <x v="259"/>
    <s v="CUST005"/>
    <s v="PRD005"/>
    <n v="5"/>
    <n v="105000"/>
    <n v="525000"/>
    <n v="350000"/>
    <n v="175000"/>
  </r>
  <r>
    <s v="TRX-202509-0921"/>
    <x v="259"/>
    <s v="CUST005"/>
    <s v="PRD002"/>
    <n v="6"/>
    <n v="70000"/>
    <n v="420000"/>
    <n v="270000"/>
    <n v="150000"/>
  </r>
  <r>
    <s v="TRX-202509-0921"/>
    <x v="259"/>
    <s v="CUST005"/>
    <s v="PRD004"/>
    <n v="7"/>
    <n v="105000"/>
    <n v="735000"/>
    <n v="490000"/>
    <n v="245000"/>
  </r>
  <r>
    <s v="TRX-202509-0922"/>
    <x v="260"/>
    <s v="CUST002"/>
    <s v="PRD003"/>
    <n v="5"/>
    <n v="130000"/>
    <n v="650000"/>
    <n v="425000"/>
    <n v="225000"/>
  </r>
  <r>
    <s v="TRX-202509-0922"/>
    <x v="260"/>
    <s v="CUST002"/>
    <s v="PRD005"/>
    <n v="5"/>
    <n v="105000"/>
    <n v="525000"/>
    <n v="350000"/>
    <n v="175000"/>
  </r>
  <r>
    <s v="TRX-202509-0923"/>
    <x v="260"/>
    <s v="CUST008"/>
    <s v="PRD004"/>
    <n v="3"/>
    <n v="105000"/>
    <n v="315000"/>
    <n v="210000"/>
    <n v="105000"/>
  </r>
  <r>
    <s v="TRX-202509-0924"/>
    <x v="260"/>
    <s v="CUST003"/>
    <s v="PRD011"/>
    <n v="2"/>
    <n v="35000"/>
    <n v="70000"/>
    <n v="44000"/>
    <n v="26000"/>
  </r>
  <r>
    <s v="TRX-202509-0924"/>
    <x v="260"/>
    <s v="CUST003"/>
    <s v="PRD001"/>
    <n v="1"/>
    <n v="175000"/>
    <n v="175000"/>
    <n v="120000"/>
    <n v="55000"/>
  </r>
  <r>
    <s v="TRX-202509-0924"/>
    <x v="260"/>
    <s v="CUST003"/>
    <s v="PRD004"/>
    <n v="3"/>
    <n v="105000"/>
    <n v="315000"/>
    <n v="210000"/>
    <n v="105000"/>
  </r>
  <r>
    <s v="TRX-202509-0925"/>
    <x v="260"/>
    <s v="CUST008"/>
    <s v="PRD006"/>
    <n v="4"/>
    <n v="110000"/>
    <n v="440000"/>
    <n v="300000"/>
    <n v="140000"/>
  </r>
  <r>
    <s v="TRX-202509-0925"/>
    <x v="260"/>
    <s v="CUST008"/>
    <s v="PRD001"/>
    <n v="1"/>
    <n v="175000"/>
    <n v="175000"/>
    <n v="120000"/>
    <n v="55000"/>
  </r>
  <r>
    <s v="TRX-202509-0925"/>
    <x v="260"/>
    <s v="CUST008"/>
    <s v="PRD009"/>
    <n v="5"/>
    <n v="52000"/>
    <n v="260000"/>
    <n v="175000"/>
    <n v="85000"/>
  </r>
  <r>
    <s v="TRX-202509-0926"/>
    <x v="261"/>
    <s v="CUST006"/>
    <s v="PRD005"/>
    <n v="1"/>
    <n v="105000"/>
    <n v="105000"/>
    <n v="70000"/>
    <n v="35000"/>
  </r>
  <r>
    <s v="TRX-202509-0926"/>
    <x v="261"/>
    <s v="CUST006"/>
    <s v="PRD010"/>
    <n v="3"/>
    <n v="20000"/>
    <n v="60000"/>
    <n v="36000"/>
    <n v="24000"/>
  </r>
  <r>
    <s v="TRX-202509-0927"/>
    <x v="261"/>
    <s v="CUST006"/>
    <s v="PRD005"/>
    <n v="3"/>
    <n v="105000"/>
    <n v="315000"/>
    <n v="210000"/>
    <n v="105000"/>
  </r>
  <r>
    <s v="TRX-202509-0928"/>
    <x v="261"/>
    <s v="CUST001"/>
    <s v="PRD010"/>
    <n v="4"/>
    <n v="20000"/>
    <n v="80000"/>
    <n v="48000"/>
    <n v="32000"/>
  </r>
  <r>
    <s v="TRX-202509-0929"/>
    <x v="261"/>
    <s v="CUST006"/>
    <s v="PRD012"/>
    <n v="6"/>
    <n v="48000"/>
    <n v="288000"/>
    <n v="192000"/>
    <n v="96000"/>
  </r>
  <r>
    <s v="TRX-202509-0929"/>
    <x v="261"/>
    <s v="CUST006"/>
    <s v="PRD009"/>
    <n v="4"/>
    <n v="52000"/>
    <n v="208000"/>
    <n v="140000"/>
    <n v="68000"/>
  </r>
  <r>
    <s v="TRX-202509-0929"/>
    <x v="261"/>
    <s v="CUST006"/>
    <s v="PRD010"/>
    <n v="7"/>
    <n v="20000"/>
    <n v="140000"/>
    <n v="84000"/>
    <n v="56000"/>
  </r>
  <r>
    <s v="TRX-202509-0930"/>
    <x v="261"/>
    <s v="CUST001"/>
    <s v="PRD012"/>
    <n v="2"/>
    <n v="48000"/>
    <n v="96000"/>
    <n v="64000"/>
    <n v="32000"/>
  </r>
  <r>
    <s v="TRX-202509-0930"/>
    <x v="261"/>
    <s v="CUST001"/>
    <s v="PRD003"/>
    <n v="2"/>
    <n v="130000"/>
    <n v="260000"/>
    <n v="170000"/>
    <n v="90000"/>
  </r>
  <r>
    <s v="TRX-202509-0930"/>
    <x v="261"/>
    <s v="CUST001"/>
    <s v="PRD007"/>
    <n v="4"/>
    <n v="225000"/>
    <n v="900000"/>
    <n v="720000"/>
    <n v="180000"/>
  </r>
  <r>
    <s v="TRX-202509-0931"/>
    <x v="262"/>
    <s v="CUST004"/>
    <s v="PRD012"/>
    <n v="6"/>
    <n v="48000"/>
    <n v="288000"/>
    <n v="192000"/>
    <n v="96000"/>
  </r>
  <r>
    <s v="TRX-202509-0931"/>
    <x v="262"/>
    <s v="CUST004"/>
    <s v="PRD007"/>
    <n v="2"/>
    <n v="225000"/>
    <n v="450000"/>
    <n v="360000"/>
    <n v="90000"/>
  </r>
  <r>
    <s v="TRX-202509-0932"/>
    <x v="262"/>
    <s v="CUST006"/>
    <s v="PRD009"/>
    <n v="8"/>
    <n v="52000"/>
    <n v="416000"/>
    <n v="280000"/>
    <n v="136000"/>
  </r>
  <r>
    <s v="TRX-202509-0932"/>
    <x v="262"/>
    <s v="CUST006"/>
    <s v="PRD002"/>
    <n v="4"/>
    <n v="70000"/>
    <n v="280000"/>
    <n v="180000"/>
    <n v="100000"/>
  </r>
  <r>
    <s v="TRX-202509-0932"/>
    <x v="262"/>
    <s v="CUST006"/>
    <s v="PRD006"/>
    <n v="8"/>
    <n v="110000"/>
    <n v="880000"/>
    <n v="600000"/>
    <n v="280000"/>
  </r>
  <r>
    <s v="TRX-202509-0933"/>
    <x v="263"/>
    <s v="CUST005"/>
    <s v="PRD012"/>
    <n v="3"/>
    <n v="48000"/>
    <n v="144000"/>
    <n v="96000"/>
    <n v="48000"/>
  </r>
  <r>
    <s v="TRX-202509-0933"/>
    <x v="263"/>
    <s v="CUST005"/>
    <s v="PRD008"/>
    <n v="1"/>
    <n v="40000"/>
    <n v="40000"/>
    <n v="28000"/>
    <n v="12000"/>
  </r>
  <r>
    <s v="TRX-202509-0933"/>
    <x v="263"/>
    <s v="CUST005"/>
    <s v="PRD002"/>
    <n v="7"/>
    <n v="70000"/>
    <n v="490000"/>
    <n v="315000"/>
    <n v="175000"/>
  </r>
  <r>
    <s v="TRX-202509-0934"/>
    <x v="263"/>
    <s v="CUST001"/>
    <s v="PRD003"/>
    <n v="7"/>
    <n v="130000"/>
    <n v="910000"/>
    <n v="595000"/>
    <n v="315000"/>
  </r>
  <r>
    <s v="TRX-202509-0934"/>
    <x v="263"/>
    <s v="CUST001"/>
    <s v="PRD002"/>
    <n v="7"/>
    <n v="70000"/>
    <n v="490000"/>
    <n v="315000"/>
    <n v="175000"/>
  </r>
  <r>
    <s v="TRX-202509-0934"/>
    <x v="263"/>
    <s v="CUST001"/>
    <s v="PRD012"/>
    <n v="6"/>
    <n v="48000"/>
    <n v="288000"/>
    <n v="192000"/>
    <n v="96000"/>
  </r>
  <r>
    <s v="TRX-202509-0935"/>
    <x v="263"/>
    <s v="CUST003"/>
    <s v="PRD012"/>
    <n v="4"/>
    <n v="48000"/>
    <n v="192000"/>
    <n v="128000"/>
    <n v="64000"/>
  </r>
  <r>
    <s v="TRX-202509-0935"/>
    <x v="263"/>
    <s v="CUST003"/>
    <s v="PRD009"/>
    <n v="5"/>
    <n v="52000"/>
    <n v="260000"/>
    <n v="175000"/>
    <n v="85000"/>
  </r>
  <r>
    <s v="TRX-202509-0936"/>
    <x v="263"/>
    <s v="CUST002"/>
    <s v="PRD006"/>
    <n v="2"/>
    <n v="110000"/>
    <n v="220000"/>
    <n v="150000"/>
    <n v="70000"/>
  </r>
  <r>
    <s v="TRX-202509-0936"/>
    <x v="263"/>
    <s v="CUST002"/>
    <s v="PRD010"/>
    <n v="1"/>
    <n v="20000"/>
    <n v="20000"/>
    <n v="12000"/>
    <n v="8000"/>
  </r>
  <r>
    <s v="TRX-202509-0937"/>
    <x v="263"/>
    <s v="CUST002"/>
    <s v="PRD006"/>
    <n v="8"/>
    <n v="110000"/>
    <n v="880000"/>
    <n v="600000"/>
    <n v="280000"/>
  </r>
  <r>
    <s v="TRX-202509-0937"/>
    <x v="263"/>
    <s v="CUST002"/>
    <s v="PRD008"/>
    <n v="7"/>
    <n v="40000"/>
    <n v="280000"/>
    <n v="196000"/>
    <n v="84000"/>
  </r>
  <r>
    <s v="TRX-202509-0937"/>
    <x v="263"/>
    <s v="CUST002"/>
    <s v="PRD007"/>
    <n v="5"/>
    <n v="225000"/>
    <n v="1125000"/>
    <n v="900000"/>
    <n v="225000"/>
  </r>
  <r>
    <s v="TRX-202509-0938"/>
    <x v="264"/>
    <s v="CUST005"/>
    <s v="PRD007"/>
    <n v="3"/>
    <n v="225000"/>
    <n v="675000"/>
    <n v="540000"/>
    <n v="135000"/>
  </r>
  <r>
    <s v="TRX-202509-0938"/>
    <x v="264"/>
    <s v="CUST005"/>
    <s v="PRD006"/>
    <n v="3"/>
    <n v="110000"/>
    <n v="330000"/>
    <n v="225000"/>
    <n v="105000"/>
  </r>
  <r>
    <s v="TRX-202509-0939"/>
    <x v="264"/>
    <s v="CUST001"/>
    <s v="PRD012"/>
    <n v="5"/>
    <n v="48000"/>
    <n v="240000"/>
    <n v="160000"/>
    <n v="80000"/>
  </r>
  <r>
    <s v="TRX-202509-0939"/>
    <x v="264"/>
    <s v="CUST001"/>
    <s v="PRD004"/>
    <n v="6"/>
    <n v="105000"/>
    <n v="630000"/>
    <n v="420000"/>
    <n v="210000"/>
  </r>
  <r>
    <s v="TRX-202509-0939"/>
    <x v="264"/>
    <s v="CUST001"/>
    <s v="PRD007"/>
    <n v="2"/>
    <n v="225000"/>
    <n v="450000"/>
    <n v="360000"/>
    <n v="90000"/>
  </r>
  <r>
    <s v="TRX-202509-0940"/>
    <x v="264"/>
    <s v="CUST006"/>
    <s v="PRD003"/>
    <n v="5"/>
    <n v="130000"/>
    <n v="650000"/>
    <n v="425000"/>
    <n v="225000"/>
  </r>
  <r>
    <s v="TRX-202509-0940"/>
    <x v="264"/>
    <s v="CUST006"/>
    <s v="PRD002"/>
    <n v="5"/>
    <n v="70000"/>
    <n v="350000"/>
    <n v="225000"/>
    <n v="125000"/>
  </r>
  <r>
    <s v="TRX-202509-0941"/>
    <x v="264"/>
    <s v="CUST008"/>
    <s v="PRD004"/>
    <n v="5"/>
    <n v="105000"/>
    <n v="525000"/>
    <n v="350000"/>
    <n v="175000"/>
  </r>
  <r>
    <s v="TRX-202509-0941"/>
    <x v="264"/>
    <s v="CUST008"/>
    <s v="PRD003"/>
    <n v="5"/>
    <n v="130000"/>
    <n v="650000"/>
    <n v="425000"/>
    <n v="225000"/>
  </r>
  <r>
    <s v="TRX-202509-0942"/>
    <x v="264"/>
    <s v="CUST002"/>
    <s v="PRD011"/>
    <n v="5"/>
    <n v="35000"/>
    <n v="175000"/>
    <n v="110000"/>
    <n v="65000"/>
  </r>
  <r>
    <s v="TRX-202509-0943"/>
    <x v="265"/>
    <s v="CUST003"/>
    <s v="PRD012"/>
    <n v="2"/>
    <n v="48000"/>
    <n v="96000"/>
    <n v="64000"/>
    <n v="32000"/>
  </r>
  <r>
    <s v="TRX-202509-0943"/>
    <x v="265"/>
    <s v="CUST003"/>
    <s v="PRD011"/>
    <n v="6"/>
    <n v="35000"/>
    <n v="210000"/>
    <n v="132000"/>
    <n v="78000"/>
  </r>
  <r>
    <s v="TRX-202509-0944"/>
    <x v="265"/>
    <s v="CUST002"/>
    <s v="PRD004"/>
    <n v="3"/>
    <n v="105000"/>
    <n v="315000"/>
    <n v="210000"/>
    <n v="105000"/>
  </r>
  <r>
    <s v="TRX-202509-0944"/>
    <x v="265"/>
    <s v="CUST002"/>
    <s v="PRD002"/>
    <n v="6"/>
    <n v="70000"/>
    <n v="420000"/>
    <n v="270000"/>
    <n v="150000"/>
  </r>
  <r>
    <s v="TRX-202509-0944"/>
    <x v="265"/>
    <s v="CUST002"/>
    <s v="PRD006"/>
    <n v="5"/>
    <n v="110000"/>
    <n v="550000"/>
    <n v="375000"/>
    <n v="175000"/>
  </r>
  <r>
    <s v="TRX-202509-0945"/>
    <x v="266"/>
    <s v="CUST004"/>
    <s v="PRD008"/>
    <n v="8"/>
    <n v="40000"/>
    <n v="320000"/>
    <n v="224000"/>
    <n v="96000"/>
  </r>
  <r>
    <s v="TRX-202509-0945"/>
    <x v="266"/>
    <s v="CUST004"/>
    <s v="PRD003"/>
    <n v="3"/>
    <n v="130000"/>
    <n v="390000"/>
    <n v="255000"/>
    <n v="135000"/>
  </r>
  <r>
    <s v="TRX-202509-0946"/>
    <x v="266"/>
    <s v="CUST008"/>
    <s v="PRD003"/>
    <n v="2"/>
    <n v="130000"/>
    <n v="260000"/>
    <n v="170000"/>
    <n v="90000"/>
  </r>
  <r>
    <s v="TRX-202509-0946"/>
    <x v="266"/>
    <s v="CUST008"/>
    <s v="PRD004"/>
    <n v="4"/>
    <n v="105000"/>
    <n v="420000"/>
    <n v="280000"/>
    <n v="140000"/>
  </r>
  <r>
    <s v="TRX-202509-0947"/>
    <x v="266"/>
    <s v="CUST001"/>
    <s v="PRD002"/>
    <n v="4"/>
    <n v="70000"/>
    <n v="280000"/>
    <n v="180000"/>
    <n v="100000"/>
  </r>
  <r>
    <s v="TRX-202509-0947"/>
    <x v="266"/>
    <s v="CUST001"/>
    <s v="PRD008"/>
    <n v="3"/>
    <n v="40000"/>
    <n v="120000"/>
    <n v="84000"/>
    <n v="36000"/>
  </r>
  <r>
    <s v="TRX-202509-0948"/>
    <x v="267"/>
    <s v="CUST007"/>
    <s v="PRD006"/>
    <n v="7"/>
    <n v="110000"/>
    <n v="770000"/>
    <n v="525000"/>
    <n v="245000"/>
  </r>
  <r>
    <s v="TRX-202509-0948"/>
    <x v="267"/>
    <s v="CUST007"/>
    <s v="PRD004"/>
    <n v="2"/>
    <n v="105000"/>
    <n v="210000"/>
    <n v="140000"/>
    <n v="70000"/>
  </r>
  <r>
    <s v="TRX-202509-0949"/>
    <x v="267"/>
    <s v="CUST003"/>
    <s v="PRD006"/>
    <n v="2"/>
    <n v="110000"/>
    <n v="220000"/>
    <n v="150000"/>
    <n v="70000"/>
  </r>
  <r>
    <s v="TRX-202509-0949"/>
    <x v="267"/>
    <s v="CUST003"/>
    <s v="PRD011"/>
    <n v="6"/>
    <n v="35000"/>
    <n v="210000"/>
    <n v="132000"/>
    <n v="78000"/>
  </r>
  <r>
    <s v="TRX-202509-0950"/>
    <x v="267"/>
    <s v="CUST007"/>
    <s v="PRD003"/>
    <n v="7"/>
    <n v="130000"/>
    <n v="910000"/>
    <n v="595000"/>
    <n v="315000"/>
  </r>
  <r>
    <s v="TRX-202509-0950"/>
    <x v="267"/>
    <s v="CUST007"/>
    <s v="PRD008"/>
    <n v="4"/>
    <n v="40000"/>
    <n v="160000"/>
    <n v="112000"/>
    <n v="48000"/>
  </r>
  <r>
    <s v="TRX-202509-0950"/>
    <x v="267"/>
    <s v="CUST007"/>
    <s v="PRD011"/>
    <n v="1"/>
    <n v="35000"/>
    <n v="35000"/>
    <n v="22000"/>
    <n v="13000"/>
  </r>
  <r>
    <s v="TRX-202509-0951"/>
    <x v="267"/>
    <s v="CUST005"/>
    <s v="PRD009"/>
    <n v="7"/>
    <n v="52000"/>
    <n v="364000"/>
    <n v="245000"/>
    <n v="119000"/>
  </r>
  <r>
    <s v="TRX-202509-0951"/>
    <x v="267"/>
    <s v="CUST005"/>
    <s v="PRD004"/>
    <n v="1"/>
    <n v="105000"/>
    <n v="105000"/>
    <n v="70000"/>
    <n v="35000"/>
  </r>
  <r>
    <s v="TRX-202509-0952"/>
    <x v="268"/>
    <s v="CUST001"/>
    <s v="PRD001"/>
    <n v="6"/>
    <n v="175000"/>
    <n v="1050000"/>
    <n v="720000"/>
    <n v="330000"/>
  </r>
  <r>
    <s v="TRX-202509-0952"/>
    <x v="268"/>
    <s v="CUST001"/>
    <s v="PRD007"/>
    <n v="6"/>
    <n v="225000"/>
    <n v="1350000"/>
    <n v="1080000"/>
    <n v="270000"/>
  </r>
  <r>
    <s v="TRX-202509-0952"/>
    <x v="268"/>
    <s v="CUST001"/>
    <s v="PRD002"/>
    <n v="2"/>
    <n v="70000"/>
    <n v="140000"/>
    <n v="90000"/>
    <n v="50000"/>
  </r>
  <r>
    <s v="TRX-202509-0953"/>
    <x v="268"/>
    <s v="CUST001"/>
    <s v="PRD004"/>
    <n v="4"/>
    <n v="105000"/>
    <n v="420000"/>
    <n v="280000"/>
    <n v="140000"/>
  </r>
  <r>
    <s v="TRX-202509-0953"/>
    <x v="268"/>
    <s v="CUST001"/>
    <s v="PRD006"/>
    <n v="3"/>
    <n v="110000"/>
    <n v="330000"/>
    <n v="225000"/>
    <n v="105000"/>
  </r>
  <r>
    <s v="TRX-202509-0953"/>
    <x v="268"/>
    <s v="CUST001"/>
    <s v="PRD009"/>
    <n v="7"/>
    <n v="52000"/>
    <n v="364000"/>
    <n v="245000"/>
    <n v="119000"/>
  </r>
  <r>
    <s v="TRX-202509-0954"/>
    <x v="268"/>
    <s v="CUST004"/>
    <s v="PRD003"/>
    <n v="6"/>
    <n v="130000"/>
    <n v="780000"/>
    <n v="510000"/>
    <n v="270000"/>
  </r>
  <r>
    <s v="TRX-202509-0954"/>
    <x v="268"/>
    <s v="CUST004"/>
    <s v="PRD006"/>
    <n v="7"/>
    <n v="110000"/>
    <n v="770000"/>
    <n v="525000"/>
    <n v="245000"/>
  </r>
  <r>
    <s v="TRX-202509-0955"/>
    <x v="269"/>
    <s v="CUST002"/>
    <s v="PRD012"/>
    <n v="1"/>
    <n v="48000"/>
    <n v="48000"/>
    <n v="32000"/>
    <n v="16000"/>
  </r>
  <r>
    <s v="TRX-202509-0955"/>
    <x v="269"/>
    <s v="CUST002"/>
    <s v="PRD007"/>
    <n v="3"/>
    <n v="225000"/>
    <n v="675000"/>
    <n v="540000"/>
    <n v="135000"/>
  </r>
  <r>
    <s v="TRX-202509-0955"/>
    <x v="269"/>
    <s v="CUST002"/>
    <s v="PRD001"/>
    <n v="2"/>
    <n v="175000"/>
    <n v="350000"/>
    <n v="240000"/>
    <n v="110000"/>
  </r>
  <r>
    <s v="TRX-202509-0956"/>
    <x v="269"/>
    <s v="CUST007"/>
    <s v="PRD010"/>
    <n v="5"/>
    <n v="20000"/>
    <n v="100000"/>
    <n v="60000"/>
    <n v="40000"/>
  </r>
  <r>
    <s v="TRX-202509-0957"/>
    <x v="270"/>
    <s v="CUST002"/>
    <s v="PRD004"/>
    <n v="1"/>
    <n v="105000"/>
    <n v="105000"/>
    <n v="70000"/>
    <n v="35000"/>
  </r>
  <r>
    <s v="TRX-202509-0957"/>
    <x v="270"/>
    <s v="CUST002"/>
    <s v="PRD010"/>
    <n v="7"/>
    <n v="20000"/>
    <n v="140000"/>
    <n v="84000"/>
    <n v="56000"/>
  </r>
  <r>
    <s v="TRX-202509-0958"/>
    <x v="270"/>
    <s v="CUST004"/>
    <s v="PRD006"/>
    <n v="2"/>
    <n v="110000"/>
    <n v="220000"/>
    <n v="150000"/>
    <n v="70000"/>
  </r>
  <r>
    <s v="TRX-202509-0958"/>
    <x v="270"/>
    <s v="CUST004"/>
    <s v="PRD008"/>
    <n v="5"/>
    <n v="40000"/>
    <n v="200000"/>
    <n v="140000"/>
    <n v="60000"/>
  </r>
  <r>
    <s v="TRX-202509-0959"/>
    <x v="270"/>
    <s v="CUST006"/>
    <s v="PRD011"/>
    <n v="2"/>
    <n v="35000"/>
    <n v="70000"/>
    <n v="44000"/>
    <n v="26000"/>
  </r>
  <r>
    <s v="TRX-202509-0960"/>
    <x v="270"/>
    <s v="CUST002"/>
    <s v="PRD003"/>
    <n v="4"/>
    <n v="130000"/>
    <n v="520000"/>
    <n v="340000"/>
    <n v="180000"/>
  </r>
  <r>
    <s v="TRX-202509-0960"/>
    <x v="270"/>
    <s v="CUST002"/>
    <s v="PRD004"/>
    <n v="2"/>
    <n v="105000"/>
    <n v="210000"/>
    <n v="140000"/>
    <n v="70000"/>
  </r>
  <r>
    <s v="TRX-202509-0960"/>
    <x v="270"/>
    <s v="CUST002"/>
    <s v="PRD008"/>
    <n v="3"/>
    <n v="40000"/>
    <n v="120000"/>
    <n v="84000"/>
    <n v="36000"/>
  </r>
  <r>
    <s v="TRX-202509-0961"/>
    <x v="271"/>
    <s v="CUST006"/>
    <s v="PRD012"/>
    <n v="2"/>
    <n v="48000"/>
    <n v="96000"/>
    <n v="64000"/>
    <n v="32000"/>
  </r>
  <r>
    <s v="TRX-202509-0961"/>
    <x v="271"/>
    <s v="CUST006"/>
    <s v="PRD008"/>
    <n v="2"/>
    <n v="40000"/>
    <n v="80000"/>
    <n v="56000"/>
    <n v="24000"/>
  </r>
  <r>
    <s v="TRX-202509-0962"/>
    <x v="271"/>
    <s v="CUST007"/>
    <s v="PRD002"/>
    <n v="1"/>
    <n v="70000"/>
    <n v="70000"/>
    <n v="45000"/>
    <n v="25000"/>
  </r>
  <r>
    <s v="TRX-202509-0962"/>
    <x v="271"/>
    <s v="CUST007"/>
    <s v="PRD007"/>
    <n v="3"/>
    <n v="225000"/>
    <n v="675000"/>
    <n v="540000"/>
    <n v="135000"/>
  </r>
  <r>
    <s v="TRX-202509-0962"/>
    <x v="271"/>
    <s v="CUST007"/>
    <s v="PRD003"/>
    <n v="2"/>
    <n v="130000"/>
    <n v="260000"/>
    <n v="170000"/>
    <n v="90000"/>
  </r>
  <r>
    <s v="TRX-202509-0963"/>
    <x v="271"/>
    <s v="CUST003"/>
    <s v="PRD008"/>
    <n v="2"/>
    <n v="40000"/>
    <n v="80000"/>
    <n v="56000"/>
    <n v="24000"/>
  </r>
  <r>
    <s v="TRX-202509-0964"/>
    <x v="272"/>
    <s v="CUST005"/>
    <s v="PRD008"/>
    <n v="6"/>
    <n v="40000"/>
    <n v="240000"/>
    <n v="168000"/>
    <n v="72000"/>
  </r>
  <r>
    <s v="TRX-202509-0964"/>
    <x v="272"/>
    <s v="CUST005"/>
    <s v="PRD004"/>
    <n v="3"/>
    <n v="105000"/>
    <n v="315000"/>
    <n v="210000"/>
    <n v="105000"/>
  </r>
  <r>
    <s v="TRX-202509-0965"/>
    <x v="272"/>
    <s v="CUST003"/>
    <s v="PRD012"/>
    <n v="6"/>
    <n v="48000"/>
    <n v="288000"/>
    <n v="192000"/>
    <n v="96000"/>
  </r>
  <r>
    <s v="TRX-202509-0965"/>
    <x v="272"/>
    <s v="CUST003"/>
    <s v="PRD008"/>
    <n v="7"/>
    <n v="40000"/>
    <n v="280000"/>
    <n v="196000"/>
    <n v="84000"/>
  </r>
  <r>
    <s v="TRX-202509-0965"/>
    <x v="272"/>
    <s v="CUST003"/>
    <s v="PRD001"/>
    <n v="3"/>
    <n v="175000"/>
    <n v="525000"/>
    <n v="360000"/>
    <n v="165000"/>
  </r>
  <r>
    <s v="TRX-202509-0966"/>
    <x v="272"/>
    <s v="CUST003"/>
    <s v="PRD002"/>
    <n v="5"/>
    <n v="70000"/>
    <n v="350000"/>
    <n v="225000"/>
    <n v="125000"/>
  </r>
  <r>
    <s v="TRX-202509-0966"/>
    <x v="272"/>
    <s v="CUST003"/>
    <s v="PRD001"/>
    <n v="4"/>
    <n v="175000"/>
    <n v="700000"/>
    <n v="480000"/>
    <n v="220000"/>
  </r>
  <r>
    <s v="TRX-202509-0967"/>
    <x v="272"/>
    <s v="CUST004"/>
    <s v="PRD002"/>
    <n v="6"/>
    <n v="70000"/>
    <n v="420000"/>
    <n v="270000"/>
    <n v="150000"/>
  </r>
  <r>
    <s v="TRX-202509-0967"/>
    <x v="272"/>
    <s v="CUST004"/>
    <s v="PRD009"/>
    <n v="2"/>
    <n v="52000"/>
    <n v="104000"/>
    <n v="70000"/>
    <n v="34000"/>
  </r>
  <r>
    <s v="TRX-202509-0967"/>
    <x v="272"/>
    <s v="CUST004"/>
    <s v="PRD008"/>
    <n v="1"/>
    <n v="40000"/>
    <n v="40000"/>
    <n v="28000"/>
    <n v="12000"/>
  </r>
  <r>
    <s v="TRX-202510-0968"/>
    <x v="273"/>
    <s v="CUST005"/>
    <s v="PRD005"/>
    <n v="2"/>
    <n v="105000"/>
    <n v="210000"/>
    <n v="140000"/>
    <n v="70000"/>
  </r>
  <r>
    <s v="TRX-202510-0969"/>
    <x v="273"/>
    <s v="CUST003"/>
    <s v="PRD010"/>
    <n v="6"/>
    <n v="20000"/>
    <n v="120000"/>
    <n v="72000"/>
    <n v="48000"/>
  </r>
  <r>
    <s v="TRX-202510-0969"/>
    <x v="273"/>
    <s v="CUST003"/>
    <s v="PRD011"/>
    <n v="5"/>
    <n v="35000"/>
    <n v="175000"/>
    <n v="110000"/>
    <n v="65000"/>
  </r>
  <r>
    <s v="TRX-202510-0969"/>
    <x v="273"/>
    <s v="CUST003"/>
    <s v="PRD007"/>
    <n v="8"/>
    <n v="225000"/>
    <n v="1800000"/>
    <n v="1440000"/>
    <n v="360000"/>
  </r>
  <r>
    <s v="TRX-202510-0970"/>
    <x v="273"/>
    <s v="CUST004"/>
    <s v="PRD001"/>
    <n v="4"/>
    <n v="175000"/>
    <n v="700000"/>
    <n v="480000"/>
    <n v="220000"/>
  </r>
  <r>
    <s v="TRX-202510-0971"/>
    <x v="274"/>
    <s v="CUST002"/>
    <s v="PRD004"/>
    <n v="3"/>
    <n v="105000"/>
    <n v="315000"/>
    <n v="210000"/>
    <n v="105000"/>
  </r>
  <r>
    <s v="TRX-202510-0971"/>
    <x v="274"/>
    <s v="CUST002"/>
    <s v="PRD003"/>
    <n v="7"/>
    <n v="130000"/>
    <n v="910000"/>
    <n v="595000"/>
    <n v="315000"/>
  </r>
  <r>
    <s v="TRX-202510-0971"/>
    <x v="274"/>
    <s v="CUST002"/>
    <s v="PRD005"/>
    <n v="8"/>
    <n v="105000"/>
    <n v="840000"/>
    <n v="560000"/>
    <n v="280000"/>
  </r>
  <r>
    <s v="TRX-202510-0972"/>
    <x v="274"/>
    <s v="CUST008"/>
    <s v="PRD005"/>
    <n v="7"/>
    <n v="105000"/>
    <n v="735000"/>
    <n v="490000"/>
    <n v="245000"/>
  </r>
  <r>
    <s v="TRX-202510-0972"/>
    <x v="274"/>
    <s v="CUST008"/>
    <s v="PRD011"/>
    <n v="6"/>
    <n v="35000"/>
    <n v="210000"/>
    <n v="132000"/>
    <n v="78000"/>
  </r>
  <r>
    <s v="TRX-202510-0972"/>
    <x v="274"/>
    <s v="CUST008"/>
    <s v="PRD002"/>
    <n v="3"/>
    <n v="70000"/>
    <n v="210000"/>
    <n v="135000"/>
    <n v="75000"/>
  </r>
  <r>
    <s v="TRX-202510-0973"/>
    <x v="274"/>
    <s v="CUST001"/>
    <s v="PRD008"/>
    <n v="6"/>
    <n v="40000"/>
    <n v="240000"/>
    <n v="168000"/>
    <n v="72000"/>
  </r>
  <r>
    <s v="TRX-202510-0973"/>
    <x v="274"/>
    <s v="CUST001"/>
    <s v="PRD011"/>
    <n v="7"/>
    <n v="35000"/>
    <n v="245000"/>
    <n v="154000"/>
    <n v="91000"/>
  </r>
  <r>
    <s v="TRX-202510-0974"/>
    <x v="274"/>
    <s v="CUST004"/>
    <s v="PRD009"/>
    <n v="6"/>
    <n v="52000"/>
    <n v="312000"/>
    <n v="210000"/>
    <n v="102000"/>
  </r>
  <r>
    <s v="TRX-202510-0974"/>
    <x v="274"/>
    <s v="CUST004"/>
    <s v="PRD004"/>
    <n v="3"/>
    <n v="105000"/>
    <n v="315000"/>
    <n v="210000"/>
    <n v="105000"/>
  </r>
  <r>
    <s v="TRX-202510-0974"/>
    <x v="274"/>
    <s v="CUST004"/>
    <s v="PRD007"/>
    <n v="1"/>
    <n v="225000"/>
    <n v="225000"/>
    <n v="180000"/>
    <n v="45000"/>
  </r>
  <r>
    <s v="TRX-202510-0975"/>
    <x v="275"/>
    <s v="CUST008"/>
    <s v="PRD011"/>
    <n v="3"/>
    <n v="35000"/>
    <n v="105000"/>
    <n v="66000"/>
    <n v="39000"/>
  </r>
  <r>
    <s v="TRX-202510-0975"/>
    <x v="275"/>
    <s v="CUST008"/>
    <s v="PRD008"/>
    <n v="8"/>
    <n v="40000"/>
    <n v="320000"/>
    <n v="224000"/>
    <n v="96000"/>
  </r>
  <r>
    <s v="TRX-202510-0975"/>
    <x v="275"/>
    <s v="CUST008"/>
    <s v="PRD012"/>
    <n v="2"/>
    <n v="48000"/>
    <n v="96000"/>
    <n v="64000"/>
    <n v="32000"/>
  </r>
  <r>
    <s v="TRX-202510-0976"/>
    <x v="275"/>
    <s v="CUST001"/>
    <s v="PRD001"/>
    <n v="3"/>
    <n v="175000"/>
    <n v="525000"/>
    <n v="360000"/>
    <n v="165000"/>
  </r>
  <r>
    <s v="TRX-202510-0976"/>
    <x v="275"/>
    <s v="CUST001"/>
    <s v="PRD010"/>
    <n v="3"/>
    <n v="20000"/>
    <n v="60000"/>
    <n v="36000"/>
    <n v="24000"/>
  </r>
  <r>
    <s v="TRX-202510-0977"/>
    <x v="276"/>
    <s v="CUST002"/>
    <s v="PRD009"/>
    <n v="3"/>
    <n v="52000"/>
    <n v="156000"/>
    <n v="105000"/>
    <n v="51000"/>
  </r>
  <r>
    <s v="TRX-202510-0978"/>
    <x v="276"/>
    <s v="CUST005"/>
    <s v="PRD003"/>
    <n v="8"/>
    <n v="130000"/>
    <n v="1040000"/>
    <n v="680000"/>
    <n v="360000"/>
  </r>
  <r>
    <s v="TRX-202510-0979"/>
    <x v="277"/>
    <s v="CUST003"/>
    <s v="PRD004"/>
    <n v="6"/>
    <n v="105000"/>
    <n v="630000"/>
    <n v="420000"/>
    <n v="210000"/>
  </r>
  <r>
    <s v="TRX-202510-0980"/>
    <x v="277"/>
    <s v="CUST008"/>
    <s v="PRD012"/>
    <n v="4"/>
    <n v="48000"/>
    <n v="192000"/>
    <n v="128000"/>
    <n v="64000"/>
  </r>
  <r>
    <s v="TRX-202510-0981"/>
    <x v="278"/>
    <s v="CUST006"/>
    <s v="PRD006"/>
    <n v="8"/>
    <n v="110000"/>
    <n v="880000"/>
    <n v="600000"/>
    <n v="280000"/>
  </r>
  <r>
    <s v="TRX-202510-0981"/>
    <x v="278"/>
    <s v="CUST006"/>
    <s v="PRD012"/>
    <n v="3"/>
    <n v="48000"/>
    <n v="144000"/>
    <n v="96000"/>
    <n v="48000"/>
  </r>
  <r>
    <s v="TRX-202510-0981"/>
    <x v="278"/>
    <s v="CUST006"/>
    <s v="PRD009"/>
    <n v="1"/>
    <n v="52000"/>
    <n v="52000"/>
    <n v="35000"/>
    <n v="17000"/>
  </r>
  <r>
    <s v="TRX-202510-0982"/>
    <x v="278"/>
    <s v="CUST007"/>
    <s v="PRD009"/>
    <n v="4"/>
    <n v="52000"/>
    <n v="208000"/>
    <n v="140000"/>
    <n v="68000"/>
  </r>
  <r>
    <s v="TRX-202510-0983"/>
    <x v="278"/>
    <s v="CUST007"/>
    <s v="PRD011"/>
    <n v="5"/>
    <n v="35000"/>
    <n v="175000"/>
    <n v="110000"/>
    <n v="65000"/>
  </r>
  <r>
    <s v="TRX-202510-0983"/>
    <x v="278"/>
    <s v="CUST007"/>
    <s v="PRD012"/>
    <n v="4"/>
    <n v="48000"/>
    <n v="192000"/>
    <n v="128000"/>
    <n v="64000"/>
  </r>
  <r>
    <s v="TRX-202510-0984"/>
    <x v="278"/>
    <s v="CUST006"/>
    <s v="PRD009"/>
    <n v="2"/>
    <n v="52000"/>
    <n v="104000"/>
    <n v="70000"/>
    <n v="34000"/>
  </r>
  <r>
    <s v="TRX-202510-0984"/>
    <x v="278"/>
    <s v="CUST006"/>
    <s v="PRD012"/>
    <n v="4"/>
    <n v="48000"/>
    <n v="192000"/>
    <n v="128000"/>
    <n v="64000"/>
  </r>
  <r>
    <s v="TRX-202510-0984"/>
    <x v="278"/>
    <s v="CUST006"/>
    <s v="PRD005"/>
    <n v="5"/>
    <n v="105000"/>
    <n v="525000"/>
    <n v="350000"/>
    <n v="175000"/>
  </r>
  <r>
    <s v="TRX-202510-0985"/>
    <x v="278"/>
    <s v="CUST004"/>
    <s v="PRD005"/>
    <n v="2"/>
    <n v="105000"/>
    <n v="210000"/>
    <n v="140000"/>
    <n v="70000"/>
  </r>
  <r>
    <s v="TRX-202510-0985"/>
    <x v="278"/>
    <s v="CUST004"/>
    <s v="PRD001"/>
    <n v="3"/>
    <n v="175000"/>
    <n v="525000"/>
    <n v="360000"/>
    <n v="165000"/>
  </r>
  <r>
    <s v="TRX-202510-0986"/>
    <x v="279"/>
    <s v="CUST008"/>
    <s v="PRD008"/>
    <n v="7"/>
    <n v="40000"/>
    <n v="280000"/>
    <n v="196000"/>
    <n v="84000"/>
  </r>
  <r>
    <s v="TRX-202510-0986"/>
    <x v="279"/>
    <s v="CUST008"/>
    <s v="PRD010"/>
    <n v="7"/>
    <n v="20000"/>
    <n v="140000"/>
    <n v="84000"/>
    <n v="56000"/>
  </r>
  <r>
    <s v="TRX-202510-0986"/>
    <x v="279"/>
    <s v="CUST008"/>
    <s v="PRD011"/>
    <n v="8"/>
    <n v="35000"/>
    <n v="280000"/>
    <n v="176000"/>
    <n v="104000"/>
  </r>
  <r>
    <s v="TRX-202510-0987"/>
    <x v="279"/>
    <s v="CUST004"/>
    <s v="PRD012"/>
    <n v="6"/>
    <n v="48000"/>
    <n v="288000"/>
    <n v="192000"/>
    <n v="96000"/>
  </r>
  <r>
    <s v="TRX-202510-0987"/>
    <x v="279"/>
    <s v="CUST004"/>
    <s v="PRD006"/>
    <n v="8"/>
    <n v="110000"/>
    <n v="880000"/>
    <n v="600000"/>
    <n v="280000"/>
  </r>
  <r>
    <s v="TRX-202510-0988"/>
    <x v="280"/>
    <s v="CUST002"/>
    <s v="PRD003"/>
    <n v="8"/>
    <n v="130000"/>
    <n v="1040000"/>
    <n v="680000"/>
    <n v="360000"/>
  </r>
  <r>
    <s v="TRX-202510-0988"/>
    <x v="280"/>
    <s v="CUST002"/>
    <s v="PRD006"/>
    <n v="7"/>
    <n v="110000"/>
    <n v="770000"/>
    <n v="525000"/>
    <n v="245000"/>
  </r>
  <r>
    <s v="TRX-202510-0989"/>
    <x v="280"/>
    <s v="CUST003"/>
    <s v="PRD001"/>
    <n v="3"/>
    <n v="175000"/>
    <n v="525000"/>
    <n v="360000"/>
    <n v="165000"/>
  </r>
  <r>
    <s v="TRX-202510-0989"/>
    <x v="280"/>
    <s v="CUST003"/>
    <s v="PRD011"/>
    <n v="4"/>
    <n v="35000"/>
    <n v="140000"/>
    <n v="88000"/>
    <n v="52000"/>
  </r>
  <r>
    <s v="TRX-202510-0990"/>
    <x v="281"/>
    <s v="CUST003"/>
    <s v="PRD006"/>
    <n v="7"/>
    <n v="110000"/>
    <n v="770000"/>
    <n v="525000"/>
    <n v="245000"/>
  </r>
  <r>
    <s v="TRX-202510-0990"/>
    <x v="281"/>
    <s v="CUST003"/>
    <s v="PRD005"/>
    <n v="7"/>
    <n v="105000"/>
    <n v="735000"/>
    <n v="490000"/>
    <n v="245000"/>
  </r>
  <r>
    <s v="TRX-202510-0991"/>
    <x v="281"/>
    <s v="CUST002"/>
    <s v="PRD008"/>
    <n v="1"/>
    <n v="40000"/>
    <n v="40000"/>
    <n v="28000"/>
    <n v="12000"/>
  </r>
  <r>
    <s v="TRX-202510-0991"/>
    <x v="281"/>
    <s v="CUST002"/>
    <s v="PRD011"/>
    <n v="4"/>
    <n v="35000"/>
    <n v="140000"/>
    <n v="88000"/>
    <n v="52000"/>
  </r>
  <r>
    <s v="TRX-202510-0992"/>
    <x v="281"/>
    <s v="CUST003"/>
    <s v="PRD006"/>
    <n v="6"/>
    <n v="110000"/>
    <n v="660000"/>
    <n v="450000"/>
    <n v="210000"/>
  </r>
  <r>
    <s v="TRX-202510-0993"/>
    <x v="281"/>
    <s v="CUST006"/>
    <s v="PRD001"/>
    <n v="7"/>
    <n v="175000"/>
    <n v="1225000"/>
    <n v="840000"/>
    <n v="385000"/>
  </r>
  <r>
    <s v="TRX-202510-0993"/>
    <x v="281"/>
    <s v="CUST006"/>
    <s v="PRD010"/>
    <n v="2"/>
    <n v="20000"/>
    <n v="40000"/>
    <n v="24000"/>
    <n v="16000"/>
  </r>
  <r>
    <s v="TRX-202510-0993"/>
    <x v="281"/>
    <s v="CUST006"/>
    <s v="PRD011"/>
    <n v="4"/>
    <n v="35000"/>
    <n v="140000"/>
    <n v="88000"/>
    <n v="52000"/>
  </r>
  <r>
    <s v="TRX-202510-0994"/>
    <x v="282"/>
    <s v="CUST001"/>
    <s v="PRD006"/>
    <n v="3"/>
    <n v="110000"/>
    <n v="330000"/>
    <n v="225000"/>
    <n v="105000"/>
  </r>
  <r>
    <s v="TRX-202510-0995"/>
    <x v="282"/>
    <s v="CUST007"/>
    <s v="PRD008"/>
    <n v="7"/>
    <n v="40000"/>
    <n v="280000"/>
    <n v="196000"/>
    <n v="84000"/>
  </r>
  <r>
    <s v="TRX-202510-0995"/>
    <x v="282"/>
    <s v="CUST007"/>
    <s v="PRD001"/>
    <n v="7"/>
    <n v="175000"/>
    <n v="1225000"/>
    <n v="840000"/>
    <n v="385000"/>
  </r>
  <r>
    <s v="TRX-202510-0995"/>
    <x v="282"/>
    <s v="CUST007"/>
    <s v="PRD012"/>
    <n v="1"/>
    <n v="48000"/>
    <n v="48000"/>
    <n v="32000"/>
    <n v="16000"/>
  </r>
  <r>
    <s v="TRX-202510-0996"/>
    <x v="282"/>
    <s v="CUST005"/>
    <s v="PRD005"/>
    <n v="2"/>
    <n v="105000"/>
    <n v="210000"/>
    <n v="140000"/>
    <n v="70000"/>
  </r>
  <r>
    <s v="TRX-202510-0996"/>
    <x v="282"/>
    <s v="CUST005"/>
    <s v="PRD011"/>
    <n v="8"/>
    <n v="35000"/>
    <n v="280000"/>
    <n v="176000"/>
    <n v="104000"/>
  </r>
  <r>
    <s v="TRX-202510-0997"/>
    <x v="282"/>
    <s v="CUST006"/>
    <s v="PRD012"/>
    <n v="6"/>
    <n v="48000"/>
    <n v="288000"/>
    <n v="192000"/>
    <n v="96000"/>
  </r>
  <r>
    <s v="TRX-202510-0997"/>
    <x v="282"/>
    <s v="CUST006"/>
    <s v="PRD006"/>
    <n v="2"/>
    <n v="110000"/>
    <n v="220000"/>
    <n v="150000"/>
    <n v="70000"/>
  </r>
  <r>
    <s v="TRX-202510-0998"/>
    <x v="282"/>
    <s v="CUST003"/>
    <s v="PRD009"/>
    <n v="2"/>
    <n v="52000"/>
    <n v="104000"/>
    <n v="70000"/>
    <n v="34000"/>
  </r>
  <r>
    <s v="TRX-202510-0998"/>
    <x v="282"/>
    <s v="CUST003"/>
    <s v="PRD007"/>
    <n v="3"/>
    <n v="225000"/>
    <n v="675000"/>
    <n v="540000"/>
    <n v="135000"/>
  </r>
  <r>
    <s v="TRX-202510-0999"/>
    <x v="283"/>
    <s v="CUST005"/>
    <s v="PRD007"/>
    <n v="8"/>
    <n v="225000"/>
    <n v="1800000"/>
    <n v="1440000"/>
    <n v="360000"/>
  </r>
  <r>
    <s v="TRX-202510-0999"/>
    <x v="283"/>
    <s v="CUST005"/>
    <s v="PRD001"/>
    <n v="6"/>
    <n v="175000"/>
    <n v="1050000"/>
    <n v="720000"/>
    <n v="330000"/>
  </r>
  <r>
    <s v="TRX-202510-1000"/>
    <x v="283"/>
    <s v="CUST005"/>
    <s v="PRD001"/>
    <n v="6"/>
    <n v="175000"/>
    <n v="1050000"/>
    <n v="720000"/>
    <n v="330000"/>
  </r>
  <r>
    <s v="TRX-202510-1000"/>
    <x v="283"/>
    <s v="CUST005"/>
    <s v="PRD010"/>
    <n v="1"/>
    <n v="20000"/>
    <n v="20000"/>
    <n v="12000"/>
    <n v="8000"/>
  </r>
  <r>
    <s v="TRX-202510-1000"/>
    <x v="283"/>
    <s v="CUST005"/>
    <s v="PRD002"/>
    <n v="7"/>
    <n v="70000"/>
    <n v="490000"/>
    <n v="315000"/>
    <n v="175000"/>
  </r>
  <r>
    <s v="TRX-202510-1001"/>
    <x v="283"/>
    <s v="CUST004"/>
    <s v="PRD002"/>
    <n v="2"/>
    <n v="70000"/>
    <n v="140000"/>
    <n v="90000"/>
    <n v="50000"/>
  </r>
  <r>
    <s v="TRX-202510-1002"/>
    <x v="284"/>
    <s v="CUST007"/>
    <s v="PRD001"/>
    <n v="5"/>
    <n v="175000"/>
    <n v="875000"/>
    <n v="600000"/>
    <n v="275000"/>
  </r>
  <r>
    <s v="TRX-202510-1002"/>
    <x v="284"/>
    <s v="CUST007"/>
    <s v="PRD003"/>
    <n v="2"/>
    <n v="130000"/>
    <n v="260000"/>
    <n v="170000"/>
    <n v="90000"/>
  </r>
  <r>
    <s v="TRX-202510-1003"/>
    <x v="284"/>
    <s v="CUST007"/>
    <s v="PRD004"/>
    <n v="5"/>
    <n v="105000"/>
    <n v="525000"/>
    <n v="350000"/>
    <n v="175000"/>
  </r>
  <r>
    <s v="TRX-202510-1004"/>
    <x v="284"/>
    <s v="CUST005"/>
    <s v="PRD009"/>
    <n v="1"/>
    <n v="52000"/>
    <n v="52000"/>
    <n v="35000"/>
    <n v="17000"/>
  </r>
  <r>
    <s v="TRX-202510-1004"/>
    <x v="284"/>
    <s v="CUST005"/>
    <s v="PRD012"/>
    <n v="6"/>
    <n v="48000"/>
    <n v="288000"/>
    <n v="192000"/>
    <n v="96000"/>
  </r>
  <r>
    <s v="TRX-202510-1004"/>
    <x v="284"/>
    <s v="CUST005"/>
    <s v="PRD004"/>
    <n v="8"/>
    <n v="105000"/>
    <n v="840000"/>
    <n v="560000"/>
    <n v="280000"/>
  </r>
  <r>
    <s v="TRX-202510-1005"/>
    <x v="284"/>
    <s v="CUST004"/>
    <s v="PRD005"/>
    <n v="5"/>
    <n v="105000"/>
    <n v="525000"/>
    <n v="350000"/>
    <n v="175000"/>
  </r>
  <r>
    <s v="TRX-202510-1005"/>
    <x v="284"/>
    <s v="CUST004"/>
    <s v="PRD003"/>
    <n v="1"/>
    <n v="130000"/>
    <n v="130000"/>
    <n v="85000"/>
    <n v="45000"/>
  </r>
  <r>
    <s v="TRX-202510-1006"/>
    <x v="285"/>
    <s v="CUST007"/>
    <s v="PRD009"/>
    <n v="6"/>
    <n v="52000"/>
    <n v="312000"/>
    <n v="210000"/>
    <n v="102000"/>
  </r>
  <r>
    <s v="TRX-202510-1006"/>
    <x v="285"/>
    <s v="CUST007"/>
    <s v="PRD001"/>
    <n v="6"/>
    <n v="175000"/>
    <n v="1050000"/>
    <n v="720000"/>
    <n v="330000"/>
  </r>
  <r>
    <s v="TRX-202510-1007"/>
    <x v="285"/>
    <s v="CUST006"/>
    <s v="PRD008"/>
    <n v="8"/>
    <n v="40000"/>
    <n v="320000"/>
    <n v="224000"/>
    <n v="96000"/>
  </r>
  <r>
    <s v="TRX-202510-1007"/>
    <x v="285"/>
    <s v="CUST006"/>
    <s v="PRD003"/>
    <n v="8"/>
    <n v="130000"/>
    <n v="1040000"/>
    <n v="680000"/>
    <n v="360000"/>
  </r>
  <r>
    <s v="TRX-202510-1008"/>
    <x v="285"/>
    <s v="CUST004"/>
    <s v="PRD012"/>
    <n v="5"/>
    <n v="48000"/>
    <n v="240000"/>
    <n v="160000"/>
    <n v="80000"/>
  </r>
  <r>
    <s v="TRX-202510-1008"/>
    <x v="285"/>
    <s v="CUST004"/>
    <s v="PRD003"/>
    <n v="7"/>
    <n v="130000"/>
    <n v="910000"/>
    <n v="595000"/>
    <n v="315000"/>
  </r>
  <r>
    <s v="TRX-202510-1008"/>
    <x v="285"/>
    <s v="CUST004"/>
    <s v="PRD007"/>
    <n v="1"/>
    <n v="225000"/>
    <n v="225000"/>
    <n v="180000"/>
    <n v="45000"/>
  </r>
  <r>
    <s v="TRX-202510-1009"/>
    <x v="285"/>
    <s v="CUST002"/>
    <s v="PRD008"/>
    <n v="2"/>
    <n v="40000"/>
    <n v="80000"/>
    <n v="56000"/>
    <n v="24000"/>
  </r>
  <r>
    <s v="TRX-202510-1009"/>
    <x v="285"/>
    <s v="CUST002"/>
    <s v="PRD009"/>
    <n v="4"/>
    <n v="52000"/>
    <n v="208000"/>
    <n v="140000"/>
    <n v="68000"/>
  </r>
  <r>
    <s v="TRX-202510-1009"/>
    <x v="285"/>
    <s v="CUST002"/>
    <s v="PRD006"/>
    <n v="6"/>
    <n v="110000"/>
    <n v="660000"/>
    <n v="450000"/>
    <n v="210000"/>
  </r>
  <r>
    <s v="TRX-202510-1010"/>
    <x v="286"/>
    <s v="CUST004"/>
    <s v="PRD010"/>
    <n v="5"/>
    <n v="20000"/>
    <n v="100000"/>
    <n v="60000"/>
    <n v="40000"/>
  </r>
  <r>
    <s v="TRX-202510-1011"/>
    <x v="286"/>
    <s v="CUST003"/>
    <s v="PRD012"/>
    <n v="7"/>
    <n v="48000"/>
    <n v="336000"/>
    <n v="224000"/>
    <n v="112000"/>
  </r>
  <r>
    <s v="TRX-202510-1012"/>
    <x v="286"/>
    <s v="CUST007"/>
    <s v="PRD004"/>
    <n v="5"/>
    <n v="105000"/>
    <n v="525000"/>
    <n v="350000"/>
    <n v="175000"/>
  </r>
  <r>
    <s v="TRX-202510-1012"/>
    <x v="286"/>
    <s v="CUST007"/>
    <s v="PRD007"/>
    <n v="6"/>
    <n v="225000"/>
    <n v="1350000"/>
    <n v="1080000"/>
    <n v="270000"/>
  </r>
  <r>
    <s v="TRX-202510-1013"/>
    <x v="287"/>
    <s v="CUST007"/>
    <s v="PRD011"/>
    <n v="7"/>
    <n v="35000"/>
    <n v="245000"/>
    <n v="154000"/>
    <n v="91000"/>
  </r>
  <r>
    <s v="TRX-202510-1013"/>
    <x v="287"/>
    <s v="CUST007"/>
    <s v="PRD007"/>
    <n v="4"/>
    <n v="225000"/>
    <n v="900000"/>
    <n v="720000"/>
    <n v="180000"/>
  </r>
  <r>
    <s v="TRX-202510-1013"/>
    <x v="287"/>
    <s v="CUST007"/>
    <s v="PRD012"/>
    <n v="1"/>
    <n v="48000"/>
    <n v="48000"/>
    <n v="32000"/>
    <n v="16000"/>
  </r>
  <r>
    <s v="TRX-202510-1014"/>
    <x v="287"/>
    <s v="CUST004"/>
    <s v="PRD010"/>
    <n v="2"/>
    <n v="20000"/>
    <n v="40000"/>
    <n v="24000"/>
    <n v="16000"/>
  </r>
  <r>
    <s v="TRX-202510-1015"/>
    <x v="288"/>
    <s v="CUST003"/>
    <s v="PRD002"/>
    <n v="4"/>
    <n v="70000"/>
    <n v="280000"/>
    <n v="180000"/>
    <n v="100000"/>
  </r>
  <r>
    <s v="TRX-202510-1015"/>
    <x v="288"/>
    <s v="CUST003"/>
    <s v="PRD001"/>
    <n v="8"/>
    <n v="175000"/>
    <n v="1400000"/>
    <n v="960000"/>
    <n v="440000"/>
  </r>
  <r>
    <s v="TRX-202510-1016"/>
    <x v="288"/>
    <s v="CUST008"/>
    <s v="PRD011"/>
    <n v="8"/>
    <n v="35000"/>
    <n v="280000"/>
    <n v="176000"/>
    <n v="104000"/>
  </r>
  <r>
    <s v="TRX-202510-1017"/>
    <x v="288"/>
    <s v="CUST004"/>
    <s v="PRD008"/>
    <n v="2"/>
    <n v="40000"/>
    <n v="80000"/>
    <n v="56000"/>
    <n v="24000"/>
  </r>
  <r>
    <s v="TRX-202510-1018"/>
    <x v="288"/>
    <s v="CUST006"/>
    <s v="PRD004"/>
    <n v="8"/>
    <n v="105000"/>
    <n v="840000"/>
    <n v="560000"/>
    <n v="280000"/>
  </r>
  <r>
    <s v="TRX-202510-1019"/>
    <x v="289"/>
    <s v="CUST006"/>
    <s v="PRD012"/>
    <n v="8"/>
    <n v="48000"/>
    <n v="384000"/>
    <n v="256000"/>
    <n v="128000"/>
  </r>
  <r>
    <s v="TRX-202510-1019"/>
    <x v="289"/>
    <s v="CUST006"/>
    <s v="PRD009"/>
    <n v="7"/>
    <n v="52000"/>
    <n v="364000"/>
    <n v="245000"/>
    <n v="119000"/>
  </r>
  <r>
    <s v="TRX-202510-1020"/>
    <x v="289"/>
    <s v="CUST002"/>
    <s v="PRD003"/>
    <n v="5"/>
    <n v="130000"/>
    <n v="650000"/>
    <n v="425000"/>
    <n v="225000"/>
  </r>
  <r>
    <s v="TRX-202510-1021"/>
    <x v="290"/>
    <s v="CUST005"/>
    <s v="PRD005"/>
    <n v="3"/>
    <n v="105000"/>
    <n v="315000"/>
    <n v="210000"/>
    <n v="105000"/>
  </r>
  <r>
    <s v="TRX-202510-1021"/>
    <x v="290"/>
    <s v="CUST005"/>
    <s v="PRD010"/>
    <n v="3"/>
    <n v="20000"/>
    <n v="60000"/>
    <n v="36000"/>
    <n v="24000"/>
  </r>
  <r>
    <s v="TRX-202510-1021"/>
    <x v="290"/>
    <s v="CUST005"/>
    <s v="PRD001"/>
    <n v="5"/>
    <n v="175000"/>
    <n v="875000"/>
    <n v="600000"/>
    <n v="275000"/>
  </r>
  <r>
    <s v="TRX-202510-1022"/>
    <x v="290"/>
    <s v="CUST001"/>
    <s v="PRD006"/>
    <n v="6"/>
    <n v="110000"/>
    <n v="660000"/>
    <n v="450000"/>
    <n v="210000"/>
  </r>
  <r>
    <s v="TRX-202510-1023"/>
    <x v="290"/>
    <s v="CUST005"/>
    <s v="PRD012"/>
    <n v="5"/>
    <n v="48000"/>
    <n v="240000"/>
    <n v="160000"/>
    <n v="80000"/>
  </r>
  <r>
    <s v="TRX-202510-1023"/>
    <x v="290"/>
    <s v="CUST005"/>
    <s v="PRD003"/>
    <n v="8"/>
    <n v="130000"/>
    <n v="1040000"/>
    <n v="680000"/>
    <n v="360000"/>
  </r>
  <r>
    <s v="TRX-202510-1024"/>
    <x v="290"/>
    <s v="CUST008"/>
    <s v="PRD005"/>
    <n v="3"/>
    <n v="105000"/>
    <n v="315000"/>
    <n v="210000"/>
    <n v="105000"/>
  </r>
  <r>
    <s v="TRX-202510-1024"/>
    <x v="290"/>
    <s v="CUST008"/>
    <s v="PRD003"/>
    <n v="5"/>
    <n v="130000"/>
    <n v="650000"/>
    <n v="425000"/>
    <n v="225000"/>
  </r>
  <r>
    <s v="TRX-202510-1024"/>
    <x v="290"/>
    <s v="CUST008"/>
    <s v="PRD011"/>
    <n v="7"/>
    <n v="35000"/>
    <n v="245000"/>
    <n v="154000"/>
    <n v="91000"/>
  </r>
  <r>
    <s v="TRX-202510-1025"/>
    <x v="290"/>
    <s v="CUST005"/>
    <s v="PRD004"/>
    <n v="5"/>
    <n v="105000"/>
    <n v="525000"/>
    <n v="350000"/>
    <n v="175000"/>
  </r>
  <r>
    <s v="TRX-202510-1025"/>
    <x v="290"/>
    <s v="CUST005"/>
    <s v="PRD001"/>
    <n v="3"/>
    <n v="175000"/>
    <n v="525000"/>
    <n v="360000"/>
    <n v="165000"/>
  </r>
  <r>
    <s v="TRX-202510-1025"/>
    <x v="290"/>
    <s v="CUST005"/>
    <s v="PRD012"/>
    <n v="1"/>
    <n v="48000"/>
    <n v="48000"/>
    <n v="32000"/>
    <n v="16000"/>
  </r>
  <r>
    <s v="TRX-202510-1026"/>
    <x v="291"/>
    <s v="CUST006"/>
    <s v="PRD005"/>
    <n v="4"/>
    <n v="105000"/>
    <n v="420000"/>
    <n v="280000"/>
    <n v="140000"/>
  </r>
  <r>
    <s v="TRX-202510-1027"/>
    <x v="291"/>
    <s v="CUST004"/>
    <s v="PRD005"/>
    <n v="2"/>
    <n v="105000"/>
    <n v="210000"/>
    <n v="140000"/>
    <n v="70000"/>
  </r>
  <r>
    <s v="TRX-202510-1028"/>
    <x v="292"/>
    <s v="CUST008"/>
    <s v="PRD009"/>
    <n v="5"/>
    <n v="52000"/>
    <n v="260000"/>
    <n v="175000"/>
    <n v="85000"/>
  </r>
  <r>
    <s v="TRX-202510-1028"/>
    <x v="292"/>
    <s v="CUST008"/>
    <s v="PRD004"/>
    <n v="3"/>
    <n v="105000"/>
    <n v="315000"/>
    <n v="210000"/>
    <n v="105000"/>
  </r>
  <r>
    <s v="TRX-202510-1028"/>
    <x v="292"/>
    <s v="CUST008"/>
    <s v="PRD011"/>
    <n v="4"/>
    <n v="35000"/>
    <n v="140000"/>
    <n v="88000"/>
    <n v="52000"/>
  </r>
  <r>
    <s v="TRX-202510-1029"/>
    <x v="292"/>
    <s v="CUST004"/>
    <s v="PRD012"/>
    <n v="1"/>
    <n v="48000"/>
    <n v="48000"/>
    <n v="32000"/>
    <n v="16000"/>
  </r>
  <r>
    <s v="TRX-202510-1029"/>
    <x v="292"/>
    <s v="CUST004"/>
    <s v="PRD008"/>
    <n v="5"/>
    <n v="40000"/>
    <n v="200000"/>
    <n v="140000"/>
    <n v="60000"/>
  </r>
  <r>
    <s v="TRX-202510-1029"/>
    <x v="292"/>
    <s v="CUST004"/>
    <s v="PRD003"/>
    <n v="5"/>
    <n v="130000"/>
    <n v="650000"/>
    <n v="425000"/>
    <n v="225000"/>
  </r>
  <r>
    <s v="TRX-202510-1030"/>
    <x v="293"/>
    <s v="CUST004"/>
    <s v="PRD008"/>
    <n v="1"/>
    <n v="40000"/>
    <n v="40000"/>
    <n v="28000"/>
    <n v="12000"/>
  </r>
  <r>
    <s v="TRX-202510-1030"/>
    <x v="293"/>
    <s v="CUST004"/>
    <s v="PRD005"/>
    <n v="7"/>
    <n v="105000"/>
    <n v="735000"/>
    <n v="490000"/>
    <n v="245000"/>
  </r>
  <r>
    <s v="TRX-202510-1030"/>
    <x v="293"/>
    <s v="CUST004"/>
    <s v="PRD010"/>
    <n v="2"/>
    <n v="20000"/>
    <n v="40000"/>
    <n v="24000"/>
    <n v="16000"/>
  </r>
  <r>
    <s v="TRX-202510-1031"/>
    <x v="293"/>
    <s v="CUST008"/>
    <s v="PRD004"/>
    <n v="8"/>
    <n v="105000"/>
    <n v="840000"/>
    <n v="560000"/>
    <n v="280000"/>
  </r>
  <r>
    <s v="TRX-202510-1031"/>
    <x v="293"/>
    <s v="CUST008"/>
    <s v="PRD010"/>
    <n v="1"/>
    <n v="20000"/>
    <n v="20000"/>
    <n v="12000"/>
    <n v="8000"/>
  </r>
  <r>
    <s v="TRX-202510-1031"/>
    <x v="293"/>
    <s v="CUST008"/>
    <s v="PRD011"/>
    <n v="5"/>
    <n v="35000"/>
    <n v="175000"/>
    <n v="110000"/>
    <n v="65000"/>
  </r>
  <r>
    <s v="TRX-202510-1032"/>
    <x v="294"/>
    <s v="CUST003"/>
    <s v="PRD007"/>
    <n v="5"/>
    <n v="225000"/>
    <n v="1125000"/>
    <n v="900000"/>
    <n v="225000"/>
  </r>
  <r>
    <s v="TRX-202510-1033"/>
    <x v="294"/>
    <s v="CUST002"/>
    <s v="PRD006"/>
    <n v="3"/>
    <n v="110000"/>
    <n v="330000"/>
    <n v="225000"/>
    <n v="105000"/>
  </r>
  <r>
    <s v="TRX-202510-1033"/>
    <x v="294"/>
    <s v="CUST002"/>
    <s v="PRD011"/>
    <n v="4"/>
    <n v="35000"/>
    <n v="140000"/>
    <n v="88000"/>
    <n v="52000"/>
  </r>
  <r>
    <s v="TRX-202510-1034"/>
    <x v="294"/>
    <s v="CUST002"/>
    <s v="PRD004"/>
    <n v="5"/>
    <n v="105000"/>
    <n v="525000"/>
    <n v="350000"/>
    <n v="175000"/>
  </r>
  <r>
    <s v="TRX-202510-1035"/>
    <x v="295"/>
    <s v="CUST004"/>
    <s v="PRD008"/>
    <n v="6"/>
    <n v="40000"/>
    <n v="240000"/>
    <n v="168000"/>
    <n v="72000"/>
  </r>
  <r>
    <s v="TRX-202510-1035"/>
    <x v="295"/>
    <s v="CUST004"/>
    <s v="PRD005"/>
    <n v="3"/>
    <n v="105000"/>
    <n v="315000"/>
    <n v="210000"/>
    <n v="105000"/>
  </r>
  <r>
    <s v="TRX-202510-1036"/>
    <x v="295"/>
    <s v="CUST005"/>
    <s v="PRD012"/>
    <n v="6"/>
    <n v="48000"/>
    <n v="288000"/>
    <n v="192000"/>
    <n v="96000"/>
  </r>
  <r>
    <s v="TRX-202510-1036"/>
    <x v="295"/>
    <s v="CUST005"/>
    <s v="PRD006"/>
    <n v="8"/>
    <n v="110000"/>
    <n v="880000"/>
    <n v="600000"/>
    <n v="280000"/>
  </r>
  <r>
    <s v="TRX-202510-1037"/>
    <x v="295"/>
    <s v="CUST005"/>
    <s v="PRD010"/>
    <n v="7"/>
    <n v="20000"/>
    <n v="140000"/>
    <n v="84000"/>
    <n v="56000"/>
  </r>
  <r>
    <s v="TRX-202510-1037"/>
    <x v="295"/>
    <s v="CUST005"/>
    <s v="PRD007"/>
    <n v="1"/>
    <n v="225000"/>
    <n v="225000"/>
    <n v="180000"/>
    <n v="45000"/>
  </r>
  <r>
    <s v="TRX-202510-1038"/>
    <x v="295"/>
    <s v="CUST007"/>
    <s v="PRD007"/>
    <n v="6"/>
    <n v="225000"/>
    <n v="1350000"/>
    <n v="1080000"/>
    <n v="270000"/>
  </r>
  <r>
    <s v="TRX-202510-1039"/>
    <x v="296"/>
    <s v="CUST008"/>
    <s v="PRD011"/>
    <n v="7"/>
    <n v="35000"/>
    <n v="245000"/>
    <n v="154000"/>
    <n v="91000"/>
  </r>
  <r>
    <s v="TRX-202510-1040"/>
    <x v="296"/>
    <s v="CUST008"/>
    <s v="PRD005"/>
    <n v="7"/>
    <n v="105000"/>
    <n v="735000"/>
    <n v="490000"/>
    <n v="245000"/>
  </r>
  <r>
    <s v="TRX-202510-1041"/>
    <x v="296"/>
    <s v="CUST001"/>
    <s v="PRD001"/>
    <n v="6"/>
    <n v="175000"/>
    <n v="1050000"/>
    <n v="720000"/>
    <n v="330000"/>
  </r>
  <r>
    <s v="TRX-202510-1042"/>
    <x v="296"/>
    <s v="CUST005"/>
    <s v="PRD006"/>
    <n v="2"/>
    <n v="110000"/>
    <n v="220000"/>
    <n v="150000"/>
    <n v="70000"/>
  </r>
  <r>
    <s v="TRX-202510-1042"/>
    <x v="296"/>
    <s v="CUST005"/>
    <s v="PRD008"/>
    <n v="8"/>
    <n v="40000"/>
    <n v="320000"/>
    <n v="224000"/>
    <n v="96000"/>
  </r>
  <r>
    <s v="TRX-202510-1042"/>
    <x v="296"/>
    <s v="CUST005"/>
    <s v="PRD005"/>
    <n v="3"/>
    <n v="105000"/>
    <n v="315000"/>
    <n v="210000"/>
    <n v="105000"/>
  </r>
  <r>
    <s v="TRX-202510-1043"/>
    <x v="296"/>
    <s v="CUST002"/>
    <s v="PRD012"/>
    <n v="3"/>
    <n v="48000"/>
    <n v="144000"/>
    <n v="96000"/>
    <n v="48000"/>
  </r>
  <r>
    <s v="TRX-202510-1043"/>
    <x v="296"/>
    <s v="CUST002"/>
    <s v="PRD007"/>
    <n v="3"/>
    <n v="225000"/>
    <n v="675000"/>
    <n v="540000"/>
    <n v="135000"/>
  </r>
  <r>
    <s v="TRX-202510-1044"/>
    <x v="297"/>
    <s v="CUST004"/>
    <s v="PRD006"/>
    <n v="4"/>
    <n v="110000"/>
    <n v="440000"/>
    <n v="300000"/>
    <n v="140000"/>
  </r>
  <r>
    <s v="TRX-202510-1044"/>
    <x v="297"/>
    <s v="CUST004"/>
    <s v="PRD012"/>
    <n v="5"/>
    <n v="48000"/>
    <n v="240000"/>
    <n v="160000"/>
    <n v="80000"/>
  </r>
  <r>
    <s v="TRX-202510-1045"/>
    <x v="297"/>
    <s v="CUST005"/>
    <s v="PRD012"/>
    <n v="2"/>
    <n v="48000"/>
    <n v="96000"/>
    <n v="64000"/>
    <n v="32000"/>
  </r>
  <r>
    <s v="TRX-202510-1045"/>
    <x v="297"/>
    <s v="CUST005"/>
    <s v="PRD001"/>
    <n v="7"/>
    <n v="175000"/>
    <n v="1225000"/>
    <n v="840000"/>
    <n v="385000"/>
  </r>
  <r>
    <s v="TRX-202510-1045"/>
    <x v="297"/>
    <s v="CUST005"/>
    <s v="PRD003"/>
    <n v="7"/>
    <n v="130000"/>
    <n v="910000"/>
    <n v="595000"/>
    <n v="315000"/>
  </r>
  <r>
    <s v="TRX-202510-1046"/>
    <x v="297"/>
    <s v="CUST007"/>
    <s v="PRD001"/>
    <n v="1"/>
    <n v="175000"/>
    <n v="175000"/>
    <n v="120000"/>
    <n v="55000"/>
  </r>
  <r>
    <s v="TRX-202510-1046"/>
    <x v="297"/>
    <s v="CUST007"/>
    <s v="PRD009"/>
    <n v="6"/>
    <n v="52000"/>
    <n v="312000"/>
    <n v="210000"/>
    <n v="102000"/>
  </r>
  <r>
    <s v="TRX-202510-1047"/>
    <x v="297"/>
    <s v="CUST001"/>
    <s v="PRD007"/>
    <n v="6"/>
    <n v="225000"/>
    <n v="1350000"/>
    <n v="1080000"/>
    <n v="270000"/>
  </r>
  <r>
    <s v="TRX-202510-1047"/>
    <x v="297"/>
    <s v="CUST001"/>
    <s v="PRD001"/>
    <n v="8"/>
    <n v="175000"/>
    <n v="1400000"/>
    <n v="960000"/>
    <n v="440000"/>
  </r>
  <r>
    <s v="TRX-202510-1047"/>
    <x v="297"/>
    <s v="CUST001"/>
    <s v="PRD009"/>
    <n v="5"/>
    <n v="52000"/>
    <n v="260000"/>
    <n v="175000"/>
    <n v="85000"/>
  </r>
  <r>
    <s v="TRX-202510-1048"/>
    <x v="297"/>
    <s v="CUST006"/>
    <s v="PRD002"/>
    <n v="2"/>
    <n v="70000"/>
    <n v="140000"/>
    <n v="90000"/>
    <n v="50000"/>
  </r>
  <r>
    <s v="TRX-202510-1048"/>
    <x v="297"/>
    <s v="CUST006"/>
    <s v="PRD012"/>
    <n v="2"/>
    <n v="48000"/>
    <n v="96000"/>
    <n v="64000"/>
    <n v="32000"/>
  </r>
  <r>
    <s v="TRX-202510-1048"/>
    <x v="297"/>
    <s v="CUST006"/>
    <s v="PRD010"/>
    <n v="3"/>
    <n v="20000"/>
    <n v="60000"/>
    <n v="36000"/>
    <n v="24000"/>
  </r>
  <r>
    <s v="TRX-202510-1049"/>
    <x v="298"/>
    <s v="CUST005"/>
    <s v="PRD010"/>
    <n v="7"/>
    <n v="20000"/>
    <n v="140000"/>
    <n v="84000"/>
    <n v="56000"/>
  </r>
  <r>
    <s v="TRX-202510-1050"/>
    <x v="298"/>
    <s v="CUST001"/>
    <s v="PRD004"/>
    <n v="6"/>
    <n v="105000"/>
    <n v="630000"/>
    <n v="420000"/>
    <n v="210000"/>
  </r>
  <r>
    <s v="TRX-202510-1051"/>
    <x v="298"/>
    <s v="CUST007"/>
    <s v="PRD005"/>
    <n v="4"/>
    <n v="105000"/>
    <n v="420000"/>
    <n v="280000"/>
    <n v="140000"/>
  </r>
  <r>
    <s v="TRX-202510-1052"/>
    <x v="298"/>
    <s v="CUST006"/>
    <s v="PRD008"/>
    <n v="6"/>
    <n v="40000"/>
    <n v="240000"/>
    <n v="168000"/>
    <n v="72000"/>
  </r>
  <r>
    <s v="TRX-202510-1052"/>
    <x v="298"/>
    <s v="CUST006"/>
    <s v="PRD011"/>
    <n v="3"/>
    <n v="35000"/>
    <n v="105000"/>
    <n v="66000"/>
    <n v="39000"/>
  </r>
  <r>
    <s v="TRX-202510-1052"/>
    <x v="298"/>
    <s v="CUST006"/>
    <s v="PRD004"/>
    <n v="4"/>
    <n v="105000"/>
    <n v="420000"/>
    <n v="280000"/>
    <n v="140000"/>
  </r>
  <r>
    <s v="TRX-202510-1053"/>
    <x v="298"/>
    <s v="CUST003"/>
    <s v="PRD005"/>
    <n v="3"/>
    <n v="105000"/>
    <n v="315000"/>
    <n v="210000"/>
    <n v="105000"/>
  </r>
  <r>
    <s v="TRX-202510-1054"/>
    <x v="299"/>
    <s v="CUST007"/>
    <s v="PRD008"/>
    <n v="8"/>
    <n v="40000"/>
    <n v="320000"/>
    <n v="224000"/>
    <n v="96000"/>
  </r>
  <r>
    <s v="TRX-202510-1055"/>
    <x v="299"/>
    <s v="CUST007"/>
    <s v="PRD004"/>
    <n v="7"/>
    <n v="105000"/>
    <n v="735000"/>
    <n v="490000"/>
    <n v="245000"/>
  </r>
  <r>
    <s v="TRX-202510-1056"/>
    <x v="299"/>
    <s v="CUST002"/>
    <s v="PRD003"/>
    <n v="2"/>
    <n v="130000"/>
    <n v="260000"/>
    <n v="170000"/>
    <n v="90000"/>
  </r>
  <r>
    <s v="TRX-202510-1057"/>
    <x v="300"/>
    <s v="CUST005"/>
    <s v="PRD012"/>
    <n v="2"/>
    <n v="48000"/>
    <n v="96000"/>
    <n v="64000"/>
    <n v="32000"/>
  </r>
  <r>
    <s v="TRX-202510-1058"/>
    <x v="300"/>
    <s v="CUST007"/>
    <s v="PRD001"/>
    <n v="6"/>
    <n v="175000"/>
    <n v="1050000"/>
    <n v="720000"/>
    <n v="330000"/>
  </r>
  <r>
    <s v="TRX-202510-1058"/>
    <x v="300"/>
    <s v="CUST007"/>
    <s v="PRD005"/>
    <n v="1"/>
    <n v="105000"/>
    <n v="105000"/>
    <n v="70000"/>
    <n v="35000"/>
  </r>
  <r>
    <s v="TRX-202510-1059"/>
    <x v="300"/>
    <s v="CUST003"/>
    <s v="PRD003"/>
    <n v="1"/>
    <n v="130000"/>
    <n v="130000"/>
    <n v="85000"/>
    <n v="45000"/>
  </r>
  <r>
    <s v="TRX-202510-1060"/>
    <x v="300"/>
    <s v="CUST003"/>
    <s v="PRD003"/>
    <n v="1"/>
    <n v="130000"/>
    <n v="130000"/>
    <n v="85000"/>
    <n v="45000"/>
  </r>
  <r>
    <s v="TRX-202510-1060"/>
    <x v="300"/>
    <s v="CUST003"/>
    <s v="PRD012"/>
    <n v="1"/>
    <n v="48000"/>
    <n v="48000"/>
    <n v="32000"/>
    <n v="16000"/>
  </r>
  <r>
    <s v="TRX-202510-1060"/>
    <x v="300"/>
    <s v="CUST003"/>
    <s v="PRD008"/>
    <n v="4"/>
    <n v="40000"/>
    <n v="160000"/>
    <n v="112000"/>
    <n v="48000"/>
  </r>
  <r>
    <s v="TRX-202510-1061"/>
    <x v="300"/>
    <s v="CUST005"/>
    <s v="PRD010"/>
    <n v="3"/>
    <n v="20000"/>
    <n v="60000"/>
    <n v="36000"/>
    <n v="24000"/>
  </r>
  <r>
    <s v="TRX-202510-1061"/>
    <x v="300"/>
    <s v="CUST005"/>
    <s v="PRD007"/>
    <n v="7"/>
    <n v="225000"/>
    <n v="1575000"/>
    <n v="1260000"/>
    <n v="315000"/>
  </r>
  <r>
    <s v="TRX-202510-1062"/>
    <x v="301"/>
    <s v="CUST007"/>
    <s v="PRD009"/>
    <n v="7"/>
    <n v="52000"/>
    <n v="364000"/>
    <n v="245000"/>
    <n v="119000"/>
  </r>
  <r>
    <s v="TRX-202510-1063"/>
    <x v="301"/>
    <s v="CUST003"/>
    <s v="PRD002"/>
    <n v="1"/>
    <n v="70000"/>
    <n v="70000"/>
    <n v="45000"/>
    <n v="25000"/>
  </r>
  <r>
    <s v="TRX-202510-1064"/>
    <x v="301"/>
    <s v="CUST006"/>
    <s v="PRD002"/>
    <n v="7"/>
    <n v="70000"/>
    <n v="490000"/>
    <n v="315000"/>
    <n v="175000"/>
  </r>
  <r>
    <s v="TRX-202510-1065"/>
    <x v="302"/>
    <s v="CUST003"/>
    <s v="PRD009"/>
    <n v="3"/>
    <n v="52000"/>
    <n v="156000"/>
    <n v="105000"/>
    <n v="51000"/>
  </r>
  <r>
    <s v="TRX-202510-1066"/>
    <x v="302"/>
    <s v="CUST003"/>
    <s v="PRD011"/>
    <n v="2"/>
    <n v="35000"/>
    <n v="70000"/>
    <n v="44000"/>
    <n v="26000"/>
  </r>
  <r>
    <s v="TRX-202510-1067"/>
    <x v="302"/>
    <s v="CUST002"/>
    <s v="PRD007"/>
    <n v="2"/>
    <n v="225000"/>
    <n v="450000"/>
    <n v="360000"/>
    <n v="90000"/>
  </r>
  <r>
    <s v="TRX-202510-1067"/>
    <x v="302"/>
    <s v="CUST002"/>
    <s v="PRD005"/>
    <n v="4"/>
    <n v="105000"/>
    <n v="420000"/>
    <n v="280000"/>
    <n v="140000"/>
  </r>
  <r>
    <s v="TRX-202510-1067"/>
    <x v="302"/>
    <s v="CUST002"/>
    <s v="PRD010"/>
    <n v="4"/>
    <n v="20000"/>
    <n v="80000"/>
    <n v="48000"/>
    <n v="32000"/>
  </r>
  <r>
    <s v="TRX-202510-1068"/>
    <x v="303"/>
    <s v="CUST003"/>
    <s v="PRD001"/>
    <n v="7"/>
    <n v="175000"/>
    <n v="1225000"/>
    <n v="840000"/>
    <n v="385000"/>
  </r>
  <r>
    <s v="TRX-202510-1068"/>
    <x v="303"/>
    <s v="CUST003"/>
    <s v="PRD004"/>
    <n v="6"/>
    <n v="105000"/>
    <n v="630000"/>
    <n v="420000"/>
    <n v="210000"/>
  </r>
  <r>
    <s v="TRX-202510-1068"/>
    <x v="303"/>
    <s v="CUST003"/>
    <s v="PRD003"/>
    <n v="1"/>
    <n v="130000"/>
    <n v="130000"/>
    <n v="85000"/>
    <n v="45000"/>
  </r>
  <r>
    <s v="TRX-202510-1069"/>
    <x v="303"/>
    <s v="CUST008"/>
    <s v="PRD006"/>
    <n v="7"/>
    <n v="110000"/>
    <n v="770000"/>
    <n v="525000"/>
    <n v="245000"/>
  </r>
  <r>
    <s v="TRX-202510-1069"/>
    <x v="303"/>
    <s v="CUST008"/>
    <s v="PRD004"/>
    <n v="8"/>
    <n v="105000"/>
    <n v="840000"/>
    <n v="560000"/>
    <n v="280000"/>
  </r>
  <r>
    <s v="TRX-202511-1070"/>
    <x v="304"/>
    <s v="CUST002"/>
    <s v="PRD008"/>
    <n v="2"/>
    <n v="40000"/>
    <n v="80000"/>
    <n v="56000"/>
    <n v="24000"/>
  </r>
  <r>
    <s v="TRX-202511-1071"/>
    <x v="304"/>
    <s v="CUST002"/>
    <s v="PRD012"/>
    <n v="6"/>
    <n v="48000"/>
    <n v="288000"/>
    <n v="192000"/>
    <n v="96000"/>
  </r>
  <r>
    <s v="TRX-202511-1071"/>
    <x v="304"/>
    <s v="CUST002"/>
    <s v="PRD005"/>
    <n v="5"/>
    <n v="105000"/>
    <n v="525000"/>
    <n v="350000"/>
    <n v="175000"/>
  </r>
  <r>
    <s v="TRX-202511-1071"/>
    <x v="304"/>
    <s v="CUST002"/>
    <s v="PRD003"/>
    <n v="8"/>
    <n v="130000"/>
    <n v="1040000"/>
    <n v="680000"/>
    <n v="360000"/>
  </r>
  <r>
    <s v="TRX-202511-1072"/>
    <x v="304"/>
    <s v="CUST007"/>
    <s v="PRD002"/>
    <n v="7"/>
    <n v="70000"/>
    <n v="490000"/>
    <n v="315000"/>
    <n v="175000"/>
  </r>
  <r>
    <s v="TRX-202511-1072"/>
    <x v="304"/>
    <s v="CUST007"/>
    <s v="PRD009"/>
    <n v="4"/>
    <n v="52000"/>
    <n v="208000"/>
    <n v="140000"/>
    <n v="68000"/>
  </r>
  <r>
    <s v="TRX-202511-1072"/>
    <x v="304"/>
    <s v="CUST007"/>
    <s v="PRD003"/>
    <n v="3"/>
    <n v="130000"/>
    <n v="390000"/>
    <n v="255000"/>
    <n v="135000"/>
  </r>
  <r>
    <s v="TRX-202511-1073"/>
    <x v="305"/>
    <s v="CUST007"/>
    <s v="PRD005"/>
    <n v="1"/>
    <n v="105000"/>
    <n v="105000"/>
    <n v="70000"/>
    <n v="35000"/>
  </r>
  <r>
    <s v="TRX-202511-1074"/>
    <x v="305"/>
    <s v="CUST007"/>
    <s v="PRD007"/>
    <n v="7"/>
    <n v="225000"/>
    <n v="1575000"/>
    <n v="1260000"/>
    <n v="315000"/>
  </r>
  <r>
    <s v="TRX-202511-1074"/>
    <x v="305"/>
    <s v="CUST007"/>
    <s v="PRD009"/>
    <n v="8"/>
    <n v="52000"/>
    <n v="416000"/>
    <n v="280000"/>
    <n v="136000"/>
  </r>
  <r>
    <s v="TRX-202511-1075"/>
    <x v="305"/>
    <s v="CUST008"/>
    <s v="PRD003"/>
    <n v="1"/>
    <n v="130000"/>
    <n v="130000"/>
    <n v="85000"/>
    <n v="45000"/>
  </r>
  <r>
    <s v="TRX-202511-1075"/>
    <x v="305"/>
    <s v="CUST008"/>
    <s v="PRD005"/>
    <n v="2"/>
    <n v="105000"/>
    <n v="210000"/>
    <n v="140000"/>
    <n v="70000"/>
  </r>
  <r>
    <s v="TRX-202511-1076"/>
    <x v="306"/>
    <s v="CUST002"/>
    <s v="PRD012"/>
    <n v="4"/>
    <n v="48000"/>
    <n v="192000"/>
    <n v="128000"/>
    <n v="64000"/>
  </r>
  <r>
    <s v="TRX-202511-1076"/>
    <x v="306"/>
    <s v="CUST002"/>
    <s v="PRD010"/>
    <n v="8"/>
    <n v="20000"/>
    <n v="160000"/>
    <n v="96000"/>
    <n v="64000"/>
  </r>
  <r>
    <s v="TRX-202511-1076"/>
    <x v="306"/>
    <s v="CUST002"/>
    <s v="PRD003"/>
    <n v="3"/>
    <n v="130000"/>
    <n v="390000"/>
    <n v="255000"/>
    <n v="135000"/>
  </r>
  <r>
    <s v="TRX-202511-1077"/>
    <x v="306"/>
    <s v="CUST005"/>
    <s v="PRD001"/>
    <n v="2"/>
    <n v="175000"/>
    <n v="350000"/>
    <n v="240000"/>
    <n v="110000"/>
  </r>
  <r>
    <s v="TRX-202511-1077"/>
    <x v="306"/>
    <s v="CUST005"/>
    <s v="PRD011"/>
    <n v="5"/>
    <n v="35000"/>
    <n v="175000"/>
    <n v="110000"/>
    <n v="65000"/>
  </r>
  <r>
    <s v="TRX-202511-1078"/>
    <x v="306"/>
    <s v="CUST002"/>
    <s v="PRD010"/>
    <n v="8"/>
    <n v="20000"/>
    <n v="160000"/>
    <n v="96000"/>
    <n v="64000"/>
  </r>
  <r>
    <s v="TRX-202511-1078"/>
    <x v="306"/>
    <s v="CUST002"/>
    <s v="PRD008"/>
    <n v="5"/>
    <n v="40000"/>
    <n v="200000"/>
    <n v="140000"/>
    <n v="60000"/>
  </r>
  <r>
    <s v="TRX-202511-1078"/>
    <x v="306"/>
    <s v="CUST002"/>
    <s v="PRD004"/>
    <n v="2"/>
    <n v="105000"/>
    <n v="210000"/>
    <n v="140000"/>
    <n v="70000"/>
  </r>
  <r>
    <s v="TRX-202511-1079"/>
    <x v="306"/>
    <s v="CUST008"/>
    <s v="PRD002"/>
    <n v="6"/>
    <n v="70000"/>
    <n v="420000"/>
    <n v="270000"/>
    <n v="150000"/>
  </r>
  <r>
    <s v="TRX-202511-1080"/>
    <x v="306"/>
    <s v="CUST005"/>
    <s v="PRD007"/>
    <n v="5"/>
    <n v="225000"/>
    <n v="1125000"/>
    <n v="900000"/>
    <n v="225000"/>
  </r>
  <r>
    <s v="TRX-202511-1081"/>
    <x v="307"/>
    <s v="CUST005"/>
    <s v="PRD011"/>
    <n v="6"/>
    <n v="35000"/>
    <n v="210000"/>
    <n v="132000"/>
    <n v="78000"/>
  </r>
  <r>
    <s v="TRX-202511-1081"/>
    <x v="307"/>
    <s v="CUST005"/>
    <s v="PRD009"/>
    <n v="7"/>
    <n v="52000"/>
    <n v="364000"/>
    <n v="245000"/>
    <n v="119000"/>
  </r>
  <r>
    <s v="TRX-202511-1082"/>
    <x v="307"/>
    <s v="CUST005"/>
    <s v="PRD002"/>
    <n v="2"/>
    <n v="70000"/>
    <n v="140000"/>
    <n v="90000"/>
    <n v="50000"/>
  </r>
  <r>
    <s v="TRX-202511-1082"/>
    <x v="307"/>
    <s v="CUST005"/>
    <s v="PRD001"/>
    <n v="8"/>
    <n v="175000"/>
    <n v="1400000"/>
    <n v="960000"/>
    <n v="440000"/>
  </r>
  <r>
    <s v="TRX-202511-1083"/>
    <x v="307"/>
    <s v="CUST004"/>
    <s v="PRD008"/>
    <n v="7"/>
    <n v="40000"/>
    <n v="280000"/>
    <n v="196000"/>
    <n v="84000"/>
  </r>
  <r>
    <s v="TRX-202511-1083"/>
    <x v="307"/>
    <s v="CUST004"/>
    <s v="PRD004"/>
    <n v="5"/>
    <n v="105000"/>
    <n v="525000"/>
    <n v="350000"/>
    <n v="175000"/>
  </r>
  <r>
    <s v="TRX-202511-1083"/>
    <x v="307"/>
    <s v="CUST004"/>
    <s v="PRD010"/>
    <n v="2"/>
    <n v="20000"/>
    <n v="40000"/>
    <n v="24000"/>
    <n v="16000"/>
  </r>
  <r>
    <s v="TRX-202511-1084"/>
    <x v="307"/>
    <s v="CUST008"/>
    <s v="PRD010"/>
    <n v="7"/>
    <n v="20000"/>
    <n v="140000"/>
    <n v="84000"/>
    <n v="56000"/>
  </r>
  <r>
    <s v="TRX-202511-1084"/>
    <x v="307"/>
    <s v="CUST008"/>
    <s v="PRD012"/>
    <n v="1"/>
    <n v="48000"/>
    <n v="48000"/>
    <n v="32000"/>
    <n v="16000"/>
  </r>
  <r>
    <s v="TRX-202511-1084"/>
    <x v="307"/>
    <s v="CUST008"/>
    <s v="PRD007"/>
    <n v="2"/>
    <n v="225000"/>
    <n v="450000"/>
    <n v="360000"/>
    <n v="90000"/>
  </r>
  <r>
    <s v="TRX-202511-1085"/>
    <x v="308"/>
    <s v="CUST001"/>
    <s v="PRD010"/>
    <n v="3"/>
    <n v="20000"/>
    <n v="60000"/>
    <n v="36000"/>
    <n v="24000"/>
  </r>
  <r>
    <s v="TRX-202511-1086"/>
    <x v="308"/>
    <s v="CUST001"/>
    <s v="PRD006"/>
    <n v="7"/>
    <n v="110000"/>
    <n v="770000"/>
    <n v="525000"/>
    <n v="245000"/>
  </r>
  <r>
    <s v="TRX-202511-1086"/>
    <x v="308"/>
    <s v="CUST001"/>
    <s v="PRD002"/>
    <n v="1"/>
    <n v="70000"/>
    <n v="70000"/>
    <n v="45000"/>
    <n v="25000"/>
  </r>
  <r>
    <s v="TRX-202511-1086"/>
    <x v="308"/>
    <s v="CUST001"/>
    <s v="PRD005"/>
    <n v="8"/>
    <n v="105000"/>
    <n v="840000"/>
    <n v="560000"/>
    <n v="280000"/>
  </r>
  <r>
    <s v="TRX-202511-1087"/>
    <x v="308"/>
    <s v="CUST005"/>
    <s v="PRD011"/>
    <n v="6"/>
    <n v="35000"/>
    <n v="210000"/>
    <n v="132000"/>
    <n v="78000"/>
  </r>
  <r>
    <s v="TRX-202511-1087"/>
    <x v="308"/>
    <s v="CUST005"/>
    <s v="PRD006"/>
    <n v="4"/>
    <n v="110000"/>
    <n v="440000"/>
    <n v="300000"/>
    <n v="140000"/>
  </r>
  <r>
    <s v="TRX-202511-1088"/>
    <x v="308"/>
    <s v="CUST005"/>
    <s v="PRD001"/>
    <n v="8"/>
    <n v="175000"/>
    <n v="1400000"/>
    <n v="960000"/>
    <n v="440000"/>
  </r>
  <r>
    <s v="TRX-202511-1088"/>
    <x v="308"/>
    <s v="CUST005"/>
    <s v="PRD006"/>
    <n v="5"/>
    <n v="110000"/>
    <n v="550000"/>
    <n v="375000"/>
    <n v="175000"/>
  </r>
  <r>
    <s v="TRX-202511-1089"/>
    <x v="308"/>
    <s v="CUST003"/>
    <s v="PRD009"/>
    <n v="6"/>
    <n v="52000"/>
    <n v="312000"/>
    <n v="210000"/>
    <n v="102000"/>
  </r>
  <r>
    <s v="TRX-202511-1090"/>
    <x v="309"/>
    <s v="CUST008"/>
    <s v="PRD003"/>
    <n v="6"/>
    <n v="130000"/>
    <n v="780000"/>
    <n v="510000"/>
    <n v="270000"/>
  </r>
  <r>
    <s v="TRX-202511-1090"/>
    <x v="309"/>
    <s v="CUST008"/>
    <s v="PRD012"/>
    <n v="1"/>
    <n v="48000"/>
    <n v="48000"/>
    <n v="32000"/>
    <n v="16000"/>
  </r>
  <r>
    <s v="TRX-202511-1091"/>
    <x v="309"/>
    <s v="CUST002"/>
    <s v="PRD010"/>
    <n v="5"/>
    <n v="20000"/>
    <n v="100000"/>
    <n v="60000"/>
    <n v="40000"/>
  </r>
  <r>
    <s v="TRX-202511-1092"/>
    <x v="309"/>
    <s v="CUST005"/>
    <s v="PRD009"/>
    <n v="2"/>
    <n v="52000"/>
    <n v="104000"/>
    <n v="70000"/>
    <n v="34000"/>
  </r>
  <r>
    <s v="TRX-202511-1092"/>
    <x v="309"/>
    <s v="CUST005"/>
    <s v="PRD003"/>
    <n v="4"/>
    <n v="130000"/>
    <n v="520000"/>
    <n v="340000"/>
    <n v="180000"/>
  </r>
  <r>
    <s v="TRX-202511-1092"/>
    <x v="309"/>
    <s v="CUST005"/>
    <s v="PRD007"/>
    <n v="2"/>
    <n v="225000"/>
    <n v="450000"/>
    <n v="360000"/>
    <n v="90000"/>
  </r>
  <r>
    <s v="TRX-202511-1093"/>
    <x v="309"/>
    <s v="CUST002"/>
    <s v="PRD010"/>
    <n v="5"/>
    <n v="20000"/>
    <n v="100000"/>
    <n v="60000"/>
    <n v="40000"/>
  </r>
  <r>
    <s v="TRX-202511-1093"/>
    <x v="309"/>
    <s v="CUST002"/>
    <s v="PRD011"/>
    <n v="3"/>
    <n v="35000"/>
    <n v="105000"/>
    <n v="66000"/>
    <n v="39000"/>
  </r>
  <r>
    <s v="TRX-202511-1093"/>
    <x v="309"/>
    <s v="CUST002"/>
    <s v="PRD007"/>
    <n v="6"/>
    <n v="225000"/>
    <n v="1350000"/>
    <n v="1080000"/>
    <n v="270000"/>
  </r>
  <r>
    <s v="TRX-202511-1094"/>
    <x v="310"/>
    <s v="CUST004"/>
    <s v="PRD001"/>
    <n v="5"/>
    <n v="175000"/>
    <n v="875000"/>
    <n v="600000"/>
    <n v="275000"/>
  </r>
  <r>
    <s v="TRX-202511-1095"/>
    <x v="310"/>
    <s v="CUST004"/>
    <s v="PRD010"/>
    <n v="8"/>
    <n v="20000"/>
    <n v="160000"/>
    <n v="96000"/>
    <n v="64000"/>
  </r>
  <r>
    <s v="TRX-202511-1096"/>
    <x v="310"/>
    <s v="CUST008"/>
    <s v="PRD009"/>
    <n v="4"/>
    <n v="52000"/>
    <n v="208000"/>
    <n v="140000"/>
    <n v="68000"/>
  </r>
  <r>
    <s v="TRX-202511-1096"/>
    <x v="310"/>
    <s v="CUST008"/>
    <s v="PRD012"/>
    <n v="7"/>
    <n v="48000"/>
    <n v="336000"/>
    <n v="224000"/>
    <n v="112000"/>
  </r>
  <r>
    <s v="TRX-202511-1097"/>
    <x v="310"/>
    <s v="CUST003"/>
    <s v="PRD010"/>
    <n v="7"/>
    <n v="20000"/>
    <n v="140000"/>
    <n v="84000"/>
    <n v="56000"/>
  </r>
  <r>
    <s v="TRX-202511-1097"/>
    <x v="310"/>
    <s v="CUST003"/>
    <s v="PRD007"/>
    <n v="5"/>
    <n v="225000"/>
    <n v="1125000"/>
    <n v="900000"/>
    <n v="225000"/>
  </r>
  <r>
    <s v="TRX-202511-1097"/>
    <x v="310"/>
    <s v="CUST003"/>
    <s v="PRD012"/>
    <n v="6"/>
    <n v="48000"/>
    <n v="288000"/>
    <n v="192000"/>
    <n v="96000"/>
  </r>
  <r>
    <s v="TRX-202511-1098"/>
    <x v="310"/>
    <s v="CUST005"/>
    <s v="PRD006"/>
    <n v="4"/>
    <n v="110000"/>
    <n v="440000"/>
    <n v="300000"/>
    <n v="140000"/>
  </r>
  <r>
    <s v="TRX-202511-1098"/>
    <x v="310"/>
    <s v="CUST005"/>
    <s v="PRD012"/>
    <n v="6"/>
    <n v="48000"/>
    <n v="288000"/>
    <n v="192000"/>
    <n v="96000"/>
  </r>
  <r>
    <s v="TRX-202511-1099"/>
    <x v="311"/>
    <s v="CUST008"/>
    <s v="PRD010"/>
    <n v="2"/>
    <n v="20000"/>
    <n v="40000"/>
    <n v="24000"/>
    <n v="16000"/>
  </r>
  <r>
    <s v="TRX-202511-1099"/>
    <x v="311"/>
    <s v="CUST008"/>
    <s v="PRD007"/>
    <n v="3"/>
    <n v="225000"/>
    <n v="675000"/>
    <n v="540000"/>
    <n v="135000"/>
  </r>
  <r>
    <s v="TRX-202511-1100"/>
    <x v="311"/>
    <s v="CUST001"/>
    <s v="PRD008"/>
    <n v="6"/>
    <n v="40000"/>
    <n v="240000"/>
    <n v="168000"/>
    <n v="72000"/>
  </r>
  <r>
    <s v="TRX-202511-1100"/>
    <x v="311"/>
    <s v="CUST001"/>
    <s v="PRD009"/>
    <n v="8"/>
    <n v="52000"/>
    <n v="416000"/>
    <n v="280000"/>
    <n v="136000"/>
  </r>
  <r>
    <s v="TRX-202511-1100"/>
    <x v="311"/>
    <s v="CUST001"/>
    <s v="PRD001"/>
    <n v="3"/>
    <n v="175000"/>
    <n v="525000"/>
    <n v="360000"/>
    <n v="165000"/>
  </r>
  <r>
    <s v="TRX-202511-1101"/>
    <x v="311"/>
    <s v="CUST002"/>
    <s v="PRD006"/>
    <n v="5"/>
    <n v="110000"/>
    <n v="550000"/>
    <n v="375000"/>
    <n v="175000"/>
  </r>
  <r>
    <s v="TRX-202511-1101"/>
    <x v="311"/>
    <s v="CUST002"/>
    <s v="PRD002"/>
    <n v="1"/>
    <n v="70000"/>
    <n v="70000"/>
    <n v="45000"/>
    <n v="25000"/>
  </r>
  <r>
    <s v="TRX-202511-1101"/>
    <x v="311"/>
    <s v="CUST002"/>
    <s v="PRD005"/>
    <n v="8"/>
    <n v="105000"/>
    <n v="840000"/>
    <n v="560000"/>
    <n v="280000"/>
  </r>
  <r>
    <s v="TRX-202511-1102"/>
    <x v="311"/>
    <s v="CUST007"/>
    <s v="PRD003"/>
    <n v="8"/>
    <n v="130000"/>
    <n v="1040000"/>
    <n v="680000"/>
    <n v="360000"/>
  </r>
  <r>
    <s v="TRX-202511-1102"/>
    <x v="311"/>
    <s v="CUST007"/>
    <s v="PRD007"/>
    <n v="5"/>
    <n v="225000"/>
    <n v="1125000"/>
    <n v="900000"/>
    <n v="225000"/>
  </r>
  <r>
    <s v="TRX-202511-1102"/>
    <x v="311"/>
    <s v="CUST007"/>
    <s v="PRD004"/>
    <n v="5"/>
    <n v="105000"/>
    <n v="525000"/>
    <n v="350000"/>
    <n v="175000"/>
  </r>
  <r>
    <s v="TRX-202511-1103"/>
    <x v="311"/>
    <s v="CUST006"/>
    <s v="PRD010"/>
    <n v="7"/>
    <n v="20000"/>
    <n v="140000"/>
    <n v="84000"/>
    <n v="56000"/>
  </r>
  <r>
    <s v="TRX-202511-1104"/>
    <x v="312"/>
    <s v="CUST002"/>
    <s v="PRD007"/>
    <n v="7"/>
    <n v="225000"/>
    <n v="1575000"/>
    <n v="1260000"/>
    <n v="315000"/>
  </r>
  <r>
    <s v="TRX-202511-1105"/>
    <x v="312"/>
    <s v="CUST007"/>
    <s v="PRD012"/>
    <n v="3"/>
    <n v="48000"/>
    <n v="144000"/>
    <n v="96000"/>
    <n v="48000"/>
  </r>
  <r>
    <s v="TRX-202511-1105"/>
    <x v="312"/>
    <s v="CUST007"/>
    <s v="PRD008"/>
    <n v="6"/>
    <n v="40000"/>
    <n v="240000"/>
    <n v="168000"/>
    <n v="72000"/>
  </r>
  <r>
    <s v="TRX-202511-1106"/>
    <x v="312"/>
    <s v="CUST003"/>
    <s v="PRD005"/>
    <n v="6"/>
    <n v="105000"/>
    <n v="630000"/>
    <n v="420000"/>
    <n v="210000"/>
  </r>
  <r>
    <s v="TRX-202511-1107"/>
    <x v="312"/>
    <s v="CUST003"/>
    <s v="PRD007"/>
    <n v="2"/>
    <n v="225000"/>
    <n v="450000"/>
    <n v="360000"/>
    <n v="90000"/>
  </r>
  <r>
    <s v="TRX-202511-1107"/>
    <x v="312"/>
    <s v="CUST003"/>
    <s v="PRD005"/>
    <n v="3"/>
    <n v="105000"/>
    <n v="315000"/>
    <n v="210000"/>
    <n v="105000"/>
  </r>
  <r>
    <s v="TRX-202511-1107"/>
    <x v="312"/>
    <s v="CUST003"/>
    <s v="PRD008"/>
    <n v="5"/>
    <n v="40000"/>
    <n v="200000"/>
    <n v="140000"/>
    <n v="60000"/>
  </r>
  <r>
    <s v="TRX-202511-1108"/>
    <x v="313"/>
    <s v="CUST003"/>
    <s v="PRD011"/>
    <n v="8"/>
    <n v="35000"/>
    <n v="280000"/>
    <n v="176000"/>
    <n v="104000"/>
  </r>
  <r>
    <s v="TRX-202511-1109"/>
    <x v="313"/>
    <s v="CUST003"/>
    <s v="PRD004"/>
    <n v="3"/>
    <n v="105000"/>
    <n v="315000"/>
    <n v="210000"/>
    <n v="105000"/>
  </r>
  <r>
    <s v="TRX-202511-1109"/>
    <x v="313"/>
    <s v="CUST003"/>
    <s v="PRD006"/>
    <n v="6"/>
    <n v="110000"/>
    <n v="660000"/>
    <n v="450000"/>
    <n v="210000"/>
  </r>
  <r>
    <s v="TRX-202511-1109"/>
    <x v="313"/>
    <s v="CUST003"/>
    <s v="PRD002"/>
    <n v="3"/>
    <n v="70000"/>
    <n v="210000"/>
    <n v="135000"/>
    <n v="75000"/>
  </r>
  <r>
    <s v="TRX-202511-1110"/>
    <x v="314"/>
    <s v="CUST008"/>
    <s v="PRD011"/>
    <n v="2"/>
    <n v="35000"/>
    <n v="70000"/>
    <n v="44000"/>
    <n v="26000"/>
  </r>
  <r>
    <s v="TRX-202511-1111"/>
    <x v="314"/>
    <s v="CUST006"/>
    <s v="PRD006"/>
    <n v="3"/>
    <n v="110000"/>
    <n v="330000"/>
    <n v="225000"/>
    <n v="105000"/>
  </r>
  <r>
    <s v="TRX-202511-1112"/>
    <x v="314"/>
    <s v="CUST004"/>
    <s v="PRD004"/>
    <n v="1"/>
    <n v="105000"/>
    <n v="105000"/>
    <n v="70000"/>
    <n v="35000"/>
  </r>
  <r>
    <s v="TRX-202511-1112"/>
    <x v="314"/>
    <s v="CUST004"/>
    <s v="PRD007"/>
    <n v="6"/>
    <n v="225000"/>
    <n v="1350000"/>
    <n v="1080000"/>
    <n v="270000"/>
  </r>
  <r>
    <s v="TRX-202511-1113"/>
    <x v="314"/>
    <s v="CUST001"/>
    <s v="PRD011"/>
    <n v="2"/>
    <n v="35000"/>
    <n v="70000"/>
    <n v="44000"/>
    <n v="26000"/>
  </r>
  <r>
    <s v="TRX-202511-1113"/>
    <x v="314"/>
    <s v="CUST001"/>
    <s v="PRD010"/>
    <n v="2"/>
    <n v="20000"/>
    <n v="40000"/>
    <n v="24000"/>
    <n v="16000"/>
  </r>
  <r>
    <s v="TRX-202511-1114"/>
    <x v="314"/>
    <s v="CUST006"/>
    <s v="PRD010"/>
    <n v="7"/>
    <n v="20000"/>
    <n v="140000"/>
    <n v="84000"/>
    <n v="56000"/>
  </r>
  <r>
    <s v="TRX-202511-1114"/>
    <x v="314"/>
    <s v="CUST006"/>
    <s v="PRD012"/>
    <n v="4"/>
    <n v="48000"/>
    <n v="192000"/>
    <n v="128000"/>
    <n v="64000"/>
  </r>
  <r>
    <s v="TRX-202511-1114"/>
    <x v="314"/>
    <s v="CUST006"/>
    <s v="PRD009"/>
    <n v="5"/>
    <n v="52000"/>
    <n v="260000"/>
    <n v="175000"/>
    <n v="85000"/>
  </r>
  <r>
    <s v="TRX-202511-1115"/>
    <x v="315"/>
    <s v="CUST006"/>
    <s v="PRD001"/>
    <n v="1"/>
    <n v="175000"/>
    <n v="175000"/>
    <n v="120000"/>
    <n v="55000"/>
  </r>
  <r>
    <s v="TRX-202511-1115"/>
    <x v="315"/>
    <s v="CUST006"/>
    <s v="PRD009"/>
    <n v="5"/>
    <n v="52000"/>
    <n v="260000"/>
    <n v="175000"/>
    <n v="85000"/>
  </r>
  <r>
    <s v="TRX-202511-1115"/>
    <x v="315"/>
    <s v="CUST006"/>
    <s v="PRD012"/>
    <n v="7"/>
    <n v="48000"/>
    <n v="336000"/>
    <n v="224000"/>
    <n v="112000"/>
  </r>
  <r>
    <s v="TRX-202511-1116"/>
    <x v="315"/>
    <s v="CUST004"/>
    <s v="PRD009"/>
    <n v="7"/>
    <n v="52000"/>
    <n v="364000"/>
    <n v="245000"/>
    <n v="119000"/>
  </r>
  <r>
    <s v="TRX-202511-1116"/>
    <x v="315"/>
    <s v="CUST004"/>
    <s v="PRD001"/>
    <n v="3"/>
    <n v="175000"/>
    <n v="525000"/>
    <n v="360000"/>
    <n v="165000"/>
  </r>
  <r>
    <s v="TRX-202511-1117"/>
    <x v="315"/>
    <s v="CUST006"/>
    <s v="PRD012"/>
    <n v="2"/>
    <n v="48000"/>
    <n v="96000"/>
    <n v="64000"/>
    <n v="32000"/>
  </r>
  <r>
    <s v="TRX-202511-1117"/>
    <x v="315"/>
    <s v="CUST006"/>
    <s v="PRD001"/>
    <n v="8"/>
    <n v="175000"/>
    <n v="1400000"/>
    <n v="960000"/>
    <n v="440000"/>
  </r>
  <r>
    <s v="TRX-202511-1117"/>
    <x v="315"/>
    <s v="CUST006"/>
    <s v="PRD004"/>
    <n v="3"/>
    <n v="105000"/>
    <n v="315000"/>
    <n v="210000"/>
    <n v="105000"/>
  </r>
  <r>
    <s v="TRX-202511-1118"/>
    <x v="316"/>
    <s v="CUST001"/>
    <s v="PRD003"/>
    <n v="4"/>
    <n v="130000"/>
    <n v="520000"/>
    <n v="340000"/>
    <n v="180000"/>
  </r>
  <r>
    <s v="TRX-202511-1119"/>
    <x v="316"/>
    <s v="CUST005"/>
    <s v="PRD011"/>
    <n v="5"/>
    <n v="35000"/>
    <n v="175000"/>
    <n v="110000"/>
    <n v="65000"/>
  </r>
  <r>
    <s v="TRX-202511-1119"/>
    <x v="316"/>
    <s v="CUST005"/>
    <s v="PRD010"/>
    <n v="4"/>
    <n v="20000"/>
    <n v="80000"/>
    <n v="48000"/>
    <n v="32000"/>
  </r>
  <r>
    <s v="TRX-202511-1120"/>
    <x v="316"/>
    <s v="CUST005"/>
    <s v="PRD012"/>
    <n v="7"/>
    <n v="48000"/>
    <n v="336000"/>
    <n v="224000"/>
    <n v="112000"/>
  </r>
  <r>
    <s v="TRX-202511-1120"/>
    <x v="316"/>
    <s v="CUST005"/>
    <s v="PRD001"/>
    <n v="7"/>
    <n v="175000"/>
    <n v="1225000"/>
    <n v="840000"/>
    <n v="385000"/>
  </r>
  <r>
    <s v="TRX-202511-1121"/>
    <x v="316"/>
    <s v="CUST007"/>
    <s v="PRD004"/>
    <n v="5"/>
    <n v="105000"/>
    <n v="525000"/>
    <n v="350000"/>
    <n v="175000"/>
  </r>
  <r>
    <s v="TRX-202511-1121"/>
    <x v="316"/>
    <s v="CUST007"/>
    <s v="PRD008"/>
    <n v="1"/>
    <n v="40000"/>
    <n v="40000"/>
    <n v="28000"/>
    <n v="12000"/>
  </r>
  <r>
    <s v="TRX-202511-1122"/>
    <x v="316"/>
    <s v="CUST007"/>
    <s v="PRD012"/>
    <n v="8"/>
    <n v="48000"/>
    <n v="384000"/>
    <n v="256000"/>
    <n v="128000"/>
  </r>
  <r>
    <s v="TRX-202511-1123"/>
    <x v="317"/>
    <s v="CUST002"/>
    <s v="PRD008"/>
    <n v="1"/>
    <n v="40000"/>
    <n v="40000"/>
    <n v="28000"/>
    <n v="12000"/>
  </r>
  <r>
    <s v="TRX-202511-1123"/>
    <x v="317"/>
    <s v="CUST002"/>
    <s v="PRD004"/>
    <n v="8"/>
    <n v="105000"/>
    <n v="840000"/>
    <n v="560000"/>
    <n v="280000"/>
  </r>
  <r>
    <s v="TRX-202511-1123"/>
    <x v="317"/>
    <s v="CUST002"/>
    <s v="PRD003"/>
    <n v="8"/>
    <n v="130000"/>
    <n v="1040000"/>
    <n v="680000"/>
    <n v="360000"/>
  </r>
  <r>
    <s v="TRX-202511-1124"/>
    <x v="317"/>
    <s v="CUST002"/>
    <s v="PRD004"/>
    <n v="1"/>
    <n v="105000"/>
    <n v="105000"/>
    <n v="70000"/>
    <n v="35000"/>
  </r>
  <r>
    <s v="TRX-202511-1125"/>
    <x v="317"/>
    <s v="CUST007"/>
    <s v="PRD002"/>
    <n v="2"/>
    <n v="70000"/>
    <n v="140000"/>
    <n v="90000"/>
    <n v="50000"/>
  </r>
  <r>
    <s v="TRX-202511-1126"/>
    <x v="318"/>
    <s v="CUST003"/>
    <s v="PRD009"/>
    <n v="4"/>
    <n v="52000"/>
    <n v="208000"/>
    <n v="140000"/>
    <n v="68000"/>
  </r>
  <r>
    <s v="TRX-202511-1126"/>
    <x v="318"/>
    <s v="CUST003"/>
    <s v="PRD002"/>
    <n v="3"/>
    <n v="70000"/>
    <n v="210000"/>
    <n v="135000"/>
    <n v="75000"/>
  </r>
  <r>
    <s v="TRX-202511-1127"/>
    <x v="318"/>
    <s v="CUST004"/>
    <s v="PRD011"/>
    <n v="1"/>
    <n v="35000"/>
    <n v="35000"/>
    <n v="22000"/>
    <n v="13000"/>
  </r>
  <r>
    <s v="TRX-202511-1127"/>
    <x v="318"/>
    <s v="CUST004"/>
    <s v="PRD008"/>
    <n v="8"/>
    <n v="40000"/>
    <n v="320000"/>
    <n v="224000"/>
    <n v="96000"/>
  </r>
  <r>
    <s v="TRX-202511-1128"/>
    <x v="318"/>
    <s v="CUST002"/>
    <s v="PRD010"/>
    <n v="5"/>
    <n v="20000"/>
    <n v="100000"/>
    <n v="60000"/>
    <n v="40000"/>
  </r>
  <r>
    <s v="TRX-202511-1129"/>
    <x v="318"/>
    <s v="CUST003"/>
    <s v="PRD009"/>
    <n v="6"/>
    <n v="52000"/>
    <n v="312000"/>
    <n v="210000"/>
    <n v="102000"/>
  </r>
  <r>
    <s v="TRX-202511-1130"/>
    <x v="318"/>
    <s v="CUST001"/>
    <s v="PRD011"/>
    <n v="2"/>
    <n v="35000"/>
    <n v="70000"/>
    <n v="44000"/>
    <n v="26000"/>
  </r>
  <r>
    <s v="TRX-202511-1131"/>
    <x v="319"/>
    <s v="CUST007"/>
    <s v="PRD011"/>
    <n v="7"/>
    <n v="35000"/>
    <n v="245000"/>
    <n v="154000"/>
    <n v="91000"/>
  </r>
  <r>
    <s v="TRX-202511-1131"/>
    <x v="319"/>
    <s v="CUST007"/>
    <s v="PRD010"/>
    <n v="8"/>
    <n v="20000"/>
    <n v="160000"/>
    <n v="96000"/>
    <n v="64000"/>
  </r>
  <r>
    <s v="TRX-202511-1132"/>
    <x v="319"/>
    <s v="CUST004"/>
    <s v="PRD008"/>
    <n v="6"/>
    <n v="40000"/>
    <n v="240000"/>
    <n v="168000"/>
    <n v="72000"/>
  </r>
  <r>
    <s v="TRX-202511-1132"/>
    <x v="319"/>
    <s v="CUST004"/>
    <s v="PRD010"/>
    <n v="8"/>
    <n v="20000"/>
    <n v="160000"/>
    <n v="96000"/>
    <n v="64000"/>
  </r>
  <r>
    <s v="TRX-202511-1132"/>
    <x v="319"/>
    <s v="CUST004"/>
    <s v="PRD005"/>
    <n v="8"/>
    <n v="105000"/>
    <n v="840000"/>
    <n v="560000"/>
    <n v="280000"/>
  </r>
  <r>
    <s v="TRX-202511-1133"/>
    <x v="319"/>
    <s v="CUST003"/>
    <s v="PRD009"/>
    <n v="4"/>
    <n v="52000"/>
    <n v="208000"/>
    <n v="140000"/>
    <n v="68000"/>
  </r>
  <r>
    <s v="TRX-202511-1133"/>
    <x v="319"/>
    <s v="CUST003"/>
    <s v="PRD006"/>
    <n v="3"/>
    <n v="110000"/>
    <n v="330000"/>
    <n v="225000"/>
    <n v="105000"/>
  </r>
  <r>
    <s v="TRX-202511-1134"/>
    <x v="319"/>
    <s v="CUST005"/>
    <s v="PRD012"/>
    <n v="5"/>
    <n v="48000"/>
    <n v="240000"/>
    <n v="160000"/>
    <n v="80000"/>
  </r>
  <r>
    <s v="TRX-202511-1134"/>
    <x v="319"/>
    <s v="CUST005"/>
    <s v="PRD003"/>
    <n v="3"/>
    <n v="130000"/>
    <n v="390000"/>
    <n v="255000"/>
    <n v="135000"/>
  </r>
  <r>
    <s v="TRX-202511-1134"/>
    <x v="319"/>
    <s v="CUST005"/>
    <s v="PRD007"/>
    <n v="6"/>
    <n v="225000"/>
    <n v="1350000"/>
    <n v="1080000"/>
    <n v="270000"/>
  </r>
  <r>
    <s v="TRX-202511-1135"/>
    <x v="319"/>
    <s v="CUST001"/>
    <s v="PRD005"/>
    <n v="1"/>
    <n v="105000"/>
    <n v="105000"/>
    <n v="70000"/>
    <n v="35000"/>
  </r>
  <r>
    <s v="TRX-202511-1135"/>
    <x v="319"/>
    <s v="CUST001"/>
    <s v="PRD003"/>
    <n v="8"/>
    <n v="130000"/>
    <n v="1040000"/>
    <n v="680000"/>
    <n v="360000"/>
  </r>
  <r>
    <s v="TRX-202511-1136"/>
    <x v="320"/>
    <s v="CUST006"/>
    <s v="PRD009"/>
    <n v="6"/>
    <n v="52000"/>
    <n v="312000"/>
    <n v="210000"/>
    <n v="102000"/>
  </r>
  <r>
    <s v="TRX-202511-1136"/>
    <x v="320"/>
    <s v="CUST006"/>
    <s v="PRD007"/>
    <n v="5"/>
    <n v="225000"/>
    <n v="1125000"/>
    <n v="900000"/>
    <n v="225000"/>
  </r>
  <r>
    <s v="TRX-202511-1137"/>
    <x v="320"/>
    <s v="CUST004"/>
    <s v="PRD003"/>
    <n v="2"/>
    <n v="130000"/>
    <n v="260000"/>
    <n v="170000"/>
    <n v="90000"/>
  </r>
  <r>
    <s v="TRX-202511-1137"/>
    <x v="320"/>
    <s v="CUST004"/>
    <s v="PRD008"/>
    <n v="8"/>
    <n v="40000"/>
    <n v="320000"/>
    <n v="224000"/>
    <n v="96000"/>
  </r>
  <r>
    <s v="TRX-202511-1138"/>
    <x v="320"/>
    <s v="CUST005"/>
    <s v="PRD007"/>
    <n v="4"/>
    <n v="225000"/>
    <n v="900000"/>
    <n v="720000"/>
    <n v="180000"/>
  </r>
  <r>
    <s v="TRX-202511-1138"/>
    <x v="320"/>
    <s v="CUST005"/>
    <s v="PRD001"/>
    <n v="6"/>
    <n v="175000"/>
    <n v="1050000"/>
    <n v="720000"/>
    <n v="330000"/>
  </r>
  <r>
    <s v="TRX-202511-1138"/>
    <x v="320"/>
    <s v="CUST005"/>
    <s v="PRD004"/>
    <n v="3"/>
    <n v="105000"/>
    <n v="315000"/>
    <n v="210000"/>
    <n v="105000"/>
  </r>
  <r>
    <s v="TRX-202511-1139"/>
    <x v="321"/>
    <s v="CUST002"/>
    <s v="PRD002"/>
    <n v="1"/>
    <n v="70000"/>
    <n v="70000"/>
    <n v="45000"/>
    <n v="25000"/>
  </r>
  <r>
    <s v="TRX-202511-1140"/>
    <x v="321"/>
    <s v="CUST001"/>
    <s v="PRD006"/>
    <n v="2"/>
    <n v="110000"/>
    <n v="220000"/>
    <n v="150000"/>
    <n v="70000"/>
  </r>
  <r>
    <s v="TRX-202511-1141"/>
    <x v="322"/>
    <s v="CUST003"/>
    <s v="PRD009"/>
    <n v="5"/>
    <n v="52000"/>
    <n v="260000"/>
    <n v="175000"/>
    <n v="85000"/>
  </r>
  <r>
    <s v="TRX-202511-1141"/>
    <x v="322"/>
    <s v="CUST003"/>
    <s v="PRD011"/>
    <n v="4"/>
    <n v="35000"/>
    <n v="140000"/>
    <n v="88000"/>
    <n v="52000"/>
  </r>
  <r>
    <s v="TRX-202511-1141"/>
    <x v="322"/>
    <s v="CUST003"/>
    <s v="PRD008"/>
    <n v="2"/>
    <n v="40000"/>
    <n v="80000"/>
    <n v="56000"/>
    <n v="24000"/>
  </r>
  <r>
    <s v="TRX-202511-1142"/>
    <x v="322"/>
    <s v="CUST003"/>
    <s v="PRD002"/>
    <n v="3"/>
    <n v="70000"/>
    <n v="210000"/>
    <n v="135000"/>
    <n v="75000"/>
  </r>
  <r>
    <s v="TRX-202511-1142"/>
    <x v="322"/>
    <s v="CUST003"/>
    <s v="PRD001"/>
    <n v="7"/>
    <n v="175000"/>
    <n v="1225000"/>
    <n v="840000"/>
    <n v="385000"/>
  </r>
  <r>
    <s v="TRX-202511-1143"/>
    <x v="322"/>
    <s v="CUST008"/>
    <s v="PRD008"/>
    <n v="1"/>
    <n v="40000"/>
    <n v="40000"/>
    <n v="28000"/>
    <n v="12000"/>
  </r>
  <r>
    <s v="TRX-202511-1143"/>
    <x v="322"/>
    <s v="CUST008"/>
    <s v="PRD003"/>
    <n v="6"/>
    <n v="130000"/>
    <n v="780000"/>
    <n v="510000"/>
    <n v="270000"/>
  </r>
  <r>
    <s v="TRX-202511-1144"/>
    <x v="322"/>
    <s v="CUST008"/>
    <s v="PRD010"/>
    <n v="1"/>
    <n v="20000"/>
    <n v="20000"/>
    <n v="12000"/>
    <n v="8000"/>
  </r>
  <r>
    <s v="TRX-202511-1144"/>
    <x v="322"/>
    <s v="CUST008"/>
    <s v="PRD003"/>
    <n v="8"/>
    <n v="130000"/>
    <n v="1040000"/>
    <n v="680000"/>
    <n v="360000"/>
  </r>
  <r>
    <s v="TRX-202511-1144"/>
    <x v="322"/>
    <s v="CUST008"/>
    <s v="PRD008"/>
    <n v="6"/>
    <n v="40000"/>
    <n v="240000"/>
    <n v="168000"/>
    <n v="72000"/>
  </r>
  <r>
    <s v="TRX-202511-1145"/>
    <x v="322"/>
    <s v="CUST006"/>
    <s v="PRD006"/>
    <n v="2"/>
    <n v="110000"/>
    <n v="220000"/>
    <n v="150000"/>
    <n v="70000"/>
  </r>
  <r>
    <s v="TRX-202511-1146"/>
    <x v="323"/>
    <s v="CUST008"/>
    <s v="PRD003"/>
    <n v="4"/>
    <n v="130000"/>
    <n v="520000"/>
    <n v="340000"/>
    <n v="180000"/>
  </r>
  <r>
    <s v="TRX-202511-1146"/>
    <x v="323"/>
    <s v="CUST008"/>
    <s v="PRD001"/>
    <n v="5"/>
    <n v="175000"/>
    <n v="875000"/>
    <n v="600000"/>
    <n v="275000"/>
  </r>
  <r>
    <s v="TRX-202511-1147"/>
    <x v="323"/>
    <s v="CUST005"/>
    <s v="PRD007"/>
    <n v="1"/>
    <n v="225000"/>
    <n v="225000"/>
    <n v="180000"/>
    <n v="45000"/>
  </r>
  <r>
    <s v="TRX-202511-1147"/>
    <x v="323"/>
    <s v="CUST005"/>
    <s v="PRD006"/>
    <n v="5"/>
    <n v="110000"/>
    <n v="550000"/>
    <n v="375000"/>
    <n v="175000"/>
  </r>
  <r>
    <s v="TRX-202511-1148"/>
    <x v="324"/>
    <s v="CUST003"/>
    <s v="PRD012"/>
    <n v="4"/>
    <n v="48000"/>
    <n v="192000"/>
    <n v="128000"/>
    <n v="64000"/>
  </r>
  <r>
    <s v="TRX-202511-1148"/>
    <x v="324"/>
    <s v="CUST003"/>
    <s v="PRD005"/>
    <n v="8"/>
    <n v="105000"/>
    <n v="840000"/>
    <n v="560000"/>
    <n v="280000"/>
  </r>
  <r>
    <s v="TRX-202511-1149"/>
    <x v="324"/>
    <s v="CUST005"/>
    <s v="PRD002"/>
    <n v="2"/>
    <n v="70000"/>
    <n v="140000"/>
    <n v="90000"/>
    <n v="50000"/>
  </r>
  <r>
    <s v="TRX-202511-1149"/>
    <x v="324"/>
    <s v="CUST005"/>
    <s v="PRD008"/>
    <n v="6"/>
    <n v="40000"/>
    <n v="240000"/>
    <n v="168000"/>
    <n v="72000"/>
  </r>
  <r>
    <s v="TRX-202511-1150"/>
    <x v="324"/>
    <s v="CUST002"/>
    <s v="PRD003"/>
    <n v="2"/>
    <n v="130000"/>
    <n v="260000"/>
    <n v="170000"/>
    <n v="90000"/>
  </r>
  <r>
    <s v="TRX-202511-1151"/>
    <x v="324"/>
    <s v="CUST004"/>
    <s v="PRD003"/>
    <n v="6"/>
    <n v="130000"/>
    <n v="780000"/>
    <n v="510000"/>
    <n v="270000"/>
  </r>
  <r>
    <s v="TRX-202511-1152"/>
    <x v="325"/>
    <s v="CUST001"/>
    <s v="PRD011"/>
    <n v="4"/>
    <n v="35000"/>
    <n v="140000"/>
    <n v="88000"/>
    <n v="52000"/>
  </r>
  <r>
    <s v="TRX-202511-1152"/>
    <x v="325"/>
    <s v="CUST001"/>
    <s v="PRD004"/>
    <n v="1"/>
    <n v="105000"/>
    <n v="105000"/>
    <n v="70000"/>
    <n v="35000"/>
  </r>
  <r>
    <s v="TRX-202511-1153"/>
    <x v="325"/>
    <s v="CUST002"/>
    <s v="PRD006"/>
    <n v="4"/>
    <n v="110000"/>
    <n v="440000"/>
    <n v="300000"/>
    <n v="140000"/>
  </r>
  <r>
    <s v="TRX-202511-1153"/>
    <x v="325"/>
    <s v="CUST002"/>
    <s v="PRD011"/>
    <n v="8"/>
    <n v="35000"/>
    <n v="280000"/>
    <n v="176000"/>
    <n v="104000"/>
  </r>
  <r>
    <s v="TRX-202511-1154"/>
    <x v="326"/>
    <s v="CUST003"/>
    <s v="PRD011"/>
    <n v="5"/>
    <n v="35000"/>
    <n v="175000"/>
    <n v="110000"/>
    <n v="65000"/>
  </r>
  <r>
    <s v="TRX-202511-1154"/>
    <x v="326"/>
    <s v="CUST003"/>
    <s v="PRD010"/>
    <n v="7"/>
    <n v="20000"/>
    <n v="140000"/>
    <n v="84000"/>
    <n v="56000"/>
  </r>
  <r>
    <s v="TRX-202511-1155"/>
    <x v="326"/>
    <s v="CUST005"/>
    <s v="PRD007"/>
    <n v="5"/>
    <n v="225000"/>
    <n v="1125000"/>
    <n v="900000"/>
    <n v="225000"/>
  </r>
  <r>
    <s v="TRX-202511-1156"/>
    <x v="326"/>
    <s v="CUST006"/>
    <s v="PRD004"/>
    <n v="5"/>
    <n v="105000"/>
    <n v="525000"/>
    <n v="350000"/>
    <n v="175000"/>
  </r>
  <r>
    <s v="TRX-202511-1156"/>
    <x v="326"/>
    <s v="CUST006"/>
    <s v="PRD009"/>
    <n v="5"/>
    <n v="52000"/>
    <n v="260000"/>
    <n v="175000"/>
    <n v="85000"/>
  </r>
  <r>
    <s v="TRX-202511-1156"/>
    <x v="326"/>
    <s v="CUST006"/>
    <s v="PRD001"/>
    <n v="3"/>
    <n v="175000"/>
    <n v="525000"/>
    <n v="360000"/>
    <n v="165000"/>
  </r>
  <r>
    <s v="TRX-202511-1157"/>
    <x v="327"/>
    <s v="CUST006"/>
    <s v="PRD005"/>
    <n v="6"/>
    <n v="105000"/>
    <n v="630000"/>
    <n v="420000"/>
    <n v="210000"/>
  </r>
  <r>
    <s v="TRX-202511-1157"/>
    <x v="327"/>
    <s v="CUST006"/>
    <s v="PRD008"/>
    <n v="4"/>
    <n v="40000"/>
    <n v="160000"/>
    <n v="112000"/>
    <n v="48000"/>
  </r>
  <r>
    <s v="TRX-202511-1158"/>
    <x v="327"/>
    <s v="CUST004"/>
    <s v="PRD003"/>
    <n v="7"/>
    <n v="130000"/>
    <n v="910000"/>
    <n v="595000"/>
    <n v="315000"/>
  </r>
  <r>
    <s v="TRX-202511-1158"/>
    <x v="327"/>
    <s v="CUST004"/>
    <s v="PRD001"/>
    <n v="8"/>
    <n v="175000"/>
    <n v="1400000"/>
    <n v="960000"/>
    <n v="440000"/>
  </r>
  <r>
    <s v="TRX-202511-1158"/>
    <x v="327"/>
    <s v="CUST004"/>
    <s v="PRD006"/>
    <n v="8"/>
    <n v="110000"/>
    <n v="880000"/>
    <n v="600000"/>
    <n v="280000"/>
  </r>
  <r>
    <s v="TRX-202511-1159"/>
    <x v="327"/>
    <s v="CUST006"/>
    <s v="PRD008"/>
    <n v="8"/>
    <n v="40000"/>
    <n v="320000"/>
    <n v="224000"/>
    <n v="96000"/>
  </r>
  <r>
    <s v="TRX-202511-1159"/>
    <x v="327"/>
    <s v="CUST006"/>
    <s v="PRD012"/>
    <n v="3"/>
    <n v="48000"/>
    <n v="144000"/>
    <n v="96000"/>
    <n v="48000"/>
  </r>
  <r>
    <s v="TRX-202511-1160"/>
    <x v="327"/>
    <s v="CUST003"/>
    <s v="PRD007"/>
    <n v="3"/>
    <n v="225000"/>
    <n v="675000"/>
    <n v="540000"/>
    <n v="135000"/>
  </r>
  <r>
    <s v="TRX-202511-1160"/>
    <x v="327"/>
    <s v="CUST003"/>
    <s v="PRD012"/>
    <n v="6"/>
    <n v="48000"/>
    <n v="288000"/>
    <n v="192000"/>
    <n v="96000"/>
  </r>
  <r>
    <s v="TRX-202511-1160"/>
    <x v="327"/>
    <s v="CUST003"/>
    <s v="PRD001"/>
    <n v="7"/>
    <n v="175000"/>
    <n v="1225000"/>
    <n v="840000"/>
    <n v="385000"/>
  </r>
  <r>
    <s v="TRX-202511-1161"/>
    <x v="327"/>
    <s v="CUST003"/>
    <s v="PRD006"/>
    <n v="7"/>
    <n v="110000"/>
    <n v="770000"/>
    <n v="525000"/>
    <n v="245000"/>
  </r>
  <r>
    <s v="TRX-202511-1161"/>
    <x v="327"/>
    <s v="CUST003"/>
    <s v="PRD001"/>
    <n v="3"/>
    <n v="175000"/>
    <n v="525000"/>
    <n v="360000"/>
    <n v="165000"/>
  </r>
  <r>
    <s v="TRX-202511-1162"/>
    <x v="328"/>
    <s v="CUST002"/>
    <s v="PRD012"/>
    <n v="5"/>
    <n v="48000"/>
    <n v="240000"/>
    <n v="160000"/>
    <n v="80000"/>
  </r>
  <r>
    <s v="TRX-202511-1162"/>
    <x v="328"/>
    <s v="CUST002"/>
    <s v="PRD008"/>
    <n v="3"/>
    <n v="40000"/>
    <n v="120000"/>
    <n v="84000"/>
    <n v="36000"/>
  </r>
  <r>
    <s v="TRX-202511-1163"/>
    <x v="328"/>
    <s v="CUST004"/>
    <s v="PRD008"/>
    <n v="8"/>
    <n v="40000"/>
    <n v="320000"/>
    <n v="224000"/>
    <n v="96000"/>
  </r>
  <r>
    <s v="TRX-202511-1163"/>
    <x v="328"/>
    <s v="CUST004"/>
    <s v="PRD004"/>
    <n v="1"/>
    <n v="105000"/>
    <n v="105000"/>
    <n v="70000"/>
    <n v="35000"/>
  </r>
  <r>
    <s v="TRX-202511-1163"/>
    <x v="328"/>
    <s v="CUST004"/>
    <s v="PRD007"/>
    <n v="5"/>
    <n v="225000"/>
    <n v="1125000"/>
    <n v="900000"/>
    <n v="225000"/>
  </r>
  <r>
    <s v="TRX-202511-1164"/>
    <x v="329"/>
    <s v="CUST008"/>
    <s v="PRD009"/>
    <n v="6"/>
    <n v="52000"/>
    <n v="312000"/>
    <n v="210000"/>
    <n v="102000"/>
  </r>
  <r>
    <s v="TRX-202511-1164"/>
    <x v="329"/>
    <s v="CUST008"/>
    <s v="PRD006"/>
    <n v="4"/>
    <n v="110000"/>
    <n v="440000"/>
    <n v="300000"/>
    <n v="140000"/>
  </r>
  <r>
    <s v="TRX-202511-1165"/>
    <x v="329"/>
    <s v="CUST003"/>
    <s v="PRD011"/>
    <n v="4"/>
    <n v="35000"/>
    <n v="140000"/>
    <n v="88000"/>
    <n v="52000"/>
  </r>
  <r>
    <s v="TRX-202511-1165"/>
    <x v="329"/>
    <s v="CUST003"/>
    <s v="PRD010"/>
    <n v="4"/>
    <n v="20000"/>
    <n v="80000"/>
    <n v="48000"/>
    <n v="32000"/>
  </r>
  <r>
    <s v="TRX-202511-1166"/>
    <x v="329"/>
    <s v="CUST004"/>
    <s v="PRD010"/>
    <n v="1"/>
    <n v="20000"/>
    <n v="20000"/>
    <n v="12000"/>
    <n v="8000"/>
  </r>
  <r>
    <s v="TRX-202511-1166"/>
    <x v="329"/>
    <s v="CUST004"/>
    <s v="PRD008"/>
    <n v="6"/>
    <n v="40000"/>
    <n v="240000"/>
    <n v="168000"/>
    <n v="72000"/>
  </r>
  <r>
    <s v="TRX-202511-1167"/>
    <x v="329"/>
    <s v="CUST002"/>
    <s v="PRD003"/>
    <n v="6"/>
    <n v="130000"/>
    <n v="780000"/>
    <n v="510000"/>
    <n v="270000"/>
  </r>
  <r>
    <s v="TRX-202511-1167"/>
    <x v="329"/>
    <s v="CUST002"/>
    <s v="PRD010"/>
    <n v="2"/>
    <n v="20000"/>
    <n v="40000"/>
    <n v="24000"/>
    <n v="16000"/>
  </r>
  <r>
    <s v="TRX-202511-1168"/>
    <x v="330"/>
    <s v="CUST008"/>
    <s v="PRD010"/>
    <n v="4"/>
    <n v="20000"/>
    <n v="80000"/>
    <n v="48000"/>
    <n v="32000"/>
  </r>
  <r>
    <s v="TRX-202511-1168"/>
    <x v="330"/>
    <s v="CUST008"/>
    <s v="PRD009"/>
    <n v="4"/>
    <n v="52000"/>
    <n v="208000"/>
    <n v="140000"/>
    <n v="68000"/>
  </r>
  <r>
    <s v="TRX-202511-1169"/>
    <x v="330"/>
    <s v="CUST002"/>
    <s v="PRD012"/>
    <n v="4"/>
    <n v="48000"/>
    <n v="192000"/>
    <n v="128000"/>
    <n v="64000"/>
  </r>
  <r>
    <s v="TRX-202511-1169"/>
    <x v="330"/>
    <s v="CUST002"/>
    <s v="PRD001"/>
    <n v="5"/>
    <n v="175000"/>
    <n v="875000"/>
    <n v="600000"/>
    <n v="275000"/>
  </r>
  <r>
    <s v="TRX-202511-1170"/>
    <x v="330"/>
    <s v="CUST004"/>
    <s v="PRD007"/>
    <n v="5"/>
    <n v="225000"/>
    <n v="1125000"/>
    <n v="900000"/>
    <n v="225000"/>
  </r>
  <r>
    <s v="TRX-202511-1170"/>
    <x v="330"/>
    <s v="CUST004"/>
    <s v="PRD001"/>
    <n v="5"/>
    <n v="175000"/>
    <n v="875000"/>
    <n v="600000"/>
    <n v="275000"/>
  </r>
  <r>
    <s v="TRX-202511-1171"/>
    <x v="330"/>
    <s v="CUST004"/>
    <s v="PRD005"/>
    <n v="1"/>
    <n v="105000"/>
    <n v="105000"/>
    <n v="70000"/>
    <n v="35000"/>
  </r>
  <r>
    <s v="TRX-202511-1172"/>
    <x v="331"/>
    <s v="CUST001"/>
    <s v="PRD009"/>
    <n v="6"/>
    <n v="52000"/>
    <n v="312000"/>
    <n v="210000"/>
    <n v="102000"/>
  </r>
  <r>
    <s v="TRX-202511-1172"/>
    <x v="331"/>
    <s v="CUST001"/>
    <s v="PRD008"/>
    <n v="3"/>
    <n v="40000"/>
    <n v="120000"/>
    <n v="84000"/>
    <n v="36000"/>
  </r>
  <r>
    <s v="TRX-202511-1173"/>
    <x v="331"/>
    <s v="CUST006"/>
    <s v="PRD007"/>
    <n v="7"/>
    <n v="225000"/>
    <n v="1575000"/>
    <n v="1260000"/>
    <n v="315000"/>
  </r>
  <r>
    <s v="TRX-202511-1173"/>
    <x v="331"/>
    <s v="CUST006"/>
    <s v="PRD009"/>
    <n v="6"/>
    <n v="52000"/>
    <n v="312000"/>
    <n v="210000"/>
    <n v="102000"/>
  </r>
  <r>
    <s v="TRX-202511-1173"/>
    <x v="331"/>
    <s v="CUST006"/>
    <s v="PRD001"/>
    <n v="7"/>
    <n v="175000"/>
    <n v="1225000"/>
    <n v="840000"/>
    <n v="385000"/>
  </r>
  <r>
    <s v="TRX-202511-1174"/>
    <x v="332"/>
    <s v="CUST002"/>
    <s v="PRD007"/>
    <n v="1"/>
    <n v="225000"/>
    <n v="225000"/>
    <n v="180000"/>
    <n v="45000"/>
  </r>
  <r>
    <s v="TRX-202511-1174"/>
    <x v="332"/>
    <s v="CUST002"/>
    <s v="PRD009"/>
    <n v="7"/>
    <n v="52000"/>
    <n v="364000"/>
    <n v="245000"/>
    <n v="119000"/>
  </r>
  <r>
    <s v="TRX-202511-1175"/>
    <x v="332"/>
    <s v="CUST007"/>
    <s v="PRD003"/>
    <n v="4"/>
    <n v="130000"/>
    <n v="520000"/>
    <n v="340000"/>
    <n v="180000"/>
  </r>
  <r>
    <s v="TRX-202511-1175"/>
    <x v="332"/>
    <s v="CUST007"/>
    <s v="PRD009"/>
    <n v="8"/>
    <n v="52000"/>
    <n v="416000"/>
    <n v="280000"/>
    <n v="136000"/>
  </r>
  <r>
    <s v="TRX-202511-1175"/>
    <x v="332"/>
    <s v="CUST007"/>
    <s v="PRD002"/>
    <n v="3"/>
    <n v="70000"/>
    <n v="210000"/>
    <n v="135000"/>
    <n v="75000"/>
  </r>
  <r>
    <s v="TRX-202511-1176"/>
    <x v="332"/>
    <s v="CUST002"/>
    <s v="PRD004"/>
    <n v="1"/>
    <n v="105000"/>
    <n v="105000"/>
    <n v="70000"/>
    <n v="35000"/>
  </r>
  <r>
    <s v="TRX-202511-1176"/>
    <x v="332"/>
    <s v="CUST002"/>
    <s v="PRD012"/>
    <n v="1"/>
    <n v="48000"/>
    <n v="48000"/>
    <n v="32000"/>
    <n v="16000"/>
  </r>
  <r>
    <s v="TRX-202511-1177"/>
    <x v="332"/>
    <s v="CUST001"/>
    <s v="PRD012"/>
    <n v="1"/>
    <n v="48000"/>
    <n v="48000"/>
    <n v="32000"/>
    <n v="16000"/>
  </r>
  <r>
    <s v="TRX-202511-1177"/>
    <x v="332"/>
    <s v="CUST001"/>
    <s v="PRD004"/>
    <n v="1"/>
    <n v="105000"/>
    <n v="105000"/>
    <n v="70000"/>
    <n v="35000"/>
  </r>
  <r>
    <s v="TRX-202511-1177"/>
    <x v="332"/>
    <s v="CUST001"/>
    <s v="PRD008"/>
    <n v="4"/>
    <n v="40000"/>
    <n v="160000"/>
    <n v="112000"/>
    <n v="48000"/>
  </r>
  <r>
    <s v="TRX-202511-1178"/>
    <x v="333"/>
    <s v="CUST006"/>
    <s v="PRD003"/>
    <n v="3"/>
    <n v="130000"/>
    <n v="390000"/>
    <n v="255000"/>
    <n v="135000"/>
  </r>
  <r>
    <s v="TRX-202511-1178"/>
    <x v="333"/>
    <s v="CUST006"/>
    <s v="PRD007"/>
    <n v="1"/>
    <n v="225000"/>
    <n v="225000"/>
    <n v="180000"/>
    <n v="45000"/>
  </r>
  <r>
    <s v="TRX-202511-1178"/>
    <x v="333"/>
    <s v="CUST006"/>
    <s v="PRD004"/>
    <n v="5"/>
    <n v="105000"/>
    <n v="525000"/>
    <n v="350000"/>
    <n v="175000"/>
  </r>
  <r>
    <s v="TRX-202511-1179"/>
    <x v="333"/>
    <s v="CUST005"/>
    <s v="PRD006"/>
    <n v="3"/>
    <n v="110000"/>
    <n v="330000"/>
    <n v="225000"/>
    <n v="105000"/>
  </r>
  <r>
    <s v="TRX-202511-1179"/>
    <x v="333"/>
    <s v="CUST005"/>
    <s v="PRD009"/>
    <n v="4"/>
    <n v="52000"/>
    <n v="208000"/>
    <n v="140000"/>
    <n v="68000"/>
  </r>
  <r>
    <s v="TRX-202511-1179"/>
    <x v="333"/>
    <s v="CUST005"/>
    <s v="PRD007"/>
    <n v="5"/>
    <n v="225000"/>
    <n v="1125000"/>
    <n v="900000"/>
    <n v="225000"/>
  </r>
  <r>
    <s v="TRX-202512-1180"/>
    <x v="334"/>
    <s v="CUST006"/>
    <s v="PRD001"/>
    <n v="4"/>
    <n v="175000"/>
    <n v="700000"/>
    <n v="480000"/>
    <n v="220000"/>
  </r>
  <r>
    <s v="TRX-202512-1180"/>
    <x v="334"/>
    <s v="CUST006"/>
    <s v="PRD011"/>
    <n v="5"/>
    <n v="35000"/>
    <n v="175000"/>
    <n v="110000"/>
    <n v="65000"/>
  </r>
  <r>
    <s v="TRX-202512-1181"/>
    <x v="334"/>
    <s v="CUST004"/>
    <s v="PRD001"/>
    <n v="4"/>
    <n v="175000"/>
    <n v="700000"/>
    <n v="480000"/>
    <n v="220000"/>
  </r>
  <r>
    <s v="TRX-202512-1181"/>
    <x v="334"/>
    <s v="CUST004"/>
    <s v="PRD005"/>
    <n v="3"/>
    <n v="105000"/>
    <n v="315000"/>
    <n v="210000"/>
    <n v="105000"/>
  </r>
  <r>
    <s v="TRX-202512-1181"/>
    <x v="334"/>
    <s v="CUST004"/>
    <s v="PRD012"/>
    <n v="6"/>
    <n v="48000"/>
    <n v="288000"/>
    <n v="192000"/>
    <n v="96000"/>
  </r>
  <r>
    <s v="TRX-202512-1182"/>
    <x v="334"/>
    <s v="CUST004"/>
    <s v="PRD012"/>
    <n v="6"/>
    <n v="48000"/>
    <n v="288000"/>
    <n v="192000"/>
    <n v="96000"/>
  </r>
  <r>
    <s v="TRX-202512-1182"/>
    <x v="334"/>
    <s v="CUST004"/>
    <s v="PRD007"/>
    <n v="8"/>
    <n v="225000"/>
    <n v="1800000"/>
    <n v="1440000"/>
    <n v="360000"/>
  </r>
  <r>
    <s v="TRX-202512-1183"/>
    <x v="334"/>
    <s v="CUST007"/>
    <s v="PRD003"/>
    <n v="5"/>
    <n v="130000"/>
    <n v="650000"/>
    <n v="425000"/>
    <n v="225000"/>
  </r>
  <r>
    <s v="TRX-202512-1183"/>
    <x v="334"/>
    <s v="CUST007"/>
    <s v="PRD008"/>
    <n v="4"/>
    <n v="40000"/>
    <n v="160000"/>
    <n v="112000"/>
    <n v="48000"/>
  </r>
  <r>
    <s v="TRX-202512-1183"/>
    <x v="334"/>
    <s v="CUST007"/>
    <s v="PRD011"/>
    <n v="2"/>
    <n v="35000"/>
    <n v="70000"/>
    <n v="44000"/>
    <n v="26000"/>
  </r>
  <r>
    <s v="TRX-202512-1184"/>
    <x v="335"/>
    <s v="CUST005"/>
    <s v="PRD005"/>
    <n v="8"/>
    <n v="105000"/>
    <n v="840000"/>
    <n v="560000"/>
    <n v="280000"/>
  </r>
  <r>
    <s v="TRX-202512-1185"/>
    <x v="335"/>
    <s v="CUST004"/>
    <s v="PRD011"/>
    <n v="1"/>
    <n v="35000"/>
    <n v="35000"/>
    <n v="22000"/>
    <n v="13000"/>
  </r>
  <r>
    <s v="TRX-202512-1186"/>
    <x v="336"/>
    <s v="CUST001"/>
    <s v="PRD002"/>
    <n v="8"/>
    <n v="70000"/>
    <n v="560000"/>
    <n v="360000"/>
    <n v="200000"/>
  </r>
  <r>
    <s v="TRX-202512-1186"/>
    <x v="336"/>
    <s v="CUST001"/>
    <s v="PRD005"/>
    <n v="4"/>
    <n v="105000"/>
    <n v="420000"/>
    <n v="280000"/>
    <n v="140000"/>
  </r>
  <r>
    <s v="TRX-202512-1186"/>
    <x v="336"/>
    <s v="CUST001"/>
    <s v="PRD011"/>
    <n v="5"/>
    <n v="35000"/>
    <n v="175000"/>
    <n v="110000"/>
    <n v="65000"/>
  </r>
  <r>
    <s v="TRX-202512-1187"/>
    <x v="336"/>
    <s v="CUST001"/>
    <s v="PRD005"/>
    <n v="8"/>
    <n v="105000"/>
    <n v="840000"/>
    <n v="560000"/>
    <n v="280000"/>
  </r>
  <r>
    <s v="TRX-202512-1187"/>
    <x v="336"/>
    <s v="CUST001"/>
    <s v="PRD004"/>
    <n v="1"/>
    <n v="105000"/>
    <n v="105000"/>
    <n v="70000"/>
    <n v="35000"/>
  </r>
  <r>
    <s v="TRX-202512-1187"/>
    <x v="336"/>
    <s v="CUST001"/>
    <s v="PRD011"/>
    <n v="1"/>
    <n v="35000"/>
    <n v="35000"/>
    <n v="22000"/>
    <n v="13000"/>
  </r>
  <r>
    <s v="TRX-202512-1188"/>
    <x v="337"/>
    <s v="CUST007"/>
    <s v="PRD010"/>
    <n v="7"/>
    <n v="20000"/>
    <n v="140000"/>
    <n v="84000"/>
    <n v="56000"/>
  </r>
  <r>
    <s v="TRX-202512-1189"/>
    <x v="337"/>
    <s v="CUST006"/>
    <s v="PRD006"/>
    <n v="3"/>
    <n v="110000"/>
    <n v="330000"/>
    <n v="225000"/>
    <n v="105000"/>
  </r>
  <r>
    <s v="TRX-202512-1189"/>
    <x v="337"/>
    <s v="CUST006"/>
    <s v="PRD005"/>
    <n v="8"/>
    <n v="105000"/>
    <n v="840000"/>
    <n v="560000"/>
    <n v="280000"/>
  </r>
  <r>
    <s v="TRX-202512-1190"/>
    <x v="337"/>
    <s v="CUST007"/>
    <s v="PRD007"/>
    <n v="5"/>
    <n v="225000"/>
    <n v="1125000"/>
    <n v="900000"/>
    <n v="225000"/>
  </r>
  <r>
    <s v="TRX-202512-1190"/>
    <x v="337"/>
    <s v="CUST007"/>
    <s v="PRD002"/>
    <n v="3"/>
    <n v="70000"/>
    <n v="210000"/>
    <n v="135000"/>
    <n v="75000"/>
  </r>
  <r>
    <s v="TRX-202512-1191"/>
    <x v="337"/>
    <s v="CUST006"/>
    <s v="PRD011"/>
    <n v="8"/>
    <n v="35000"/>
    <n v="280000"/>
    <n v="176000"/>
    <n v="104000"/>
  </r>
  <r>
    <s v="TRX-202512-1191"/>
    <x v="337"/>
    <s v="CUST006"/>
    <s v="PRD008"/>
    <n v="3"/>
    <n v="40000"/>
    <n v="120000"/>
    <n v="84000"/>
    <n v="36000"/>
  </r>
  <r>
    <s v="TRX-202512-1192"/>
    <x v="338"/>
    <s v="CUST004"/>
    <s v="PRD012"/>
    <n v="2"/>
    <n v="48000"/>
    <n v="96000"/>
    <n v="64000"/>
    <n v="32000"/>
  </r>
  <r>
    <s v="TRX-202512-1192"/>
    <x v="338"/>
    <s v="CUST004"/>
    <s v="PRD006"/>
    <n v="6"/>
    <n v="110000"/>
    <n v="660000"/>
    <n v="450000"/>
    <n v="210000"/>
  </r>
  <r>
    <s v="TRX-202512-1192"/>
    <x v="338"/>
    <s v="CUST004"/>
    <s v="PRD008"/>
    <n v="6"/>
    <n v="40000"/>
    <n v="240000"/>
    <n v="168000"/>
    <n v="72000"/>
  </r>
  <r>
    <s v="TRX-202512-1193"/>
    <x v="338"/>
    <s v="CUST007"/>
    <s v="PRD011"/>
    <n v="6"/>
    <n v="35000"/>
    <n v="210000"/>
    <n v="132000"/>
    <n v="78000"/>
  </r>
  <r>
    <s v="TRX-202512-1193"/>
    <x v="338"/>
    <s v="CUST007"/>
    <s v="PRD007"/>
    <n v="7"/>
    <n v="225000"/>
    <n v="1575000"/>
    <n v="1260000"/>
    <n v="315000"/>
  </r>
  <r>
    <s v="TRX-202512-1193"/>
    <x v="338"/>
    <s v="CUST007"/>
    <s v="PRD004"/>
    <n v="2"/>
    <n v="105000"/>
    <n v="210000"/>
    <n v="140000"/>
    <n v="70000"/>
  </r>
  <r>
    <s v="TRX-202512-1194"/>
    <x v="338"/>
    <s v="CUST004"/>
    <s v="PRD011"/>
    <n v="4"/>
    <n v="35000"/>
    <n v="140000"/>
    <n v="88000"/>
    <n v="52000"/>
  </r>
  <r>
    <s v="TRX-202512-1194"/>
    <x v="338"/>
    <s v="CUST004"/>
    <s v="PRD008"/>
    <n v="1"/>
    <n v="40000"/>
    <n v="40000"/>
    <n v="28000"/>
    <n v="12000"/>
  </r>
  <r>
    <s v="TRX-202512-1194"/>
    <x v="338"/>
    <s v="CUST004"/>
    <s v="PRD003"/>
    <n v="2"/>
    <n v="130000"/>
    <n v="260000"/>
    <n v="170000"/>
    <n v="90000"/>
  </r>
  <r>
    <s v="TRX-202512-1195"/>
    <x v="339"/>
    <s v="CUST007"/>
    <s v="PRD012"/>
    <n v="5"/>
    <n v="48000"/>
    <n v="240000"/>
    <n v="160000"/>
    <n v="80000"/>
  </r>
  <r>
    <s v="TRX-202512-1196"/>
    <x v="339"/>
    <s v="CUST006"/>
    <s v="PRD006"/>
    <n v="5"/>
    <n v="110000"/>
    <n v="550000"/>
    <n v="375000"/>
    <n v="175000"/>
  </r>
  <r>
    <s v="TRX-202512-1196"/>
    <x v="339"/>
    <s v="CUST006"/>
    <s v="PRD004"/>
    <n v="7"/>
    <n v="105000"/>
    <n v="735000"/>
    <n v="490000"/>
    <n v="245000"/>
  </r>
  <r>
    <s v="TRX-202512-1197"/>
    <x v="339"/>
    <s v="CUST008"/>
    <s v="PRD010"/>
    <n v="8"/>
    <n v="20000"/>
    <n v="160000"/>
    <n v="96000"/>
    <n v="64000"/>
  </r>
  <r>
    <s v="TRX-202512-1197"/>
    <x v="339"/>
    <s v="CUST008"/>
    <s v="PRD012"/>
    <n v="1"/>
    <n v="48000"/>
    <n v="48000"/>
    <n v="32000"/>
    <n v="16000"/>
  </r>
  <r>
    <s v="TRX-202512-1197"/>
    <x v="339"/>
    <s v="CUST008"/>
    <s v="PRD001"/>
    <n v="8"/>
    <n v="175000"/>
    <n v="1400000"/>
    <n v="960000"/>
    <n v="440000"/>
  </r>
  <r>
    <s v="TRX-202512-1198"/>
    <x v="339"/>
    <s v="CUST006"/>
    <s v="PRD001"/>
    <n v="8"/>
    <n v="175000"/>
    <n v="1400000"/>
    <n v="960000"/>
    <n v="440000"/>
  </r>
  <r>
    <s v="TRX-202512-1198"/>
    <x v="339"/>
    <s v="CUST006"/>
    <s v="PRD005"/>
    <n v="7"/>
    <n v="105000"/>
    <n v="735000"/>
    <n v="490000"/>
    <n v="245000"/>
  </r>
  <r>
    <s v="TRX-202512-1199"/>
    <x v="340"/>
    <s v="CUST001"/>
    <s v="PRD005"/>
    <n v="8"/>
    <n v="105000"/>
    <n v="840000"/>
    <n v="560000"/>
    <n v="280000"/>
  </r>
  <r>
    <s v="TRX-202512-1199"/>
    <x v="340"/>
    <s v="CUST001"/>
    <s v="PRD009"/>
    <n v="4"/>
    <n v="52000"/>
    <n v="208000"/>
    <n v="140000"/>
    <n v="68000"/>
  </r>
  <r>
    <s v="TRX-202512-1200"/>
    <x v="340"/>
    <s v="CUST007"/>
    <s v="PRD001"/>
    <n v="3"/>
    <n v="175000"/>
    <n v="525000"/>
    <n v="360000"/>
    <n v="165000"/>
  </r>
  <r>
    <s v="TRX-202512-1201"/>
    <x v="340"/>
    <s v="CUST001"/>
    <s v="PRD008"/>
    <n v="3"/>
    <n v="40000"/>
    <n v="120000"/>
    <n v="84000"/>
    <n v="36000"/>
  </r>
  <r>
    <s v="TRX-202512-1201"/>
    <x v="340"/>
    <s v="CUST001"/>
    <s v="PRD002"/>
    <n v="8"/>
    <n v="70000"/>
    <n v="560000"/>
    <n v="360000"/>
    <n v="200000"/>
  </r>
  <r>
    <s v="TRX-202512-1201"/>
    <x v="340"/>
    <s v="CUST001"/>
    <s v="PRD009"/>
    <n v="5"/>
    <n v="52000"/>
    <n v="260000"/>
    <n v="175000"/>
    <n v="85000"/>
  </r>
  <r>
    <s v="TRX-202512-1202"/>
    <x v="340"/>
    <s v="CUST007"/>
    <s v="PRD011"/>
    <n v="2"/>
    <n v="35000"/>
    <n v="70000"/>
    <n v="44000"/>
    <n v="26000"/>
  </r>
  <r>
    <s v="TRX-202512-1202"/>
    <x v="340"/>
    <s v="CUST007"/>
    <s v="PRD001"/>
    <n v="8"/>
    <n v="175000"/>
    <n v="1400000"/>
    <n v="960000"/>
    <n v="440000"/>
  </r>
  <r>
    <s v="TRX-202512-1202"/>
    <x v="340"/>
    <s v="CUST007"/>
    <s v="PRD005"/>
    <n v="3"/>
    <n v="105000"/>
    <n v="315000"/>
    <n v="210000"/>
    <n v="105000"/>
  </r>
  <r>
    <s v="TRX-202512-1203"/>
    <x v="340"/>
    <s v="CUST008"/>
    <s v="PRD003"/>
    <n v="5"/>
    <n v="130000"/>
    <n v="650000"/>
    <n v="425000"/>
    <n v="225000"/>
  </r>
  <r>
    <s v="TRX-202512-1203"/>
    <x v="340"/>
    <s v="CUST008"/>
    <s v="PRD001"/>
    <n v="6"/>
    <n v="175000"/>
    <n v="1050000"/>
    <n v="720000"/>
    <n v="330000"/>
  </r>
  <r>
    <s v="TRX-202512-1204"/>
    <x v="341"/>
    <s v="CUST003"/>
    <s v="PRD010"/>
    <n v="8"/>
    <n v="20000"/>
    <n v="160000"/>
    <n v="96000"/>
    <n v="64000"/>
  </r>
  <r>
    <s v="TRX-202512-1204"/>
    <x v="341"/>
    <s v="CUST003"/>
    <s v="PRD012"/>
    <n v="8"/>
    <n v="48000"/>
    <n v="384000"/>
    <n v="256000"/>
    <n v="128000"/>
  </r>
  <r>
    <s v="TRX-202512-1204"/>
    <x v="341"/>
    <s v="CUST003"/>
    <s v="PRD001"/>
    <n v="6"/>
    <n v="175000"/>
    <n v="1050000"/>
    <n v="720000"/>
    <n v="330000"/>
  </r>
  <r>
    <s v="TRX-202512-1205"/>
    <x v="341"/>
    <s v="CUST007"/>
    <s v="PRD012"/>
    <n v="6"/>
    <n v="48000"/>
    <n v="288000"/>
    <n v="192000"/>
    <n v="96000"/>
  </r>
  <r>
    <s v="TRX-202512-1206"/>
    <x v="341"/>
    <s v="CUST002"/>
    <s v="PRD008"/>
    <n v="5"/>
    <n v="40000"/>
    <n v="200000"/>
    <n v="140000"/>
    <n v="60000"/>
  </r>
  <r>
    <s v="TRX-202512-1206"/>
    <x v="341"/>
    <s v="CUST002"/>
    <s v="PRD001"/>
    <n v="7"/>
    <n v="175000"/>
    <n v="1225000"/>
    <n v="840000"/>
    <n v="385000"/>
  </r>
  <r>
    <s v="TRX-202512-1207"/>
    <x v="342"/>
    <s v="CUST007"/>
    <s v="PRD009"/>
    <n v="1"/>
    <n v="52000"/>
    <n v="52000"/>
    <n v="35000"/>
    <n v="17000"/>
  </r>
  <r>
    <s v="TRX-202512-1208"/>
    <x v="342"/>
    <s v="CUST004"/>
    <s v="PRD003"/>
    <n v="5"/>
    <n v="130000"/>
    <n v="650000"/>
    <n v="425000"/>
    <n v="225000"/>
  </r>
  <r>
    <s v="TRX-202512-1209"/>
    <x v="342"/>
    <s v="CUST003"/>
    <s v="PRD012"/>
    <n v="6"/>
    <n v="48000"/>
    <n v="288000"/>
    <n v="192000"/>
    <n v="96000"/>
  </r>
  <r>
    <s v="TRX-202512-1209"/>
    <x v="342"/>
    <s v="CUST003"/>
    <s v="PRD007"/>
    <n v="1"/>
    <n v="225000"/>
    <n v="225000"/>
    <n v="180000"/>
    <n v="45000"/>
  </r>
  <r>
    <s v="TRX-202512-1209"/>
    <x v="342"/>
    <s v="CUST003"/>
    <s v="PRD001"/>
    <n v="1"/>
    <n v="175000"/>
    <n v="175000"/>
    <n v="120000"/>
    <n v="55000"/>
  </r>
  <r>
    <s v="TRX-202512-1210"/>
    <x v="343"/>
    <s v="CUST002"/>
    <s v="PRD009"/>
    <n v="3"/>
    <n v="52000"/>
    <n v="156000"/>
    <n v="105000"/>
    <n v="51000"/>
  </r>
  <r>
    <s v="TRX-202512-1210"/>
    <x v="343"/>
    <s v="CUST002"/>
    <s v="PRD002"/>
    <n v="4"/>
    <n v="70000"/>
    <n v="280000"/>
    <n v="180000"/>
    <n v="100000"/>
  </r>
  <r>
    <s v="TRX-202512-1211"/>
    <x v="343"/>
    <s v="CUST007"/>
    <s v="PRD006"/>
    <n v="7"/>
    <n v="110000"/>
    <n v="770000"/>
    <n v="525000"/>
    <n v="245000"/>
  </r>
  <r>
    <s v="TRX-202512-1211"/>
    <x v="343"/>
    <s v="CUST007"/>
    <s v="PRD004"/>
    <n v="1"/>
    <n v="105000"/>
    <n v="105000"/>
    <n v="70000"/>
    <n v="35000"/>
  </r>
  <r>
    <s v="TRX-202512-1211"/>
    <x v="343"/>
    <s v="CUST007"/>
    <s v="PRD005"/>
    <n v="7"/>
    <n v="105000"/>
    <n v="735000"/>
    <n v="490000"/>
    <n v="245000"/>
  </r>
  <r>
    <s v="TRX-202512-1212"/>
    <x v="343"/>
    <s v="CUST001"/>
    <s v="PRD007"/>
    <n v="4"/>
    <n v="225000"/>
    <n v="900000"/>
    <n v="720000"/>
    <n v="180000"/>
  </r>
  <r>
    <s v="TRX-202512-1212"/>
    <x v="343"/>
    <s v="CUST001"/>
    <s v="PRD001"/>
    <n v="6"/>
    <n v="175000"/>
    <n v="1050000"/>
    <n v="720000"/>
    <n v="330000"/>
  </r>
  <r>
    <s v="TRX-202512-1213"/>
    <x v="344"/>
    <s v="CUST006"/>
    <s v="PRD007"/>
    <n v="8"/>
    <n v="225000"/>
    <n v="1800000"/>
    <n v="1440000"/>
    <n v="360000"/>
  </r>
  <r>
    <s v="TRX-202512-1213"/>
    <x v="344"/>
    <s v="CUST006"/>
    <s v="PRD005"/>
    <n v="6"/>
    <n v="105000"/>
    <n v="630000"/>
    <n v="420000"/>
    <n v="210000"/>
  </r>
  <r>
    <s v="TRX-202512-1214"/>
    <x v="344"/>
    <s v="CUST005"/>
    <s v="PRD010"/>
    <n v="8"/>
    <n v="20000"/>
    <n v="160000"/>
    <n v="96000"/>
    <n v="64000"/>
  </r>
  <r>
    <s v="TRX-202512-1214"/>
    <x v="344"/>
    <s v="CUST005"/>
    <s v="PRD006"/>
    <n v="8"/>
    <n v="110000"/>
    <n v="880000"/>
    <n v="600000"/>
    <n v="280000"/>
  </r>
  <r>
    <s v="TRX-202512-1214"/>
    <x v="344"/>
    <s v="CUST005"/>
    <s v="PRD005"/>
    <n v="7"/>
    <n v="105000"/>
    <n v="735000"/>
    <n v="490000"/>
    <n v="245000"/>
  </r>
  <r>
    <s v="TRX-202512-1215"/>
    <x v="345"/>
    <s v="CUST004"/>
    <s v="PRD005"/>
    <n v="6"/>
    <n v="105000"/>
    <n v="630000"/>
    <n v="420000"/>
    <n v="210000"/>
  </r>
  <r>
    <s v="TRX-202512-1215"/>
    <x v="345"/>
    <s v="CUST004"/>
    <s v="PRD004"/>
    <n v="7"/>
    <n v="105000"/>
    <n v="735000"/>
    <n v="490000"/>
    <n v="245000"/>
  </r>
  <r>
    <s v="TRX-202512-1216"/>
    <x v="345"/>
    <s v="CUST005"/>
    <s v="PRD010"/>
    <n v="4"/>
    <n v="20000"/>
    <n v="80000"/>
    <n v="48000"/>
    <n v="32000"/>
  </r>
  <r>
    <s v="TRX-202512-1216"/>
    <x v="345"/>
    <s v="CUST005"/>
    <s v="PRD007"/>
    <n v="3"/>
    <n v="225000"/>
    <n v="675000"/>
    <n v="540000"/>
    <n v="135000"/>
  </r>
  <r>
    <s v="TRX-202512-1217"/>
    <x v="345"/>
    <s v="CUST005"/>
    <s v="PRD011"/>
    <n v="6"/>
    <n v="35000"/>
    <n v="210000"/>
    <n v="132000"/>
    <n v="78000"/>
  </r>
  <r>
    <s v="TRX-202512-1218"/>
    <x v="346"/>
    <s v="CUST003"/>
    <s v="PRD010"/>
    <n v="5"/>
    <n v="20000"/>
    <n v="100000"/>
    <n v="60000"/>
    <n v="40000"/>
  </r>
  <r>
    <s v="TRX-202512-1218"/>
    <x v="346"/>
    <s v="CUST003"/>
    <s v="PRD002"/>
    <n v="2"/>
    <n v="70000"/>
    <n v="140000"/>
    <n v="90000"/>
    <n v="50000"/>
  </r>
  <r>
    <s v="TRX-202512-1219"/>
    <x v="346"/>
    <s v="CUST007"/>
    <s v="PRD007"/>
    <n v="4"/>
    <n v="225000"/>
    <n v="900000"/>
    <n v="720000"/>
    <n v="180000"/>
  </r>
  <r>
    <s v="TRX-202512-1219"/>
    <x v="346"/>
    <s v="CUST007"/>
    <s v="PRD001"/>
    <n v="5"/>
    <n v="175000"/>
    <n v="875000"/>
    <n v="600000"/>
    <n v="275000"/>
  </r>
  <r>
    <s v="TRX-202512-1219"/>
    <x v="346"/>
    <s v="CUST007"/>
    <s v="PRD002"/>
    <n v="8"/>
    <n v="70000"/>
    <n v="560000"/>
    <n v="360000"/>
    <n v="200000"/>
  </r>
  <r>
    <s v="TRX-202512-1220"/>
    <x v="346"/>
    <s v="CUST008"/>
    <s v="PRD010"/>
    <n v="7"/>
    <n v="20000"/>
    <n v="140000"/>
    <n v="84000"/>
    <n v="56000"/>
  </r>
  <r>
    <s v="TRX-202512-1220"/>
    <x v="346"/>
    <s v="CUST008"/>
    <s v="PRD005"/>
    <n v="4"/>
    <n v="105000"/>
    <n v="420000"/>
    <n v="280000"/>
    <n v="140000"/>
  </r>
  <r>
    <s v="TRX-202512-1220"/>
    <x v="346"/>
    <s v="CUST008"/>
    <s v="PRD009"/>
    <n v="5"/>
    <n v="52000"/>
    <n v="260000"/>
    <n v="175000"/>
    <n v="85000"/>
  </r>
  <r>
    <s v="TRX-202512-1221"/>
    <x v="346"/>
    <s v="CUST001"/>
    <s v="PRD011"/>
    <n v="2"/>
    <n v="35000"/>
    <n v="70000"/>
    <n v="44000"/>
    <n v="26000"/>
  </r>
  <r>
    <s v="TRX-202512-1221"/>
    <x v="346"/>
    <s v="CUST001"/>
    <s v="PRD008"/>
    <n v="8"/>
    <n v="40000"/>
    <n v="320000"/>
    <n v="224000"/>
    <n v="96000"/>
  </r>
  <r>
    <s v="TRX-202512-1222"/>
    <x v="347"/>
    <s v="CUST007"/>
    <s v="PRD004"/>
    <n v="4"/>
    <n v="105000"/>
    <n v="420000"/>
    <n v="280000"/>
    <n v="140000"/>
  </r>
  <r>
    <s v="TRX-202512-1223"/>
    <x v="347"/>
    <s v="CUST005"/>
    <s v="PRD006"/>
    <n v="1"/>
    <n v="110000"/>
    <n v="110000"/>
    <n v="75000"/>
    <n v="35000"/>
  </r>
  <r>
    <s v="TRX-202512-1223"/>
    <x v="347"/>
    <s v="CUST005"/>
    <s v="PRD004"/>
    <n v="6"/>
    <n v="105000"/>
    <n v="630000"/>
    <n v="420000"/>
    <n v="210000"/>
  </r>
  <r>
    <s v="TRX-202512-1223"/>
    <x v="347"/>
    <s v="CUST005"/>
    <s v="PRD003"/>
    <n v="4"/>
    <n v="130000"/>
    <n v="520000"/>
    <n v="340000"/>
    <n v="180000"/>
  </r>
  <r>
    <s v="TRX-202512-1224"/>
    <x v="347"/>
    <s v="CUST003"/>
    <s v="PRD004"/>
    <n v="1"/>
    <n v="105000"/>
    <n v="105000"/>
    <n v="70000"/>
    <n v="35000"/>
  </r>
  <r>
    <s v="TRX-202512-1224"/>
    <x v="347"/>
    <s v="CUST003"/>
    <s v="PRD009"/>
    <n v="3"/>
    <n v="52000"/>
    <n v="156000"/>
    <n v="105000"/>
    <n v="51000"/>
  </r>
  <r>
    <s v="TRX-202512-1225"/>
    <x v="347"/>
    <s v="CUST002"/>
    <s v="PRD012"/>
    <n v="8"/>
    <n v="48000"/>
    <n v="384000"/>
    <n v="256000"/>
    <n v="128000"/>
  </r>
  <r>
    <s v="TRX-202512-1225"/>
    <x v="347"/>
    <s v="CUST002"/>
    <s v="PRD010"/>
    <n v="2"/>
    <n v="20000"/>
    <n v="40000"/>
    <n v="24000"/>
    <n v="16000"/>
  </r>
  <r>
    <s v="TRX-202512-1225"/>
    <x v="347"/>
    <s v="CUST002"/>
    <s v="PRD005"/>
    <n v="2"/>
    <n v="105000"/>
    <n v="210000"/>
    <n v="140000"/>
    <n v="70000"/>
  </r>
  <r>
    <s v="TRX-202512-1226"/>
    <x v="348"/>
    <s v="CUST007"/>
    <s v="PRD009"/>
    <n v="5"/>
    <n v="52000"/>
    <n v="260000"/>
    <n v="175000"/>
    <n v="85000"/>
  </r>
  <r>
    <s v="TRX-202512-1227"/>
    <x v="348"/>
    <s v="CUST004"/>
    <s v="PRD008"/>
    <n v="6"/>
    <n v="40000"/>
    <n v="240000"/>
    <n v="168000"/>
    <n v="72000"/>
  </r>
  <r>
    <s v="TRX-202512-1227"/>
    <x v="348"/>
    <s v="CUST004"/>
    <s v="PRD007"/>
    <n v="6"/>
    <n v="225000"/>
    <n v="1350000"/>
    <n v="1080000"/>
    <n v="270000"/>
  </r>
  <r>
    <s v="TRX-202512-1227"/>
    <x v="348"/>
    <s v="CUST004"/>
    <s v="PRD009"/>
    <n v="1"/>
    <n v="52000"/>
    <n v="52000"/>
    <n v="35000"/>
    <n v="17000"/>
  </r>
  <r>
    <s v="TRX-202512-1228"/>
    <x v="348"/>
    <s v="CUST008"/>
    <s v="PRD010"/>
    <n v="4"/>
    <n v="20000"/>
    <n v="80000"/>
    <n v="48000"/>
    <n v="32000"/>
  </r>
  <r>
    <s v="TRX-202512-1228"/>
    <x v="348"/>
    <s v="CUST008"/>
    <s v="PRD007"/>
    <n v="6"/>
    <n v="225000"/>
    <n v="1350000"/>
    <n v="1080000"/>
    <n v="270000"/>
  </r>
  <r>
    <s v="TRX-202512-1228"/>
    <x v="348"/>
    <s v="CUST008"/>
    <s v="PRD008"/>
    <n v="3"/>
    <n v="40000"/>
    <n v="120000"/>
    <n v="84000"/>
    <n v="36000"/>
  </r>
  <r>
    <s v="TRX-202512-1229"/>
    <x v="348"/>
    <s v="CUST002"/>
    <s v="PRD012"/>
    <n v="3"/>
    <n v="48000"/>
    <n v="144000"/>
    <n v="96000"/>
    <n v="48000"/>
  </r>
  <r>
    <s v="TRX-202512-1229"/>
    <x v="348"/>
    <s v="CUST002"/>
    <s v="PRD011"/>
    <n v="7"/>
    <n v="35000"/>
    <n v="245000"/>
    <n v="154000"/>
    <n v="91000"/>
  </r>
  <r>
    <s v="TRX-202512-1229"/>
    <x v="348"/>
    <s v="CUST002"/>
    <s v="PRD007"/>
    <n v="4"/>
    <n v="225000"/>
    <n v="900000"/>
    <n v="720000"/>
    <n v="180000"/>
  </r>
  <r>
    <s v="TRX-202512-1230"/>
    <x v="348"/>
    <s v="CUST004"/>
    <s v="PRD006"/>
    <n v="5"/>
    <n v="110000"/>
    <n v="550000"/>
    <n v="375000"/>
    <n v="175000"/>
  </r>
  <r>
    <s v="TRX-202512-1230"/>
    <x v="348"/>
    <s v="CUST004"/>
    <s v="PRD007"/>
    <n v="4"/>
    <n v="225000"/>
    <n v="900000"/>
    <n v="720000"/>
    <n v="180000"/>
  </r>
  <r>
    <s v="TRX-202512-1231"/>
    <x v="349"/>
    <s v="CUST006"/>
    <s v="PRD008"/>
    <n v="3"/>
    <n v="40000"/>
    <n v="120000"/>
    <n v="84000"/>
    <n v="36000"/>
  </r>
  <r>
    <s v="TRX-202512-1231"/>
    <x v="349"/>
    <s v="CUST006"/>
    <s v="PRD003"/>
    <n v="4"/>
    <n v="130000"/>
    <n v="520000"/>
    <n v="340000"/>
    <n v="180000"/>
  </r>
  <r>
    <s v="TRX-202512-1232"/>
    <x v="349"/>
    <s v="CUST004"/>
    <s v="PRD007"/>
    <n v="6"/>
    <n v="225000"/>
    <n v="1350000"/>
    <n v="1080000"/>
    <n v="270000"/>
  </r>
  <r>
    <s v="TRX-202512-1233"/>
    <x v="349"/>
    <s v="CUST001"/>
    <s v="PRD002"/>
    <n v="3"/>
    <n v="70000"/>
    <n v="210000"/>
    <n v="135000"/>
    <n v="75000"/>
  </r>
  <r>
    <s v="TRX-202512-1234"/>
    <x v="349"/>
    <s v="CUST002"/>
    <s v="PRD012"/>
    <n v="5"/>
    <n v="48000"/>
    <n v="240000"/>
    <n v="160000"/>
    <n v="80000"/>
  </r>
  <r>
    <s v="TRX-202512-1234"/>
    <x v="349"/>
    <s v="CUST002"/>
    <s v="PRD009"/>
    <n v="2"/>
    <n v="52000"/>
    <n v="104000"/>
    <n v="70000"/>
    <n v="34000"/>
  </r>
  <r>
    <s v="TRX-202512-1234"/>
    <x v="349"/>
    <s v="CUST002"/>
    <s v="PRD001"/>
    <n v="5"/>
    <n v="175000"/>
    <n v="875000"/>
    <n v="600000"/>
    <n v="275000"/>
  </r>
  <r>
    <s v="TRX-202512-1235"/>
    <x v="350"/>
    <s v="CUST002"/>
    <s v="PRD005"/>
    <n v="3"/>
    <n v="105000"/>
    <n v="315000"/>
    <n v="210000"/>
    <n v="105000"/>
  </r>
  <r>
    <s v="TRX-202512-1236"/>
    <x v="350"/>
    <s v="CUST002"/>
    <s v="PRD009"/>
    <n v="3"/>
    <n v="52000"/>
    <n v="156000"/>
    <n v="105000"/>
    <n v="51000"/>
  </r>
  <r>
    <s v="TRX-202512-1236"/>
    <x v="350"/>
    <s v="CUST002"/>
    <s v="PRD006"/>
    <n v="3"/>
    <n v="110000"/>
    <n v="330000"/>
    <n v="225000"/>
    <n v="105000"/>
  </r>
  <r>
    <s v="TRX-202512-1237"/>
    <x v="351"/>
    <s v="CUST004"/>
    <s v="PRD011"/>
    <n v="1"/>
    <n v="35000"/>
    <n v="35000"/>
    <n v="22000"/>
    <n v="13000"/>
  </r>
  <r>
    <s v="TRX-202512-1238"/>
    <x v="351"/>
    <s v="CUST002"/>
    <s v="PRD003"/>
    <n v="5"/>
    <n v="130000"/>
    <n v="650000"/>
    <n v="425000"/>
    <n v="225000"/>
  </r>
  <r>
    <s v="TRX-202512-1238"/>
    <x v="351"/>
    <s v="CUST002"/>
    <s v="PRD001"/>
    <n v="8"/>
    <n v="175000"/>
    <n v="1400000"/>
    <n v="960000"/>
    <n v="440000"/>
  </r>
  <r>
    <s v="TRX-202512-1239"/>
    <x v="352"/>
    <s v="CUST005"/>
    <s v="PRD010"/>
    <n v="7"/>
    <n v="20000"/>
    <n v="140000"/>
    <n v="84000"/>
    <n v="56000"/>
  </r>
  <r>
    <s v="TRX-202512-1240"/>
    <x v="352"/>
    <s v="CUST007"/>
    <s v="PRD005"/>
    <n v="1"/>
    <n v="105000"/>
    <n v="105000"/>
    <n v="70000"/>
    <n v="35000"/>
  </r>
  <r>
    <s v="TRX-202512-1240"/>
    <x v="352"/>
    <s v="CUST007"/>
    <s v="PRD006"/>
    <n v="6"/>
    <n v="110000"/>
    <n v="660000"/>
    <n v="450000"/>
    <n v="210000"/>
  </r>
  <r>
    <s v="TRX-202512-1241"/>
    <x v="352"/>
    <s v="CUST008"/>
    <s v="PRD001"/>
    <n v="4"/>
    <n v="175000"/>
    <n v="700000"/>
    <n v="480000"/>
    <n v="220000"/>
  </r>
  <r>
    <s v="TRX-202512-1242"/>
    <x v="352"/>
    <s v="CUST007"/>
    <s v="PRD003"/>
    <n v="3"/>
    <n v="130000"/>
    <n v="390000"/>
    <n v="255000"/>
    <n v="135000"/>
  </r>
  <r>
    <s v="TRX-202512-1242"/>
    <x v="352"/>
    <s v="CUST007"/>
    <s v="PRD008"/>
    <n v="5"/>
    <n v="40000"/>
    <n v="200000"/>
    <n v="140000"/>
    <n v="60000"/>
  </r>
  <r>
    <s v="TRX-202512-1242"/>
    <x v="352"/>
    <s v="CUST007"/>
    <s v="PRD010"/>
    <n v="7"/>
    <n v="20000"/>
    <n v="140000"/>
    <n v="84000"/>
    <n v="56000"/>
  </r>
  <r>
    <s v="TRX-202512-1243"/>
    <x v="353"/>
    <s v="CUST006"/>
    <s v="PRD009"/>
    <n v="8"/>
    <n v="52000"/>
    <n v="416000"/>
    <n v="280000"/>
    <n v="136000"/>
  </r>
  <r>
    <s v="TRX-202512-1243"/>
    <x v="353"/>
    <s v="CUST006"/>
    <s v="PRD008"/>
    <n v="2"/>
    <n v="40000"/>
    <n v="80000"/>
    <n v="56000"/>
    <n v="24000"/>
  </r>
  <r>
    <s v="TRX-202512-1243"/>
    <x v="353"/>
    <s v="CUST006"/>
    <s v="PRD001"/>
    <n v="6"/>
    <n v="175000"/>
    <n v="1050000"/>
    <n v="720000"/>
    <n v="330000"/>
  </r>
  <r>
    <s v="TRX-202512-1244"/>
    <x v="353"/>
    <s v="CUST006"/>
    <s v="PRD005"/>
    <n v="3"/>
    <n v="105000"/>
    <n v="315000"/>
    <n v="210000"/>
    <n v="105000"/>
  </r>
  <r>
    <s v="TRX-202512-1245"/>
    <x v="353"/>
    <s v="CUST001"/>
    <s v="PRD003"/>
    <n v="5"/>
    <n v="130000"/>
    <n v="650000"/>
    <n v="425000"/>
    <n v="225000"/>
  </r>
  <r>
    <s v="TRX-202512-1246"/>
    <x v="353"/>
    <s v="CUST001"/>
    <s v="PRD009"/>
    <n v="4"/>
    <n v="52000"/>
    <n v="208000"/>
    <n v="140000"/>
    <n v="68000"/>
  </r>
  <r>
    <s v="TRX-202512-1247"/>
    <x v="354"/>
    <s v="CUST007"/>
    <s v="PRD011"/>
    <n v="5"/>
    <n v="35000"/>
    <n v="175000"/>
    <n v="110000"/>
    <n v="65000"/>
  </r>
  <r>
    <s v="TRX-202512-1247"/>
    <x v="354"/>
    <s v="CUST007"/>
    <s v="PRD008"/>
    <n v="3"/>
    <n v="40000"/>
    <n v="120000"/>
    <n v="84000"/>
    <n v="36000"/>
  </r>
  <r>
    <s v="TRX-202512-1248"/>
    <x v="354"/>
    <s v="CUST003"/>
    <s v="PRD002"/>
    <n v="7"/>
    <n v="70000"/>
    <n v="490000"/>
    <n v="315000"/>
    <n v="175000"/>
  </r>
  <r>
    <s v="TRX-202512-1249"/>
    <x v="354"/>
    <s v="CUST005"/>
    <s v="PRD004"/>
    <n v="1"/>
    <n v="105000"/>
    <n v="105000"/>
    <n v="70000"/>
    <n v="35000"/>
  </r>
  <r>
    <s v="TRX-202512-1249"/>
    <x v="354"/>
    <s v="CUST005"/>
    <s v="PRD001"/>
    <n v="5"/>
    <n v="175000"/>
    <n v="875000"/>
    <n v="600000"/>
    <n v="275000"/>
  </r>
  <r>
    <s v="TRX-202512-1250"/>
    <x v="355"/>
    <s v="CUST006"/>
    <s v="PRD005"/>
    <n v="6"/>
    <n v="105000"/>
    <n v="630000"/>
    <n v="420000"/>
    <n v="210000"/>
  </r>
  <r>
    <s v="TRX-202512-1250"/>
    <x v="355"/>
    <s v="CUST006"/>
    <s v="PRD010"/>
    <n v="6"/>
    <n v="20000"/>
    <n v="120000"/>
    <n v="72000"/>
    <n v="48000"/>
  </r>
  <r>
    <s v="TRX-202512-1251"/>
    <x v="355"/>
    <s v="CUST003"/>
    <s v="PRD011"/>
    <n v="5"/>
    <n v="35000"/>
    <n v="175000"/>
    <n v="110000"/>
    <n v="65000"/>
  </r>
  <r>
    <s v="TRX-202512-1251"/>
    <x v="355"/>
    <s v="CUST003"/>
    <s v="PRD010"/>
    <n v="4"/>
    <n v="20000"/>
    <n v="80000"/>
    <n v="48000"/>
    <n v="32000"/>
  </r>
  <r>
    <s v="TRX-202512-1251"/>
    <x v="355"/>
    <s v="CUST003"/>
    <s v="PRD009"/>
    <n v="4"/>
    <n v="52000"/>
    <n v="208000"/>
    <n v="140000"/>
    <n v="68000"/>
  </r>
  <r>
    <s v="TRX-202512-1252"/>
    <x v="355"/>
    <s v="CUST001"/>
    <s v="PRD008"/>
    <n v="6"/>
    <n v="40000"/>
    <n v="240000"/>
    <n v="168000"/>
    <n v="72000"/>
  </r>
  <r>
    <s v="TRX-202512-1252"/>
    <x v="355"/>
    <s v="CUST001"/>
    <s v="PRD005"/>
    <n v="5"/>
    <n v="105000"/>
    <n v="525000"/>
    <n v="350000"/>
    <n v="175000"/>
  </r>
  <r>
    <s v="TRX-202512-1253"/>
    <x v="355"/>
    <s v="CUST008"/>
    <s v="PRD007"/>
    <n v="5"/>
    <n v="225000"/>
    <n v="1125000"/>
    <n v="900000"/>
    <n v="225000"/>
  </r>
  <r>
    <s v="TRX-202512-1253"/>
    <x v="355"/>
    <s v="CUST008"/>
    <s v="PRD001"/>
    <n v="5"/>
    <n v="175000"/>
    <n v="875000"/>
    <n v="600000"/>
    <n v="275000"/>
  </r>
  <r>
    <s v="TRX-202512-1253"/>
    <x v="355"/>
    <s v="CUST008"/>
    <s v="PRD010"/>
    <n v="2"/>
    <n v="20000"/>
    <n v="40000"/>
    <n v="24000"/>
    <n v="16000"/>
  </r>
  <r>
    <s v="TRX-202512-1254"/>
    <x v="356"/>
    <s v="CUST007"/>
    <s v="PRD007"/>
    <n v="7"/>
    <n v="225000"/>
    <n v="1575000"/>
    <n v="1260000"/>
    <n v="315000"/>
  </r>
  <r>
    <s v="TRX-202512-1254"/>
    <x v="356"/>
    <s v="CUST007"/>
    <s v="PRD003"/>
    <n v="8"/>
    <n v="130000"/>
    <n v="1040000"/>
    <n v="680000"/>
    <n v="360000"/>
  </r>
  <r>
    <s v="TRX-202512-1255"/>
    <x v="356"/>
    <s v="CUST001"/>
    <s v="PRD006"/>
    <n v="5"/>
    <n v="110000"/>
    <n v="550000"/>
    <n v="375000"/>
    <n v="175000"/>
  </r>
  <r>
    <s v="TRX-202512-1255"/>
    <x v="356"/>
    <s v="CUST001"/>
    <s v="PRD002"/>
    <n v="4"/>
    <n v="70000"/>
    <n v="280000"/>
    <n v="180000"/>
    <n v="100000"/>
  </r>
  <r>
    <s v="TRX-202512-1256"/>
    <x v="357"/>
    <s v="CUST001"/>
    <s v="PRD008"/>
    <n v="3"/>
    <n v="40000"/>
    <n v="120000"/>
    <n v="84000"/>
    <n v="36000"/>
  </r>
  <r>
    <s v="TRX-202512-1257"/>
    <x v="357"/>
    <s v="CUST001"/>
    <s v="PRD005"/>
    <n v="6"/>
    <n v="105000"/>
    <n v="630000"/>
    <n v="420000"/>
    <n v="210000"/>
  </r>
  <r>
    <s v="TRX-202512-1258"/>
    <x v="357"/>
    <s v="CUST006"/>
    <s v="PRD010"/>
    <n v="3"/>
    <n v="20000"/>
    <n v="60000"/>
    <n v="36000"/>
    <n v="24000"/>
  </r>
  <r>
    <s v="TRX-202512-1258"/>
    <x v="357"/>
    <s v="CUST006"/>
    <s v="PRD002"/>
    <n v="5"/>
    <n v="70000"/>
    <n v="350000"/>
    <n v="225000"/>
    <n v="125000"/>
  </r>
  <r>
    <s v="TRX-202512-1258"/>
    <x v="357"/>
    <s v="CUST006"/>
    <s v="PRD001"/>
    <n v="6"/>
    <n v="175000"/>
    <n v="1050000"/>
    <n v="720000"/>
    <n v="330000"/>
  </r>
  <r>
    <s v="TRX-202512-1259"/>
    <x v="358"/>
    <s v="CUST004"/>
    <s v="PRD005"/>
    <n v="6"/>
    <n v="105000"/>
    <n v="630000"/>
    <n v="420000"/>
    <n v="210000"/>
  </r>
  <r>
    <s v="TRX-202512-1259"/>
    <x v="358"/>
    <s v="CUST004"/>
    <s v="PRD001"/>
    <n v="3"/>
    <n v="175000"/>
    <n v="525000"/>
    <n v="360000"/>
    <n v="165000"/>
  </r>
  <r>
    <s v="TRX-202512-1259"/>
    <x v="358"/>
    <s v="CUST004"/>
    <s v="PRD007"/>
    <n v="8"/>
    <n v="225000"/>
    <n v="1800000"/>
    <n v="1440000"/>
    <n v="360000"/>
  </r>
  <r>
    <s v="TRX-202512-1260"/>
    <x v="358"/>
    <s v="CUST008"/>
    <s v="PRD009"/>
    <n v="5"/>
    <n v="52000"/>
    <n v="260000"/>
    <n v="175000"/>
    <n v="85000"/>
  </r>
  <r>
    <s v="TRX-202512-1260"/>
    <x v="358"/>
    <s v="CUST008"/>
    <s v="PRD005"/>
    <n v="7"/>
    <n v="105000"/>
    <n v="735000"/>
    <n v="490000"/>
    <n v="245000"/>
  </r>
  <r>
    <s v="TRX-202512-1261"/>
    <x v="358"/>
    <s v="CUST007"/>
    <s v="PRD005"/>
    <n v="6"/>
    <n v="105000"/>
    <n v="630000"/>
    <n v="420000"/>
    <n v="210000"/>
  </r>
  <r>
    <s v="TRX-202512-1262"/>
    <x v="358"/>
    <s v="CUST004"/>
    <s v="PRD008"/>
    <n v="3"/>
    <n v="40000"/>
    <n v="120000"/>
    <n v="84000"/>
    <n v="36000"/>
  </r>
  <r>
    <s v="TRX-202512-1263"/>
    <x v="358"/>
    <s v="CUST003"/>
    <s v="PRD002"/>
    <n v="1"/>
    <n v="70000"/>
    <n v="70000"/>
    <n v="45000"/>
    <n v="25000"/>
  </r>
  <r>
    <s v="TRX-202512-1264"/>
    <x v="359"/>
    <s v="CUST006"/>
    <s v="PRD007"/>
    <n v="4"/>
    <n v="225000"/>
    <n v="900000"/>
    <n v="720000"/>
    <n v="180000"/>
  </r>
  <r>
    <s v="TRX-202512-1265"/>
    <x v="359"/>
    <s v="CUST006"/>
    <s v="PRD001"/>
    <n v="1"/>
    <n v="175000"/>
    <n v="175000"/>
    <n v="120000"/>
    <n v="55000"/>
  </r>
  <r>
    <s v="TRX-202512-1266"/>
    <x v="360"/>
    <s v="CUST004"/>
    <s v="PRD010"/>
    <n v="4"/>
    <n v="20000"/>
    <n v="80000"/>
    <n v="48000"/>
    <n v="32000"/>
  </r>
  <r>
    <s v="TRX-202512-1266"/>
    <x v="360"/>
    <s v="CUST004"/>
    <s v="PRD008"/>
    <n v="3"/>
    <n v="40000"/>
    <n v="120000"/>
    <n v="84000"/>
    <n v="36000"/>
  </r>
  <r>
    <s v="TRX-202512-1266"/>
    <x v="360"/>
    <s v="CUST004"/>
    <s v="PRD005"/>
    <n v="7"/>
    <n v="105000"/>
    <n v="735000"/>
    <n v="490000"/>
    <n v="245000"/>
  </r>
  <r>
    <s v="TRX-202512-1267"/>
    <x v="360"/>
    <s v="CUST001"/>
    <s v="PRD011"/>
    <n v="6"/>
    <n v="35000"/>
    <n v="210000"/>
    <n v="132000"/>
    <n v="78000"/>
  </r>
  <r>
    <s v="TRX-202512-1268"/>
    <x v="360"/>
    <s v="CUST006"/>
    <s v="PRD006"/>
    <n v="2"/>
    <n v="110000"/>
    <n v="220000"/>
    <n v="150000"/>
    <n v="70000"/>
  </r>
  <r>
    <s v="TRX-202512-1268"/>
    <x v="360"/>
    <s v="CUST006"/>
    <s v="PRD012"/>
    <n v="8"/>
    <n v="48000"/>
    <n v="384000"/>
    <n v="256000"/>
    <n v="128000"/>
  </r>
  <r>
    <s v="TRX-202512-1268"/>
    <x v="360"/>
    <s v="CUST006"/>
    <s v="PRD001"/>
    <n v="4"/>
    <n v="175000"/>
    <n v="700000"/>
    <n v="480000"/>
    <n v="220000"/>
  </r>
  <r>
    <s v="TRX-202512-1269"/>
    <x v="361"/>
    <s v="CUST001"/>
    <s v="PRD010"/>
    <n v="2"/>
    <n v="20000"/>
    <n v="40000"/>
    <n v="24000"/>
    <n v="16000"/>
  </r>
  <r>
    <s v="TRX-202512-1269"/>
    <x v="361"/>
    <s v="CUST001"/>
    <s v="PRD011"/>
    <n v="8"/>
    <n v="35000"/>
    <n v="280000"/>
    <n v="176000"/>
    <n v="104000"/>
  </r>
  <r>
    <s v="TRX-202512-1270"/>
    <x v="361"/>
    <s v="CUST007"/>
    <s v="PRD010"/>
    <n v="4"/>
    <n v="20000"/>
    <n v="80000"/>
    <n v="48000"/>
    <n v="32000"/>
  </r>
  <r>
    <s v="TRX-202512-1270"/>
    <x v="361"/>
    <s v="CUST007"/>
    <s v="PRD012"/>
    <n v="6"/>
    <n v="48000"/>
    <n v="288000"/>
    <n v="192000"/>
    <n v="96000"/>
  </r>
  <r>
    <s v="TRX-202512-1271"/>
    <x v="361"/>
    <s v="CUST004"/>
    <s v="PRD005"/>
    <n v="1"/>
    <n v="105000"/>
    <n v="105000"/>
    <n v="70000"/>
    <n v="35000"/>
  </r>
  <r>
    <s v="TRX-202512-1271"/>
    <x v="361"/>
    <s v="CUST004"/>
    <s v="PRD012"/>
    <n v="4"/>
    <n v="48000"/>
    <n v="192000"/>
    <n v="128000"/>
    <n v="64000"/>
  </r>
  <r>
    <s v="TRX-202512-1272"/>
    <x v="361"/>
    <s v="CUST005"/>
    <s v="PRD005"/>
    <n v="4"/>
    <n v="105000"/>
    <n v="420000"/>
    <n v="280000"/>
    <n v="140000"/>
  </r>
  <r>
    <s v="TRX-202512-1272"/>
    <x v="361"/>
    <s v="CUST005"/>
    <s v="PRD001"/>
    <n v="1"/>
    <n v="175000"/>
    <n v="175000"/>
    <n v="120000"/>
    <n v="55000"/>
  </r>
  <r>
    <s v="TRX-202512-1273"/>
    <x v="362"/>
    <s v="CUST002"/>
    <s v="PRD007"/>
    <n v="6"/>
    <n v="225000"/>
    <n v="1350000"/>
    <n v="1080000"/>
    <n v="270000"/>
  </r>
  <r>
    <s v="TRX-202512-1274"/>
    <x v="362"/>
    <s v="CUST003"/>
    <s v="PRD011"/>
    <n v="7"/>
    <n v="35000"/>
    <n v="245000"/>
    <n v="154000"/>
    <n v="91000"/>
  </r>
  <r>
    <s v="TRX-202512-1274"/>
    <x v="362"/>
    <s v="CUST003"/>
    <s v="PRD004"/>
    <n v="2"/>
    <n v="105000"/>
    <n v="210000"/>
    <n v="140000"/>
    <n v="70000"/>
  </r>
  <r>
    <s v="TRX-202512-1274"/>
    <x v="362"/>
    <s v="CUST003"/>
    <s v="PRD001"/>
    <n v="6"/>
    <n v="175000"/>
    <n v="1050000"/>
    <n v="720000"/>
    <n v="330000"/>
  </r>
  <r>
    <s v="TRX-202512-1275"/>
    <x v="362"/>
    <s v="CUST004"/>
    <s v="PRD001"/>
    <n v="3"/>
    <n v="175000"/>
    <n v="525000"/>
    <n v="360000"/>
    <n v="165000"/>
  </r>
  <r>
    <s v="TRX-202512-1275"/>
    <x v="362"/>
    <s v="CUST004"/>
    <s v="PRD002"/>
    <n v="5"/>
    <n v="70000"/>
    <n v="350000"/>
    <n v="225000"/>
    <n v="125000"/>
  </r>
  <r>
    <s v="TRX-202512-1276"/>
    <x v="362"/>
    <s v="CUST003"/>
    <s v="PRD005"/>
    <n v="7"/>
    <n v="105000"/>
    <n v="735000"/>
    <n v="490000"/>
    <n v="245000"/>
  </r>
  <r>
    <s v="TRX-202512-1276"/>
    <x v="362"/>
    <s v="CUST003"/>
    <s v="PRD011"/>
    <n v="3"/>
    <n v="35000"/>
    <n v="105000"/>
    <n v="66000"/>
    <n v="39000"/>
  </r>
  <r>
    <s v="TRX-202512-1276"/>
    <x v="362"/>
    <s v="CUST003"/>
    <s v="PRD012"/>
    <n v="7"/>
    <n v="48000"/>
    <n v="336000"/>
    <n v="224000"/>
    <n v="112000"/>
  </r>
  <r>
    <s v="TRX-202512-1277"/>
    <x v="363"/>
    <s v="CUST008"/>
    <s v="PRD010"/>
    <n v="6"/>
    <n v="20000"/>
    <n v="120000"/>
    <n v="72000"/>
    <n v="48000"/>
  </r>
  <r>
    <s v="TRX-202512-1277"/>
    <x v="363"/>
    <s v="CUST008"/>
    <s v="PRD005"/>
    <n v="2"/>
    <n v="105000"/>
    <n v="210000"/>
    <n v="140000"/>
    <n v="70000"/>
  </r>
  <r>
    <s v="TRX-202512-1277"/>
    <x v="363"/>
    <s v="CUST008"/>
    <s v="PRD002"/>
    <n v="6"/>
    <n v="70000"/>
    <n v="420000"/>
    <n v="270000"/>
    <n v="150000"/>
  </r>
  <r>
    <s v="TRX-202512-1278"/>
    <x v="363"/>
    <s v="CUST003"/>
    <s v="PRD004"/>
    <n v="5"/>
    <n v="105000"/>
    <n v="525000"/>
    <n v="350000"/>
    <n v="175000"/>
  </r>
  <r>
    <s v="TRX-202512-1278"/>
    <x v="363"/>
    <s v="CUST003"/>
    <s v="PRD009"/>
    <n v="1"/>
    <n v="52000"/>
    <n v="52000"/>
    <n v="35000"/>
    <n v="17000"/>
  </r>
  <r>
    <s v="TRX-202512-1279"/>
    <x v="364"/>
    <s v="CUST002"/>
    <s v="PRD004"/>
    <n v="8"/>
    <n v="105000"/>
    <n v="840000"/>
    <n v="560000"/>
    <n v="280000"/>
  </r>
  <r>
    <s v="TRX-202512-1279"/>
    <x v="364"/>
    <s v="CUST002"/>
    <s v="PRD011"/>
    <n v="7"/>
    <n v="35000"/>
    <n v="245000"/>
    <n v="154000"/>
    <n v="91000"/>
  </r>
  <r>
    <s v="TRX-202512-1279"/>
    <x v="364"/>
    <s v="CUST002"/>
    <s v="PRD008"/>
    <n v="6"/>
    <n v="40000"/>
    <n v="240000"/>
    <n v="168000"/>
    <n v="72000"/>
  </r>
  <r>
    <s v="TRX-202512-1280"/>
    <x v="364"/>
    <s v="CUST006"/>
    <s v="PRD001"/>
    <n v="1"/>
    <n v="175000"/>
    <n v="175000"/>
    <n v="120000"/>
    <n v="55000"/>
  </r>
  <r>
    <s v="TRX-202512-1281"/>
    <x v="364"/>
    <s v="CUST008"/>
    <s v="PRD001"/>
    <n v="6"/>
    <n v="175000"/>
    <n v="1050000"/>
    <n v="720000"/>
    <n v="330000"/>
  </r>
  <r>
    <s v="TRX-202512-1282"/>
    <x v="364"/>
    <s v="CUST001"/>
    <s v="PRD006"/>
    <n v="7"/>
    <n v="110000"/>
    <n v="770000"/>
    <n v="525000"/>
    <n v="245000"/>
  </r>
  <r>
    <s v="TRX-202512-1282"/>
    <x v="364"/>
    <s v="CUST001"/>
    <s v="PRD011"/>
    <n v="1"/>
    <n v="35000"/>
    <n v="35000"/>
    <n v="22000"/>
    <n v="13000"/>
  </r>
  <r>
    <s v="TRX-202512-1282"/>
    <x v="364"/>
    <s v="CUST001"/>
    <s v="PRD012"/>
    <n v="6"/>
    <n v="48000"/>
    <n v="288000"/>
    <n v="192000"/>
    <n v="96000"/>
  </r>
  <r>
    <s v="TRX-202512-1283"/>
    <x v="364"/>
    <s v="CUST008"/>
    <s v="PRD003"/>
    <n v="2"/>
    <n v="130000"/>
    <n v="260000"/>
    <n v="170000"/>
    <n v="90000"/>
  </r>
  <r>
    <s v="TRX-202601-1284"/>
    <x v="365"/>
    <s v="CUST003"/>
    <s v="PRD006"/>
    <n v="2"/>
    <n v="110000"/>
    <n v="220000"/>
    <n v="150000"/>
    <n v="70000"/>
  </r>
  <r>
    <s v="TRX-202601-1284"/>
    <x v="365"/>
    <s v="CUST003"/>
    <s v="PRD007"/>
    <n v="6"/>
    <n v="225000"/>
    <n v="1350000"/>
    <n v="1080000"/>
    <n v="270000"/>
  </r>
  <r>
    <s v="TRX-202601-1285"/>
    <x v="365"/>
    <s v="CUST002"/>
    <s v="PRD005"/>
    <n v="7"/>
    <n v="105000"/>
    <n v="735000"/>
    <n v="490000"/>
    <n v="245000"/>
  </r>
  <r>
    <s v="TRX-202601-1285"/>
    <x v="365"/>
    <s v="CUST002"/>
    <s v="PRD012"/>
    <n v="1"/>
    <n v="48000"/>
    <n v="48000"/>
    <n v="32000"/>
    <n v="16000"/>
  </r>
  <r>
    <s v="TRX-202601-1286"/>
    <x v="365"/>
    <s v="CUST001"/>
    <s v="PRD006"/>
    <n v="2"/>
    <n v="110000"/>
    <n v="220000"/>
    <n v="150000"/>
    <n v="70000"/>
  </r>
  <r>
    <s v="TRX-202601-1286"/>
    <x v="365"/>
    <s v="CUST001"/>
    <s v="PRD003"/>
    <n v="3"/>
    <n v="130000"/>
    <n v="390000"/>
    <n v="255000"/>
    <n v="135000"/>
  </r>
  <r>
    <s v="TRX-202601-1287"/>
    <x v="365"/>
    <s v="CUST002"/>
    <s v="PRD002"/>
    <n v="5"/>
    <n v="70000"/>
    <n v="350000"/>
    <n v="225000"/>
    <n v="125000"/>
  </r>
  <r>
    <s v="TRX-202601-1287"/>
    <x v="365"/>
    <s v="CUST002"/>
    <s v="PRD012"/>
    <n v="6"/>
    <n v="48000"/>
    <n v="288000"/>
    <n v="192000"/>
    <n v="96000"/>
  </r>
  <r>
    <s v="TRX-202601-1288"/>
    <x v="365"/>
    <s v="CUST006"/>
    <s v="PRD003"/>
    <n v="4"/>
    <n v="130000"/>
    <n v="520000"/>
    <n v="340000"/>
    <n v="180000"/>
  </r>
  <r>
    <s v="TRX-202601-1289"/>
    <x v="366"/>
    <s v="CUST003"/>
    <s v="PRD002"/>
    <n v="1"/>
    <n v="70000"/>
    <n v="70000"/>
    <n v="45000"/>
    <n v="25000"/>
  </r>
  <r>
    <s v="TRX-202601-1290"/>
    <x v="366"/>
    <s v="CUST002"/>
    <s v="PRD001"/>
    <n v="6"/>
    <n v="175000"/>
    <n v="1050000"/>
    <n v="720000"/>
    <n v="330000"/>
  </r>
  <r>
    <s v="TRX-202601-1290"/>
    <x v="366"/>
    <s v="CUST002"/>
    <s v="PRD008"/>
    <n v="7"/>
    <n v="40000"/>
    <n v="280000"/>
    <n v="196000"/>
    <n v="84000"/>
  </r>
  <r>
    <s v="TRX-202601-1291"/>
    <x v="367"/>
    <s v="CUST004"/>
    <s v="PRD009"/>
    <n v="1"/>
    <n v="52000"/>
    <n v="52000"/>
    <n v="35000"/>
    <n v="17000"/>
  </r>
  <r>
    <s v="TRX-202601-1291"/>
    <x v="367"/>
    <s v="CUST004"/>
    <s v="PRD004"/>
    <n v="7"/>
    <n v="105000"/>
    <n v="735000"/>
    <n v="490000"/>
    <n v="245000"/>
  </r>
  <r>
    <s v="TRX-202601-1292"/>
    <x v="367"/>
    <s v="CUST004"/>
    <s v="PRD011"/>
    <n v="5"/>
    <n v="35000"/>
    <n v="175000"/>
    <n v="110000"/>
    <n v="65000"/>
  </r>
  <r>
    <s v="TRX-202601-1292"/>
    <x v="367"/>
    <s v="CUST004"/>
    <s v="PRD007"/>
    <n v="6"/>
    <n v="225000"/>
    <n v="1350000"/>
    <n v="1080000"/>
    <n v="270000"/>
  </r>
  <r>
    <s v="TRX-202601-1292"/>
    <x v="367"/>
    <s v="CUST004"/>
    <s v="PRD004"/>
    <n v="3"/>
    <n v="105000"/>
    <n v="315000"/>
    <n v="210000"/>
    <n v="105000"/>
  </r>
  <r>
    <s v="TRX-202601-1293"/>
    <x v="367"/>
    <s v="CUST007"/>
    <s v="PRD007"/>
    <n v="5"/>
    <n v="225000"/>
    <n v="1125000"/>
    <n v="900000"/>
    <n v="225000"/>
  </r>
  <r>
    <s v="TRX-202601-1293"/>
    <x v="367"/>
    <s v="CUST007"/>
    <s v="PRD010"/>
    <n v="4"/>
    <n v="20000"/>
    <n v="80000"/>
    <n v="48000"/>
    <n v="32000"/>
  </r>
  <r>
    <s v="TRX-202601-1293"/>
    <x v="367"/>
    <s v="CUST007"/>
    <s v="PRD005"/>
    <n v="2"/>
    <n v="105000"/>
    <n v="210000"/>
    <n v="140000"/>
    <n v="70000"/>
  </r>
  <r>
    <s v="TRX-202601-1294"/>
    <x v="367"/>
    <s v="CUST007"/>
    <s v="PRD011"/>
    <n v="8"/>
    <n v="35000"/>
    <n v="280000"/>
    <n v="176000"/>
    <n v="104000"/>
  </r>
  <r>
    <s v="TRX-202601-1294"/>
    <x v="367"/>
    <s v="CUST007"/>
    <s v="PRD010"/>
    <n v="1"/>
    <n v="20000"/>
    <n v="20000"/>
    <n v="12000"/>
    <n v="8000"/>
  </r>
  <r>
    <s v="TRX-202601-1295"/>
    <x v="368"/>
    <s v="CUST002"/>
    <s v="PRD001"/>
    <n v="6"/>
    <n v="175000"/>
    <n v="1050000"/>
    <n v="720000"/>
    <n v="330000"/>
  </r>
  <r>
    <s v="TRX-202601-1295"/>
    <x v="368"/>
    <s v="CUST002"/>
    <s v="PRD007"/>
    <n v="4"/>
    <n v="225000"/>
    <n v="900000"/>
    <n v="720000"/>
    <n v="180000"/>
  </r>
  <r>
    <s v="TRX-202601-1295"/>
    <x v="368"/>
    <s v="CUST002"/>
    <s v="PRD002"/>
    <n v="8"/>
    <n v="70000"/>
    <n v="560000"/>
    <n v="360000"/>
    <n v="200000"/>
  </r>
  <r>
    <s v="TRX-202601-1296"/>
    <x v="368"/>
    <s v="CUST003"/>
    <s v="PRD012"/>
    <n v="2"/>
    <n v="48000"/>
    <n v="96000"/>
    <n v="64000"/>
    <n v="32000"/>
  </r>
  <r>
    <s v="TRX-202601-1297"/>
    <x v="368"/>
    <s v="CUST006"/>
    <s v="PRD007"/>
    <n v="5"/>
    <n v="225000"/>
    <n v="1125000"/>
    <n v="900000"/>
    <n v="225000"/>
  </r>
  <r>
    <s v="TRX-202601-1297"/>
    <x v="368"/>
    <s v="CUST006"/>
    <s v="PRD012"/>
    <n v="8"/>
    <n v="48000"/>
    <n v="384000"/>
    <n v="256000"/>
    <n v="128000"/>
  </r>
  <r>
    <s v="TRX-202601-1298"/>
    <x v="369"/>
    <s v="CUST003"/>
    <s v="PRD005"/>
    <n v="7"/>
    <n v="105000"/>
    <n v="735000"/>
    <n v="490000"/>
    <n v="245000"/>
  </r>
  <r>
    <s v="TRX-202601-1298"/>
    <x v="369"/>
    <s v="CUST003"/>
    <s v="PRD003"/>
    <n v="1"/>
    <n v="130000"/>
    <n v="130000"/>
    <n v="85000"/>
    <n v="45000"/>
  </r>
  <r>
    <s v="TRX-202601-1299"/>
    <x v="369"/>
    <s v="CUST008"/>
    <s v="PRD002"/>
    <n v="6"/>
    <n v="70000"/>
    <n v="420000"/>
    <n v="270000"/>
    <n v="150000"/>
  </r>
  <r>
    <s v="TRX-202601-1299"/>
    <x v="369"/>
    <s v="CUST008"/>
    <s v="PRD010"/>
    <n v="5"/>
    <n v="20000"/>
    <n v="100000"/>
    <n v="60000"/>
    <n v="40000"/>
  </r>
  <r>
    <s v="TRX-202601-1299"/>
    <x v="369"/>
    <s v="CUST008"/>
    <s v="PRD008"/>
    <n v="4"/>
    <n v="40000"/>
    <n v="160000"/>
    <n v="112000"/>
    <n v="48000"/>
  </r>
  <r>
    <s v="TRX-202601-1300"/>
    <x v="369"/>
    <s v="CUST008"/>
    <s v="PRD012"/>
    <n v="5"/>
    <n v="48000"/>
    <n v="240000"/>
    <n v="160000"/>
    <n v="80000"/>
  </r>
  <r>
    <s v="TRX-202601-1301"/>
    <x v="369"/>
    <s v="CUST008"/>
    <s v="PRD005"/>
    <n v="8"/>
    <n v="105000"/>
    <n v="840000"/>
    <n v="560000"/>
    <n v="280000"/>
  </r>
  <r>
    <s v="TRX-202601-1301"/>
    <x v="369"/>
    <s v="CUST008"/>
    <s v="PRD003"/>
    <n v="4"/>
    <n v="130000"/>
    <n v="520000"/>
    <n v="340000"/>
    <n v="180000"/>
  </r>
  <r>
    <s v="TRX-202601-1302"/>
    <x v="370"/>
    <s v="CUST004"/>
    <s v="PRD005"/>
    <n v="3"/>
    <n v="105000"/>
    <n v="315000"/>
    <n v="210000"/>
    <n v="105000"/>
  </r>
  <r>
    <s v="TRX-202601-1302"/>
    <x v="370"/>
    <s v="CUST004"/>
    <s v="PRD004"/>
    <n v="8"/>
    <n v="105000"/>
    <n v="840000"/>
    <n v="560000"/>
    <n v="280000"/>
  </r>
  <r>
    <s v="TRX-202601-1303"/>
    <x v="370"/>
    <s v="CUST001"/>
    <s v="PRD001"/>
    <n v="6"/>
    <n v="175000"/>
    <n v="1050000"/>
    <n v="720000"/>
    <n v="330000"/>
  </r>
  <r>
    <s v="TRX-202601-1304"/>
    <x v="371"/>
    <s v="CUST006"/>
    <s v="PRD004"/>
    <n v="6"/>
    <n v="105000"/>
    <n v="630000"/>
    <n v="420000"/>
    <n v="210000"/>
  </r>
  <r>
    <s v="TRX-202601-1304"/>
    <x v="371"/>
    <s v="CUST006"/>
    <s v="PRD009"/>
    <n v="8"/>
    <n v="52000"/>
    <n v="416000"/>
    <n v="280000"/>
    <n v="136000"/>
  </r>
  <r>
    <s v="TRX-202601-1305"/>
    <x v="371"/>
    <s v="CUST004"/>
    <s v="PRD009"/>
    <n v="2"/>
    <n v="52000"/>
    <n v="104000"/>
    <n v="70000"/>
    <n v="34000"/>
  </r>
  <r>
    <s v="TRX-202601-1305"/>
    <x v="371"/>
    <s v="CUST004"/>
    <s v="PRD001"/>
    <n v="2"/>
    <n v="175000"/>
    <n v="350000"/>
    <n v="240000"/>
    <n v="110000"/>
  </r>
  <r>
    <s v="TRX-202601-1306"/>
    <x v="371"/>
    <s v="CUST003"/>
    <s v="PRD007"/>
    <n v="1"/>
    <n v="225000"/>
    <n v="225000"/>
    <n v="180000"/>
    <n v="45000"/>
  </r>
  <r>
    <s v="TRX-202601-1307"/>
    <x v="371"/>
    <s v="CUST004"/>
    <s v="PRD007"/>
    <n v="2"/>
    <n v="225000"/>
    <n v="450000"/>
    <n v="360000"/>
    <n v="90000"/>
  </r>
  <r>
    <s v="TRX-202601-1307"/>
    <x v="371"/>
    <s v="CUST004"/>
    <s v="PRD009"/>
    <n v="2"/>
    <n v="52000"/>
    <n v="104000"/>
    <n v="70000"/>
    <n v="34000"/>
  </r>
  <r>
    <s v="TRX-202601-1308"/>
    <x v="372"/>
    <s v="CUST001"/>
    <s v="PRD012"/>
    <n v="3"/>
    <n v="48000"/>
    <n v="144000"/>
    <n v="96000"/>
    <n v="48000"/>
  </r>
  <r>
    <s v="TRX-202601-1308"/>
    <x v="372"/>
    <s v="CUST001"/>
    <s v="PRD005"/>
    <n v="1"/>
    <n v="105000"/>
    <n v="105000"/>
    <n v="70000"/>
    <n v="35000"/>
  </r>
  <r>
    <s v="TRX-202601-1309"/>
    <x v="372"/>
    <s v="CUST008"/>
    <s v="PRD007"/>
    <n v="6"/>
    <n v="225000"/>
    <n v="1350000"/>
    <n v="1080000"/>
    <n v="270000"/>
  </r>
  <r>
    <s v="TRX-202601-1310"/>
    <x v="372"/>
    <s v="CUST002"/>
    <s v="PRD009"/>
    <n v="4"/>
    <n v="52000"/>
    <n v="208000"/>
    <n v="140000"/>
    <n v="68000"/>
  </r>
  <r>
    <s v="TRX-202601-1311"/>
    <x v="373"/>
    <s v="CUST004"/>
    <s v="PRD003"/>
    <n v="4"/>
    <n v="130000"/>
    <n v="520000"/>
    <n v="340000"/>
    <n v="180000"/>
  </r>
  <r>
    <s v="TRX-202601-1311"/>
    <x v="373"/>
    <s v="CUST004"/>
    <s v="PRD001"/>
    <n v="6"/>
    <n v="175000"/>
    <n v="1050000"/>
    <n v="720000"/>
    <n v="330000"/>
  </r>
  <r>
    <s v="TRX-202601-1311"/>
    <x v="373"/>
    <s v="CUST004"/>
    <s v="PRD002"/>
    <n v="5"/>
    <n v="70000"/>
    <n v="350000"/>
    <n v="225000"/>
    <n v="125000"/>
  </r>
  <r>
    <s v="TRX-202601-1312"/>
    <x v="373"/>
    <s v="CUST007"/>
    <s v="PRD012"/>
    <n v="2"/>
    <n v="48000"/>
    <n v="96000"/>
    <n v="64000"/>
    <n v="32000"/>
  </r>
  <r>
    <s v="TRX-202601-1313"/>
    <x v="373"/>
    <s v="CUST003"/>
    <s v="PRD007"/>
    <n v="3"/>
    <n v="225000"/>
    <n v="675000"/>
    <n v="540000"/>
    <n v="135000"/>
  </r>
  <r>
    <s v="TRX-202601-1313"/>
    <x v="373"/>
    <s v="CUST003"/>
    <s v="PRD001"/>
    <n v="6"/>
    <n v="175000"/>
    <n v="1050000"/>
    <n v="720000"/>
    <n v="330000"/>
  </r>
  <r>
    <s v="TRX-202601-1314"/>
    <x v="373"/>
    <s v="CUST001"/>
    <s v="PRD003"/>
    <n v="2"/>
    <n v="130000"/>
    <n v="260000"/>
    <n v="170000"/>
    <n v="90000"/>
  </r>
  <r>
    <s v="TRX-202601-1314"/>
    <x v="373"/>
    <s v="CUST001"/>
    <s v="PRD011"/>
    <n v="2"/>
    <n v="35000"/>
    <n v="70000"/>
    <n v="44000"/>
    <n v="26000"/>
  </r>
  <r>
    <s v="TRX-202601-1314"/>
    <x v="373"/>
    <s v="CUST001"/>
    <s v="PRD007"/>
    <n v="3"/>
    <n v="225000"/>
    <n v="675000"/>
    <n v="540000"/>
    <n v="135000"/>
  </r>
  <r>
    <s v="TRX-202601-1315"/>
    <x v="373"/>
    <s v="CUST004"/>
    <s v="PRD003"/>
    <n v="7"/>
    <n v="130000"/>
    <n v="910000"/>
    <n v="595000"/>
    <n v="315000"/>
  </r>
  <r>
    <s v="TRX-202601-1316"/>
    <x v="374"/>
    <s v="CUST005"/>
    <s v="PRD005"/>
    <n v="4"/>
    <n v="105000"/>
    <n v="420000"/>
    <n v="280000"/>
    <n v="140000"/>
  </r>
  <r>
    <s v="TRX-202601-1316"/>
    <x v="374"/>
    <s v="CUST005"/>
    <s v="PRD010"/>
    <n v="1"/>
    <n v="20000"/>
    <n v="20000"/>
    <n v="12000"/>
    <n v="8000"/>
  </r>
  <r>
    <s v="TRX-202601-1317"/>
    <x v="374"/>
    <s v="CUST004"/>
    <s v="PRD005"/>
    <n v="8"/>
    <n v="105000"/>
    <n v="840000"/>
    <n v="560000"/>
    <n v="280000"/>
  </r>
  <r>
    <s v="TRX-202601-1317"/>
    <x v="374"/>
    <s v="CUST004"/>
    <s v="PRD007"/>
    <n v="2"/>
    <n v="225000"/>
    <n v="450000"/>
    <n v="360000"/>
    <n v="90000"/>
  </r>
  <r>
    <s v="TRX-202601-1318"/>
    <x v="374"/>
    <s v="CUST002"/>
    <s v="PRD003"/>
    <n v="2"/>
    <n v="130000"/>
    <n v="260000"/>
    <n v="170000"/>
    <n v="90000"/>
  </r>
  <r>
    <s v="TRX-202601-1318"/>
    <x v="374"/>
    <s v="CUST002"/>
    <s v="PRD001"/>
    <n v="8"/>
    <n v="175000"/>
    <n v="1400000"/>
    <n v="960000"/>
    <n v="440000"/>
  </r>
  <r>
    <s v="TRX-202601-1318"/>
    <x v="374"/>
    <s v="CUST002"/>
    <s v="PRD004"/>
    <n v="7"/>
    <n v="105000"/>
    <n v="735000"/>
    <n v="490000"/>
    <n v="245000"/>
  </r>
  <r>
    <s v="TRX-202601-1319"/>
    <x v="374"/>
    <s v="CUST003"/>
    <s v="PRD009"/>
    <n v="3"/>
    <n v="52000"/>
    <n v="156000"/>
    <n v="105000"/>
    <n v="51000"/>
  </r>
  <r>
    <s v="TRX-202601-1320"/>
    <x v="374"/>
    <s v="CUST004"/>
    <s v="PRD004"/>
    <n v="1"/>
    <n v="105000"/>
    <n v="105000"/>
    <n v="70000"/>
    <n v="35000"/>
  </r>
  <r>
    <s v="TRX-202601-1321"/>
    <x v="375"/>
    <s v="CUST002"/>
    <s v="PRD006"/>
    <n v="5"/>
    <n v="110000"/>
    <n v="550000"/>
    <n v="375000"/>
    <n v="175000"/>
  </r>
  <r>
    <s v="TRX-202601-1321"/>
    <x v="375"/>
    <s v="CUST002"/>
    <s v="PRD008"/>
    <n v="6"/>
    <n v="40000"/>
    <n v="240000"/>
    <n v="168000"/>
    <n v="72000"/>
  </r>
  <r>
    <s v="TRX-202601-1321"/>
    <x v="375"/>
    <s v="CUST002"/>
    <s v="PRD003"/>
    <n v="1"/>
    <n v="130000"/>
    <n v="130000"/>
    <n v="85000"/>
    <n v="45000"/>
  </r>
  <r>
    <s v="TRX-202601-1322"/>
    <x v="375"/>
    <s v="CUST001"/>
    <s v="PRD001"/>
    <n v="1"/>
    <n v="175000"/>
    <n v="175000"/>
    <n v="120000"/>
    <n v="55000"/>
  </r>
  <r>
    <s v="TRX-202601-1323"/>
    <x v="375"/>
    <s v="CUST001"/>
    <s v="PRD006"/>
    <n v="3"/>
    <n v="110000"/>
    <n v="330000"/>
    <n v="225000"/>
    <n v="105000"/>
  </r>
  <r>
    <s v="TRX-202601-1324"/>
    <x v="375"/>
    <s v="CUST002"/>
    <s v="PRD012"/>
    <n v="4"/>
    <n v="48000"/>
    <n v="192000"/>
    <n v="128000"/>
    <n v="64000"/>
  </r>
  <r>
    <s v="TRX-202601-1325"/>
    <x v="375"/>
    <s v="CUST008"/>
    <s v="PRD008"/>
    <n v="6"/>
    <n v="40000"/>
    <n v="240000"/>
    <n v="168000"/>
    <n v="72000"/>
  </r>
  <r>
    <s v="TRX-202601-1326"/>
    <x v="376"/>
    <s v="CUST001"/>
    <s v="PRD007"/>
    <n v="1"/>
    <n v="225000"/>
    <n v="225000"/>
    <n v="180000"/>
    <n v="45000"/>
  </r>
  <r>
    <s v="TRX-202601-1326"/>
    <x v="376"/>
    <s v="CUST001"/>
    <s v="PRD008"/>
    <n v="7"/>
    <n v="40000"/>
    <n v="280000"/>
    <n v="196000"/>
    <n v="84000"/>
  </r>
  <r>
    <s v="TRX-202601-1327"/>
    <x v="376"/>
    <s v="CUST008"/>
    <s v="PRD001"/>
    <n v="1"/>
    <n v="175000"/>
    <n v="175000"/>
    <n v="120000"/>
    <n v="55000"/>
  </r>
  <r>
    <s v="TRX-202601-1328"/>
    <x v="376"/>
    <s v="CUST001"/>
    <s v="PRD005"/>
    <n v="6"/>
    <n v="105000"/>
    <n v="630000"/>
    <n v="420000"/>
    <n v="210000"/>
  </r>
  <r>
    <s v="TRX-202601-1328"/>
    <x v="376"/>
    <s v="CUST001"/>
    <s v="PRD004"/>
    <n v="6"/>
    <n v="105000"/>
    <n v="630000"/>
    <n v="420000"/>
    <n v="210000"/>
  </r>
  <r>
    <s v="TRX-202601-1328"/>
    <x v="376"/>
    <s v="CUST001"/>
    <s v="PRD007"/>
    <n v="2"/>
    <n v="225000"/>
    <n v="450000"/>
    <n v="360000"/>
    <n v="90000"/>
  </r>
  <r>
    <s v="TRX-202601-1329"/>
    <x v="376"/>
    <s v="CUST006"/>
    <s v="PRD009"/>
    <n v="3"/>
    <n v="52000"/>
    <n v="156000"/>
    <n v="105000"/>
    <n v="51000"/>
  </r>
  <r>
    <s v="TRX-202601-1329"/>
    <x v="376"/>
    <s v="CUST006"/>
    <s v="PRD005"/>
    <n v="7"/>
    <n v="105000"/>
    <n v="735000"/>
    <n v="490000"/>
    <n v="245000"/>
  </r>
  <r>
    <s v="TRX-202601-1329"/>
    <x v="376"/>
    <s v="CUST006"/>
    <s v="PRD012"/>
    <n v="7"/>
    <n v="48000"/>
    <n v="336000"/>
    <n v="224000"/>
    <n v="112000"/>
  </r>
  <r>
    <s v="TRX-202601-1330"/>
    <x v="377"/>
    <s v="CUST006"/>
    <s v="PRD010"/>
    <n v="3"/>
    <n v="20000"/>
    <n v="60000"/>
    <n v="36000"/>
    <n v="24000"/>
  </r>
  <r>
    <s v="TRX-202601-1331"/>
    <x v="377"/>
    <s v="CUST003"/>
    <s v="PRD001"/>
    <n v="5"/>
    <n v="175000"/>
    <n v="875000"/>
    <n v="600000"/>
    <n v="275000"/>
  </r>
  <r>
    <s v="TRX-202601-1332"/>
    <x v="377"/>
    <s v="CUST001"/>
    <s v="PRD007"/>
    <n v="5"/>
    <n v="225000"/>
    <n v="1125000"/>
    <n v="900000"/>
    <n v="225000"/>
  </r>
  <r>
    <s v="TRX-202601-1333"/>
    <x v="377"/>
    <s v="CUST002"/>
    <s v="PRD009"/>
    <n v="5"/>
    <n v="52000"/>
    <n v="260000"/>
    <n v="175000"/>
    <n v="85000"/>
  </r>
  <r>
    <s v="TRX-202601-1333"/>
    <x v="377"/>
    <s v="CUST002"/>
    <s v="PRD001"/>
    <n v="3"/>
    <n v="175000"/>
    <n v="525000"/>
    <n v="360000"/>
    <n v="165000"/>
  </r>
  <r>
    <s v="TRX-202601-1333"/>
    <x v="377"/>
    <s v="CUST002"/>
    <s v="PRD005"/>
    <n v="8"/>
    <n v="105000"/>
    <n v="840000"/>
    <n v="560000"/>
    <n v="280000"/>
  </r>
  <r>
    <s v="TRX-202601-1334"/>
    <x v="377"/>
    <s v="CUST008"/>
    <s v="PRD009"/>
    <n v="4"/>
    <n v="52000"/>
    <n v="208000"/>
    <n v="140000"/>
    <n v="68000"/>
  </r>
  <r>
    <s v="TRX-202601-1335"/>
    <x v="378"/>
    <s v="CUST004"/>
    <s v="PRD005"/>
    <n v="5"/>
    <n v="105000"/>
    <n v="525000"/>
    <n v="350000"/>
    <n v="175000"/>
  </r>
  <r>
    <s v="TRX-202601-1336"/>
    <x v="378"/>
    <s v="CUST002"/>
    <s v="PRD001"/>
    <n v="5"/>
    <n v="175000"/>
    <n v="875000"/>
    <n v="600000"/>
    <n v="275000"/>
  </r>
  <r>
    <s v="TRX-202601-1336"/>
    <x v="378"/>
    <s v="CUST002"/>
    <s v="PRD007"/>
    <n v="7"/>
    <n v="225000"/>
    <n v="1575000"/>
    <n v="1260000"/>
    <n v="315000"/>
  </r>
  <r>
    <s v="TRX-202601-1337"/>
    <x v="378"/>
    <s v="CUST003"/>
    <s v="PRD006"/>
    <n v="1"/>
    <n v="110000"/>
    <n v="110000"/>
    <n v="75000"/>
    <n v="35000"/>
  </r>
  <r>
    <s v="TRX-202601-1337"/>
    <x v="378"/>
    <s v="CUST003"/>
    <s v="PRD005"/>
    <n v="3"/>
    <n v="105000"/>
    <n v="315000"/>
    <n v="210000"/>
    <n v="105000"/>
  </r>
  <r>
    <s v="TRX-202601-1338"/>
    <x v="378"/>
    <s v="CUST007"/>
    <s v="PRD012"/>
    <n v="6"/>
    <n v="48000"/>
    <n v="288000"/>
    <n v="192000"/>
    <n v="96000"/>
  </r>
  <r>
    <s v="TRX-202601-1339"/>
    <x v="378"/>
    <s v="CUST006"/>
    <s v="PRD011"/>
    <n v="4"/>
    <n v="35000"/>
    <n v="140000"/>
    <n v="88000"/>
    <n v="52000"/>
  </r>
  <r>
    <s v="TRX-202601-1339"/>
    <x v="378"/>
    <s v="CUST006"/>
    <s v="PRD003"/>
    <n v="1"/>
    <n v="130000"/>
    <n v="130000"/>
    <n v="85000"/>
    <n v="45000"/>
  </r>
  <r>
    <s v="TRX-202601-1339"/>
    <x v="378"/>
    <s v="CUST006"/>
    <s v="PRD005"/>
    <n v="2"/>
    <n v="105000"/>
    <n v="210000"/>
    <n v="140000"/>
    <n v="70000"/>
  </r>
  <r>
    <s v="TRX-202601-1340"/>
    <x v="379"/>
    <s v="CUST001"/>
    <s v="PRD004"/>
    <n v="4"/>
    <n v="105000"/>
    <n v="420000"/>
    <n v="280000"/>
    <n v="140000"/>
  </r>
  <r>
    <s v="TRX-202601-1340"/>
    <x v="379"/>
    <s v="CUST001"/>
    <s v="PRD012"/>
    <n v="4"/>
    <n v="48000"/>
    <n v="192000"/>
    <n v="128000"/>
    <n v="64000"/>
  </r>
  <r>
    <s v="TRX-202601-1341"/>
    <x v="379"/>
    <s v="CUST006"/>
    <s v="PRD009"/>
    <n v="5"/>
    <n v="52000"/>
    <n v="260000"/>
    <n v="175000"/>
    <n v="85000"/>
  </r>
  <r>
    <s v="TRX-202601-1342"/>
    <x v="379"/>
    <s v="CUST006"/>
    <s v="PRD002"/>
    <n v="3"/>
    <n v="70000"/>
    <n v="210000"/>
    <n v="135000"/>
    <n v="75000"/>
  </r>
  <r>
    <s v="TRX-202601-1342"/>
    <x v="379"/>
    <s v="CUST006"/>
    <s v="PRD007"/>
    <n v="2"/>
    <n v="225000"/>
    <n v="450000"/>
    <n v="360000"/>
    <n v="90000"/>
  </r>
  <r>
    <s v="TRX-202601-1342"/>
    <x v="379"/>
    <s v="CUST006"/>
    <s v="PRD004"/>
    <n v="2"/>
    <n v="105000"/>
    <n v="210000"/>
    <n v="140000"/>
    <n v="70000"/>
  </r>
  <r>
    <s v="TRX-202601-1343"/>
    <x v="379"/>
    <s v="CUST002"/>
    <s v="PRD010"/>
    <n v="8"/>
    <n v="20000"/>
    <n v="160000"/>
    <n v="96000"/>
    <n v="64000"/>
  </r>
  <r>
    <s v="TRX-202601-1343"/>
    <x v="379"/>
    <s v="CUST002"/>
    <s v="PRD008"/>
    <n v="2"/>
    <n v="40000"/>
    <n v="80000"/>
    <n v="56000"/>
    <n v="24000"/>
  </r>
  <r>
    <s v="TRX-202601-1343"/>
    <x v="379"/>
    <s v="CUST002"/>
    <s v="PRD009"/>
    <n v="1"/>
    <n v="52000"/>
    <n v="52000"/>
    <n v="35000"/>
    <n v="17000"/>
  </r>
  <r>
    <s v="TRX-202601-1344"/>
    <x v="380"/>
    <s v="CUST008"/>
    <s v="PRD007"/>
    <n v="1"/>
    <n v="225000"/>
    <n v="225000"/>
    <n v="180000"/>
    <n v="45000"/>
  </r>
  <r>
    <s v="TRX-202601-1344"/>
    <x v="380"/>
    <s v="CUST008"/>
    <s v="PRD009"/>
    <n v="1"/>
    <n v="52000"/>
    <n v="52000"/>
    <n v="35000"/>
    <n v="17000"/>
  </r>
  <r>
    <s v="TRX-202601-1344"/>
    <x v="380"/>
    <s v="CUST008"/>
    <s v="PRD011"/>
    <n v="3"/>
    <n v="35000"/>
    <n v="105000"/>
    <n v="66000"/>
    <n v="39000"/>
  </r>
  <r>
    <s v="TRX-202601-1345"/>
    <x v="380"/>
    <s v="CUST004"/>
    <s v="PRD001"/>
    <n v="2"/>
    <n v="175000"/>
    <n v="350000"/>
    <n v="240000"/>
    <n v="110000"/>
  </r>
  <r>
    <s v="TRX-202601-1346"/>
    <x v="381"/>
    <s v="CUST003"/>
    <s v="PRD002"/>
    <n v="5"/>
    <n v="70000"/>
    <n v="350000"/>
    <n v="225000"/>
    <n v="125000"/>
  </r>
  <r>
    <s v="TRX-202601-1347"/>
    <x v="381"/>
    <s v="CUST002"/>
    <s v="PRD009"/>
    <n v="5"/>
    <n v="52000"/>
    <n v="260000"/>
    <n v="175000"/>
    <n v="85000"/>
  </r>
  <r>
    <s v="TRX-202601-1348"/>
    <x v="381"/>
    <s v="CUST002"/>
    <s v="PRD005"/>
    <n v="7"/>
    <n v="105000"/>
    <n v="735000"/>
    <n v="490000"/>
    <n v="245000"/>
  </r>
  <r>
    <s v="TRX-202601-1348"/>
    <x v="381"/>
    <s v="CUST002"/>
    <s v="PRD004"/>
    <n v="8"/>
    <n v="105000"/>
    <n v="840000"/>
    <n v="560000"/>
    <n v="280000"/>
  </r>
  <r>
    <s v="TRX-202601-1348"/>
    <x v="381"/>
    <s v="CUST002"/>
    <s v="PRD011"/>
    <n v="6"/>
    <n v="35000"/>
    <n v="210000"/>
    <n v="132000"/>
    <n v="78000"/>
  </r>
  <r>
    <s v="TRX-202601-1349"/>
    <x v="381"/>
    <s v="CUST001"/>
    <s v="PRD003"/>
    <n v="3"/>
    <n v="130000"/>
    <n v="390000"/>
    <n v="255000"/>
    <n v="135000"/>
  </r>
  <r>
    <s v="TRX-202601-1349"/>
    <x v="381"/>
    <s v="CUST001"/>
    <s v="PRD007"/>
    <n v="3"/>
    <n v="225000"/>
    <n v="675000"/>
    <n v="540000"/>
    <n v="135000"/>
  </r>
  <r>
    <s v="TRX-202601-1349"/>
    <x v="381"/>
    <s v="CUST001"/>
    <s v="PRD004"/>
    <n v="4"/>
    <n v="105000"/>
    <n v="420000"/>
    <n v="280000"/>
    <n v="140000"/>
  </r>
  <r>
    <s v="TRX-202601-1350"/>
    <x v="382"/>
    <s v="CUST002"/>
    <s v="PRD012"/>
    <n v="3"/>
    <n v="48000"/>
    <n v="144000"/>
    <n v="96000"/>
    <n v="48000"/>
  </r>
  <r>
    <s v="TRX-202601-1351"/>
    <x v="382"/>
    <s v="CUST007"/>
    <s v="PRD001"/>
    <n v="4"/>
    <n v="175000"/>
    <n v="700000"/>
    <n v="480000"/>
    <n v="220000"/>
  </r>
  <r>
    <s v="TRX-202601-1352"/>
    <x v="383"/>
    <s v="CUST007"/>
    <s v="PRD002"/>
    <n v="7"/>
    <n v="70000"/>
    <n v="490000"/>
    <n v="315000"/>
    <n v="175000"/>
  </r>
  <r>
    <s v="TRX-202601-1352"/>
    <x v="383"/>
    <s v="CUST007"/>
    <s v="PRD008"/>
    <n v="3"/>
    <n v="40000"/>
    <n v="120000"/>
    <n v="84000"/>
    <n v="36000"/>
  </r>
  <r>
    <s v="TRX-202601-1352"/>
    <x v="383"/>
    <s v="CUST007"/>
    <s v="PRD011"/>
    <n v="4"/>
    <n v="35000"/>
    <n v="140000"/>
    <n v="88000"/>
    <n v="52000"/>
  </r>
  <r>
    <s v="TRX-202601-1353"/>
    <x v="383"/>
    <s v="CUST005"/>
    <s v="PRD012"/>
    <n v="2"/>
    <n v="48000"/>
    <n v="96000"/>
    <n v="64000"/>
    <n v="32000"/>
  </r>
  <r>
    <s v="TRX-202601-1353"/>
    <x v="383"/>
    <s v="CUST005"/>
    <s v="PRD001"/>
    <n v="4"/>
    <n v="175000"/>
    <n v="700000"/>
    <n v="480000"/>
    <n v="220000"/>
  </r>
  <r>
    <s v="TRX-202601-1354"/>
    <x v="383"/>
    <s v="CUST005"/>
    <s v="PRD001"/>
    <n v="4"/>
    <n v="175000"/>
    <n v="700000"/>
    <n v="480000"/>
    <n v="220000"/>
  </r>
  <r>
    <s v="TRX-202601-1354"/>
    <x v="383"/>
    <s v="CUST005"/>
    <s v="PRD009"/>
    <n v="6"/>
    <n v="52000"/>
    <n v="312000"/>
    <n v="210000"/>
    <n v="102000"/>
  </r>
  <r>
    <s v="TRX-202601-1354"/>
    <x v="383"/>
    <s v="CUST005"/>
    <s v="PRD008"/>
    <n v="5"/>
    <n v="40000"/>
    <n v="200000"/>
    <n v="140000"/>
    <n v="60000"/>
  </r>
  <r>
    <s v="TRX-202601-1355"/>
    <x v="384"/>
    <s v="CUST005"/>
    <s v="PRD010"/>
    <n v="1"/>
    <n v="20000"/>
    <n v="20000"/>
    <n v="12000"/>
    <n v="8000"/>
  </r>
  <r>
    <s v="TRX-202601-1355"/>
    <x v="384"/>
    <s v="CUST005"/>
    <s v="PRD003"/>
    <n v="8"/>
    <n v="130000"/>
    <n v="1040000"/>
    <n v="680000"/>
    <n v="360000"/>
  </r>
  <r>
    <s v="TRX-202601-1356"/>
    <x v="384"/>
    <s v="CUST005"/>
    <s v="PRD003"/>
    <n v="7"/>
    <n v="130000"/>
    <n v="910000"/>
    <n v="595000"/>
    <n v="315000"/>
  </r>
  <r>
    <s v="TRX-202601-1356"/>
    <x v="384"/>
    <s v="CUST005"/>
    <s v="PRD007"/>
    <n v="7"/>
    <n v="225000"/>
    <n v="1575000"/>
    <n v="1260000"/>
    <n v="315000"/>
  </r>
  <r>
    <s v="TRX-202601-1356"/>
    <x v="384"/>
    <s v="CUST005"/>
    <s v="PRD010"/>
    <n v="5"/>
    <n v="20000"/>
    <n v="100000"/>
    <n v="60000"/>
    <n v="40000"/>
  </r>
  <r>
    <s v="TRX-202601-1357"/>
    <x v="385"/>
    <s v="CUST002"/>
    <s v="PRD004"/>
    <n v="5"/>
    <n v="105000"/>
    <n v="525000"/>
    <n v="350000"/>
    <n v="175000"/>
  </r>
  <r>
    <s v="TRX-202601-1358"/>
    <x v="385"/>
    <s v="CUST003"/>
    <s v="PRD007"/>
    <n v="1"/>
    <n v="225000"/>
    <n v="225000"/>
    <n v="180000"/>
    <n v="45000"/>
  </r>
  <r>
    <s v="TRX-202601-1358"/>
    <x v="385"/>
    <s v="CUST003"/>
    <s v="PRD010"/>
    <n v="7"/>
    <n v="20000"/>
    <n v="140000"/>
    <n v="84000"/>
    <n v="56000"/>
  </r>
  <r>
    <s v="TRX-202601-1359"/>
    <x v="385"/>
    <s v="CUST001"/>
    <s v="PRD008"/>
    <n v="2"/>
    <n v="40000"/>
    <n v="80000"/>
    <n v="56000"/>
    <n v="24000"/>
  </r>
  <r>
    <s v="TRX-202601-1359"/>
    <x v="385"/>
    <s v="CUST001"/>
    <s v="PRD003"/>
    <n v="8"/>
    <n v="130000"/>
    <n v="1040000"/>
    <n v="680000"/>
    <n v="360000"/>
  </r>
  <r>
    <s v="TRX-202601-1359"/>
    <x v="385"/>
    <s v="CUST001"/>
    <s v="PRD007"/>
    <n v="7"/>
    <n v="225000"/>
    <n v="1575000"/>
    <n v="1260000"/>
    <n v="315000"/>
  </r>
  <r>
    <s v="TRX-202601-1360"/>
    <x v="386"/>
    <s v="CUST007"/>
    <s v="PRD001"/>
    <n v="3"/>
    <n v="175000"/>
    <n v="525000"/>
    <n v="360000"/>
    <n v="165000"/>
  </r>
  <r>
    <s v="TRX-202601-1360"/>
    <x v="386"/>
    <s v="CUST007"/>
    <s v="PRD009"/>
    <n v="7"/>
    <n v="52000"/>
    <n v="364000"/>
    <n v="245000"/>
    <n v="119000"/>
  </r>
  <r>
    <s v="TRX-202601-1361"/>
    <x v="386"/>
    <s v="CUST006"/>
    <s v="PRD011"/>
    <n v="5"/>
    <n v="35000"/>
    <n v="175000"/>
    <n v="110000"/>
    <n v="65000"/>
  </r>
  <r>
    <s v="TRX-202601-1361"/>
    <x v="386"/>
    <s v="CUST006"/>
    <s v="PRD003"/>
    <n v="2"/>
    <n v="130000"/>
    <n v="260000"/>
    <n v="170000"/>
    <n v="90000"/>
  </r>
  <r>
    <s v="TRX-202601-1361"/>
    <x v="386"/>
    <s v="CUST006"/>
    <s v="PRD007"/>
    <n v="7"/>
    <n v="225000"/>
    <n v="1575000"/>
    <n v="1260000"/>
    <n v="315000"/>
  </r>
  <r>
    <s v="TRX-202601-1362"/>
    <x v="386"/>
    <s v="CUST007"/>
    <s v="PRD007"/>
    <n v="2"/>
    <n v="225000"/>
    <n v="450000"/>
    <n v="360000"/>
    <n v="90000"/>
  </r>
  <r>
    <s v="TRX-202601-1362"/>
    <x v="386"/>
    <s v="CUST007"/>
    <s v="PRD011"/>
    <n v="4"/>
    <n v="35000"/>
    <n v="140000"/>
    <n v="88000"/>
    <n v="52000"/>
  </r>
  <r>
    <s v="TRX-202601-1363"/>
    <x v="387"/>
    <s v="CUST008"/>
    <s v="PRD001"/>
    <n v="1"/>
    <n v="175000"/>
    <n v="175000"/>
    <n v="120000"/>
    <n v="55000"/>
  </r>
  <r>
    <s v="TRX-202601-1364"/>
    <x v="387"/>
    <s v="CUST007"/>
    <s v="PRD007"/>
    <n v="1"/>
    <n v="225000"/>
    <n v="225000"/>
    <n v="180000"/>
    <n v="45000"/>
  </r>
  <r>
    <s v="TRX-202601-1364"/>
    <x v="387"/>
    <s v="CUST007"/>
    <s v="PRD012"/>
    <n v="2"/>
    <n v="48000"/>
    <n v="96000"/>
    <n v="64000"/>
    <n v="32000"/>
  </r>
  <r>
    <s v="TRX-202601-1364"/>
    <x v="387"/>
    <s v="CUST007"/>
    <s v="PRD002"/>
    <n v="7"/>
    <n v="70000"/>
    <n v="490000"/>
    <n v="315000"/>
    <n v="175000"/>
  </r>
  <r>
    <s v="TRX-202601-1365"/>
    <x v="387"/>
    <s v="CUST004"/>
    <s v="PRD002"/>
    <n v="4"/>
    <n v="70000"/>
    <n v="280000"/>
    <n v="180000"/>
    <n v="100000"/>
  </r>
  <r>
    <s v="TRX-202601-1366"/>
    <x v="388"/>
    <s v="CUST001"/>
    <s v="PRD006"/>
    <n v="5"/>
    <n v="110000"/>
    <n v="550000"/>
    <n v="375000"/>
    <n v="175000"/>
  </r>
  <r>
    <s v="TRX-202601-1366"/>
    <x v="388"/>
    <s v="CUST001"/>
    <s v="PRD004"/>
    <n v="1"/>
    <n v="105000"/>
    <n v="105000"/>
    <n v="70000"/>
    <n v="35000"/>
  </r>
  <r>
    <s v="TRX-202601-1366"/>
    <x v="388"/>
    <s v="CUST001"/>
    <s v="PRD005"/>
    <n v="8"/>
    <n v="105000"/>
    <n v="840000"/>
    <n v="560000"/>
    <n v="280000"/>
  </r>
  <r>
    <s v="TRX-202601-1367"/>
    <x v="388"/>
    <s v="CUST008"/>
    <s v="PRD010"/>
    <n v="7"/>
    <n v="20000"/>
    <n v="140000"/>
    <n v="84000"/>
    <n v="56000"/>
  </r>
  <r>
    <s v="TRX-202601-1367"/>
    <x v="388"/>
    <s v="CUST008"/>
    <s v="PRD005"/>
    <n v="3"/>
    <n v="105000"/>
    <n v="315000"/>
    <n v="210000"/>
    <n v="105000"/>
  </r>
  <r>
    <s v="TRX-202601-1368"/>
    <x v="388"/>
    <s v="CUST001"/>
    <s v="PRD008"/>
    <n v="7"/>
    <n v="40000"/>
    <n v="280000"/>
    <n v="196000"/>
    <n v="84000"/>
  </r>
  <r>
    <s v="TRX-202601-1368"/>
    <x v="388"/>
    <s v="CUST001"/>
    <s v="PRD003"/>
    <n v="3"/>
    <n v="130000"/>
    <n v="390000"/>
    <n v="255000"/>
    <n v="135000"/>
  </r>
  <r>
    <s v="TRX-202601-1368"/>
    <x v="388"/>
    <s v="CUST001"/>
    <s v="PRD007"/>
    <n v="3"/>
    <n v="225000"/>
    <n v="675000"/>
    <n v="540000"/>
    <n v="135000"/>
  </r>
  <r>
    <s v="TRX-202601-1369"/>
    <x v="389"/>
    <s v="CUST006"/>
    <s v="PRD012"/>
    <n v="4"/>
    <n v="48000"/>
    <n v="192000"/>
    <n v="128000"/>
    <n v="64000"/>
  </r>
  <r>
    <s v="TRX-202601-1369"/>
    <x v="389"/>
    <s v="CUST006"/>
    <s v="PRD003"/>
    <n v="6"/>
    <n v="130000"/>
    <n v="780000"/>
    <n v="510000"/>
    <n v="270000"/>
  </r>
  <r>
    <s v="TRX-202601-1370"/>
    <x v="389"/>
    <s v="CUST007"/>
    <s v="PRD008"/>
    <n v="2"/>
    <n v="40000"/>
    <n v="80000"/>
    <n v="56000"/>
    <n v="24000"/>
  </r>
  <r>
    <s v="TRX-202601-1371"/>
    <x v="389"/>
    <s v="CUST008"/>
    <s v="PRD004"/>
    <n v="3"/>
    <n v="105000"/>
    <n v="315000"/>
    <n v="210000"/>
    <n v="105000"/>
  </r>
  <r>
    <s v="TRX-202601-1372"/>
    <x v="390"/>
    <s v="CUST006"/>
    <s v="PRD003"/>
    <n v="7"/>
    <n v="130000"/>
    <n v="910000"/>
    <n v="595000"/>
    <n v="315000"/>
  </r>
  <r>
    <s v="TRX-202601-1373"/>
    <x v="390"/>
    <s v="CUST005"/>
    <s v="PRD001"/>
    <n v="5"/>
    <n v="175000"/>
    <n v="875000"/>
    <n v="600000"/>
    <n v="275000"/>
  </r>
  <r>
    <s v="TRX-202601-1373"/>
    <x v="390"/>
    <s v="CUST005"/>
    <s v="PRD002"/>
    <n v="5"/>
    <n v="70000"/>
    <n v="350000"/>
    <n v="225000"/>
    <n v="125000"/>
  </r>
  <r>
    <s v="TRX-202601-1373"/>
    <x v="390"/>
    <s v="CUST005"/>
    <s v="PRD007"/>
    <n v="1"/>
    <n v="225000"/>
    <n v="225000"/>
    <n v="180000"/>
    <n v="45000"/>
  </r>
  <r>
    <s v="TRX-202601-1374"/>
    <x v="390"/>
    <s v="CUST004"/>
    <s v="PRD004"/>
    <n v="5"/>
    <n v="105000"/>
    <n v="525000"/>
    <n v="350000"/>
    <n v="175000"/>
  </r>
  <r>
    <s v="TRX-202601-1374"/>
    <x v="390"/>
    <s v="CUST004"/>
    <s v="PRD011"/>
    <n v="2"/>
    <n v="35000"/>
    <n v="70000"/>
    <n v="44000"/>
    <n v="26000"/>
  </r>
  <r>
    <s v="TRX-202601-1375"/>
    <x v="391"/>
    <s v="CUST008"/>
    <s v="PRD011"/>
    <n v="4"/>
    <n v="35000"/>
    <n v="140000"/>
    <n v="88000"/>
    <n v="52000"/>
  </r>
  <r>
    <s v="TRX-202601-1375"/>
    <x v="391"/>
    <s v="CUST008"/>
    <s v="PRD010"/>
    <n v="7"/>
    <n v="20000"/>
    <n v="140000"/>
    <n v="84000"/>
    <n v="56000"/>
  </r>
  <r>
    <s v="TRX-202601-1375"/>
    <x v="391"/>
    <s v="CUST008"/>
    <s v="PRD008"/>
    <n v="4"/>
    <n v="40000"/>
    <n v="160000"/>
    <n v="112000"/>
    <n v="48000"/>
  </r>
  <r>
    <s v="TRX-202601-1376"/>
    <x v="391"/>
    <s v="CUST004"/>
    <s v="PRD009"/>
    <n v="3"/>
    <n v="52000"/>
    <n v="156000"/>
    <n v="105000"/>
    <n v="51000"/>
  </r>
  <r>
    <s v="TRX-202601-1377"/>
    <x v="391"/>
    <s v="CUST006"/>
    <s v="PRD001"/>
    <n v="4"/>
    <n v="175000"/>
    <n v="700000"/>
    <n v="480000"/>
    <n v="220000"/>
  </r>
  <r>
    <s v="TRX-202601-1377"/>
    <x v="391"/>
    <s v="CUST006"/>
    <s v="PRD006"/>
    <n v="8"/>
    <n v="110000"/>
    <n v="880000"/>
    <n v="600000"/>
    <n v="280000"/>
  </r>
  <r>
    <s v="TRX-202601-1378"/>
    <x v="391"/>
    <s v="CUST001"/>
    <s v="PRD012"/>
    <n v="7"/>
    <n v="48000"/>
    <n v="336000"/>
    <n v="224000"/>
    <n v="112000"/>
  </r>
  <r>
    <s v="TRX-202601-1378"/>
    <x v="391"/>
    <s v="CUST001"/>
    <s v="PRD010"/>
    <n v="7"/>
    <n v="20000"/>
    <n v="140000"/>
    <n v="84000"/>
    <n v="56000"/>
  </r>
  <r>
    <s v="TRX-202601-1379"/>
    <x v="392"/>
    <s v="CUST006"/>
    <s v="PRD006"/>
    <n v="8"/>
    <n v="110000"/>
    <n v="880000"/>
    <n v="600000"/>
    <n v="280000"/>
  </r>
  <r>
    <s v="TRX-202601-1380"/>
    <x v="392"/>
    <s v="CUST002"/>
    <s v="PRD005"/>
    <n v="3"/>
    <n v="105000"/>
    <n v="315000"/>
    <n v="210000"/>
    <n v="105000"/>
  </r>
  <r>
    <s v="TRX-202601-1380"/>
    <x v="392"/>
    <s v="CUST002"/>
    <s v="PRD007"/>
    <n v="2"/>
    <n v="225000"/>
    <n v="450000"/>
    <n v="360000"/>
    <n v="90000"/>
  </r>
  <r>
    <s v="TRX-202601-1380"/>
    <x v="392"/>
    <s v="CUST002"/>
    <s v="PRD010"/>
    <n v="3"/>
    <n v="20000"/>
    <n v="60000"/>
    <n v="36000"/>
    <n v="24000"/>
  </r>
  <r>
    <s v="TRX-202601-1381"/>
    <x v="392"/>
    <s v="CUST002"/>
    <s v="PRD003"/>
    <n v="7"/>
    <n v="130000"/>
    <n v="910000"/>
    <n v="595000"/>
    <n v="315000"/>
  </r>
  <r>
    <s v="TRX-202601-1381"/>
    <x v="392"/>
    <s v="CUST002"/>
    <s v="PRD006"/>
    <n v="8"/>
    <n v="110000"/>
    <n v="880000"/>
    <n v="600000"/>
    <n v="280000"/>
  </r>
  <r>
    <s v="TRX-202601-1381"/>
    <x v="392"/>
    <s v="CUST002"/>
    <s v="PRD010"/>
    <n v="1"/>
    <n v="20000"/>
    <n v="20000"/>
    <n v="12000"/>
    <n v="8000"/>
  </r>
  <r>
    <s v="TRX-202601-1382"/>
    <x v="392"/>
    <s v="CUST005"/>
    <s v="PRD007"/>
    <n v="5"/>
    <n v="225000"/>
    <n v="1125000"/>
    <n v="900000"/>
    <n v="225000"/>
  </r>
  <r>
    <s v="TRX-202601-1383"/>
    <x v="392"/>
    <s v="CUST001"/>
    <s v="PRD003"/>
    <n v="1"/>
    <n v="130000"/>
    <n v="130000"/>
    <n v="85000"/>
    <n v="45000"/>
  </r>
  <r>
    <s v="TRX-202601-1384"/>
    <x v="393"/>
    <s v="CUST008"/>
    <s v="PRD012"/>
    <n v="8"/>
    <n v="48000"/>
    <n v="384000"/>
    <n v="256000"/>
    <n v="128000"/>
  </r>
  <r>
    <s v="TRX-202601-1385"/>
    <x v="393"/>
    <s v="CUST002"/>
    <s v="PRD003"/>
    <n v="7"/>
    <n v="130000"/>
    <n v="910000"/>
    <n v="595000"/>
    <n v="315000"/>
  </r>
  <r>
    <s v="TRX-202601-1385"/>
    <x v="393"/>
    <s v="CUST002"/>
    <s v="PRD004"/>
    <n v="8"/>
    <n v="105000"/>
    <n v="840000"/>
    <n v="560000"/>
    <n v="280000"/>
  </r>
  <r>
    <s v="TRX-202601-1386"/>
    <x v="393"/>
    <s v="CUST007"/>
    <s v="PRD004"/>
    <n v="3"/>
    <n v="105000"/>
    <n v="315000"/>
    <n v="210000"/>
    <n v="105000"/>
  </r>
  <r>
    <s v="TRX-202601-1386"/>
    <x v="393"/>
    <s v="CUST007"/>
    <s v="PRD009"/>
    <n v="1"/>
    <n v="52000"/>
    <n v="52000"/>
    <n v="35000"/>
    <n v="17000"/>
  </r>
  <r>
    <s v="TRX-202601-1387"/>
    <x v="393"/>
    <s v="CUST008"/>
    <s v="PRD007"/>
    <n v="2"/>
    <n v="225000"/>
    <n v="450000"/>
    <n v="360000"/>
    <n v="90000"/>
  </r>
  <r>
    <s v="TRX-202601-1387"/>
    <x v="393"/>
    <s v="CUST008"/>
    <s v="PRD002"/>
    <n v="8"/>
    <n v="70000"/>
    <n v="560000"/>
    <n v="360000"/>
    <n v="200000"/>
  </r>
  <r>
    <s v="TRX-202601-1388"/>
    <x v="393"/>
    <s v="CUST008"/>
    <s v="PRD009"/>
    <n v="3"/>
    <n v="52000"/>
    <n v="156000"/>
    <n v="105000"/>
    <n v="51000"/>
  </r>
  <r>
    <s v="TRX-202601-1388"/>
    <x v="393"/>
    <s v="CUST008"/>
    <s v="PRD008"/>
    <n v="7"/>
    <n v="40000"/>
    <n v="280000"/>
    <n v="196000"/>
    <n v="84000"/>
  </r>
  <r>
    <s v="TRX-202601-1388"/>
    <x v="393"/>
    <s v="CUST008"/>
    <s v="PRD007"/>
    <n v="8"/>
    <n v="225000"/>
    <n v="1800000"/>
    <n v="1440000"/>
    <n v="360000"/>
  </r>
  <r>
    <s v="TRX-202601-1389"/>
    <x v="394"/>
    <s v="CUST007"/>
    <s v="PRD010"/>
    <n v="1"/>
    <n v="20000"/>
    <n v="20000"/>
    <n v="12000"/>
    <n v="8000"/>
  </r>
  <r>
    <s v="TRX-202601-1389"/>
    <x v="394"/>
    <s v="CUST007"/>
    <s v="PRD006"/>
    <n v="1"/>
    <n v="110000"/>
    <n v="110000"/>
    <n v="75000"/>
    <n v="35000"/>
  </r>
  <r>
    <s v="TRX-202601-1389"/>
    <x v="394"/>
    <s v="CUST007"/>
    <s v="PRD008"/>
    <n v="2"/>
    <n v="40000"/>
    <n v="80000"/>
    <n v="56000"/>
    <n v="24000"/>
  </r>
  <r>
    <s v="TRX-202601-1390"/>
    <x v="394"/>
    <s v="CUST003"/>
    <s v="PRD009"/>
    <n v="6"/>
    <n v="52000"/>
    <n v="312000"/>
    <n v="210000"/>
    <n v="102000"/>
  </r>
  <r>
    <s v="TRX-202601-1390"/>
    <x v="394"/>
    <s v="CUST003"/>
    <s v="PRD003"/>
    <n v="6"/>
    <n v="130000"/>
    <n v="780000"/>
    <n v="510000"/>
    <n v="270000"/>
  </r>
  <r>
    <s v="TRX-202601-1391"/>
    <x v="394"/>
    <s v="CUST005"/>
    <s v="PRD003"/>
    <n v="7"/>
    <n v="130000"/>
    <n v="910000"/>
    <n v="595000"/>
    <n v="315000"/>
  </r>
  <r>
    <s v="TRX-202601-1391"/>
    <x v="394"/>
    <s v="CUST005"/>
    <s v="PRD009"/>
    <n v="8"/>
    <n v="52000"/>
    <n v="416000"/>
    <n v="280000"/>
    <n v="136000"/>
  </r>
  <r>
    <s v="TRX-202601-1392"/>
    <x v="394"/>
    <s v="CUST007"/>
    <s v="PRD003"/>
    <n v="6"/>
    <n v="130000"/>
    <n v="780000"/>
    <n v="510000"/>
    <n v="270000"/>
  </r>
  <r>
    <s v="TRX-202601-1393"/>
    <x v="394"/>
    <s v="CUST005"/>
    <s v="PRD011"/>
    <n v="4"/>
    <n v="35000"/>
    <n v="140000"/>
    <n v="88000"/>
    <n v="52000"/>
  </r>
  <r>
    <s v="TRX-202601-1394"/>
    <x v="395"/>
    <s v="CUST003"/>
    <s v="PRD007"/>
    <n v="3"/>
    <n v="225000"/>
    <n v="675000"/>
    <n v="540000"/>
    <n v="135000"/>
  </r>
  <r>
    <s v="TRX-202601-1394"/>
    <x v="395"/>
    <s v="CUST003"/>
    <s v="PRD003"/>
    <n v="7"/>
    <n v="130000"/>
    <n v="910000"/>
    <n v="595000"/>
    <n v="315000"/>
  </r>
  <r>
    <s v="TRX-202601-1395"/>
    <x v="395"/>
    <s v="CUST004"/>
    <s v="PRD004"/>
    <n v="6"/>
    <n v="105000"/>
    <n v="630000"/>
    <n v="420000"/>
    <n v="210000"/>
  </r>
  <r>
    <s v="TRX-202601-1395"/>
    <x v="395"/>
    <s v="CUST004"/>
    <s v="PRD006"/>
    <n v="2"/>
    <n v="110000"/>
    <n v="220000"/>
    <n v="150000"/>
    <n v="70000"/>
  </r>
  <r>
    <s v="TRX-202601-1395"/>
    <x v="395"/>
    <s v="CUST004"/>
    <s v="PRD009"/>
    <n v="4"/>
    <n v="52000"/>
    <n v="208000"/>
    <n v="140000"/>
    <n v="68000"/>
  </r>
  <r>
    <s v="TRX-202601-1396"/>
    <x v="395"/>
    <s v="CUST002"/>
    <s v="PRD012"/>
    <n v="6"/>
    <n v="48000"/>
    <n v="288000"/>
    <n v="192000"/>
    <n v="96000"/>
  </r>
  <r>
    <s v="TRX-202601-1396"/>
    <x v="395"/>
    <s v="CUST002"/>
    <s v="PRD007"/>
    <n v="1"/>
    <n v="225000"/>
    <n v="225000"/>
    <n v="180000"/>
    <n v="45000"/>
  </r>
  <r>
    <s v="TRX-202601-1396"/>
    <x v="395"/>
    <s v="CUST002"/>
    <s v="PRD006"/>
    <n v="8"/>
    <n v="110000"/>
    <n v="880000"/>
    <n v="600000"/>
    <n v="280000"/>
  </r>
  <r>
    <s v="TRX-202601-1397"/>
    <x v="395"/>
    <s v="CUST005"/>
    <s v="PRD009"/>
    <n v="1"/>
    <n v="52000"/>
    <n v="52000"/>
    <n v="35000"/>
    <n v="17000"/>
  </r>
  <r>
    <s v="TRX-202601-1397"/>
    <x v="395"/>
    <s v="CUST005"/>
    <s v="PRD006"/>
    <n v="6"/>
    <n v="110000"/>
    <n v="660000"/>
    <n v="450000"/>
    <n v="210000"/>
  </r>
  <r>
    <s v="TRX-202601-1398"/>
    <x v="395"/>
    <s v="CUST008"/>
    <s v="PRD005"/>
    <n v="1"/>
    <n v="105000"/>
    <n v="105000"/>
    <n v="70000"/>
    <n v="35000"/>
  </r>
  <r>
    <s v="TRX-202601-1398"/>
    <x v="395"/>
    <s v="CUST008"/>
    <s v="PRD012"/>
    <n v="4"/>
    <n v="48000"/>
    <n v="192000"/>
    <n v="128000"/>
    <n v="64000"/>
  </r>
  <r>
    <s v="TRX-202601-1398"/>
    <x v="395"/>
    <s v="CUST008"/>
    <s v="PRD004"/>
    <n v="5"/>
    <n v="105000"/>
    <n v="525000"/>
    <n v="350000"/>
    <n v="175000"/>
  </r>
  <r>
    <s v="TRX-202602-1399"/>
    <x v="396"/>
    <s v="CUST006"/>
    <s v="PRD002"/>
    <n v="4"/>
    <n v="70000"/>
    <n v="280000"/>
    <n v="180000"/>
    <n v="100000"/>
  </r>
  <r>
    <s v="TRX-202602-1400"/>
    <x v="396"/>
    <s v="CUST003"/>
    <s v="PRD010"/>
    <n v="7"/>
    <n v="20000"/>
    <n v="140000"/>
    <n v="84000"/>
    <n v="56000"/>
  </r>
  <r>
    <s v="TRX-202602-1400"/>
    <x v="396"/>
    <s v="CUST003"/>
    <s v="PRD004"/>
    <n v="8"/>
    <n v="105000"/>
    <n v="840000"/>
    <n v="560000"/>
    <n v="280000"/>
  </r>
  <r>
    <s v="TRX-202602-1401"/>
    <x v="396"/>
    <s v="CUST002"/>
    <s v="PRD007"/>
    <n v="8"/>
    <n v="225000"/>
    <n v="1800000"/>
    <n v="1440000"/>
    <n v="360000"/>
  </r>
  <r>
    <s v="TRX-202602-1402"/>
    <x v="396"/>
    <s v="CUST006"/>
    <s v="PRD001"/>
    <n v="5"/>
    <n v="175000"/>
    <n v="875000"/>
    <n v="600000"/>
    <n v="275000"/>
  </r>
  <r>
    <s v="TRX-202602-1403"/>
    <x v="397"/>
    <s v="CUST007"/>
    <s v="PRD003"/>
    <n v="6"/>
    <n v="130000"/>
    <n v="780000"/>
    <n v="510000"/>
    <n v="270000"/>
  </r>
  <r>
    <s v="TRX-202602-1404"/>
    <x v="397"/>
    <s v="CUST007"/>
    <s v="PRD001"/>
    <n v="7"/>
    <n v="175000"/>
    <n v="1225000"/>
    <n v="840000"/>
    <n v="385000"/>
  </r>
  <r>
    <s v="TRX-202602-1404"/>
    <x v="397"/>
    <s v="CUST007"/>
    <s v="PRD006"/>
    <n v="8"/>
    <n v="110000"/>
    <n v="880000"/>
    <n v="600000"/>
    <n v="280000"/>
  </r>
  <r>
    <s v="TRX-202602-1405"/>
    <x v="397"/>
    <s v="CUST008"/>
    <s v="PRD005"/>
    <n v="3"/>
    <n v="105000"/>
    <n v="315000"/>
    <n v="210000"/>
    <n v="105000"/>
  </r>
  <r>
    <s v="TRX-202602-1405"/>
    <x v="397"/>
    <s v="CUST008"/>
    <s v="PRD003"/>
    <n v="8"/>
    <n v="130000"/>
    <n v="1040000"/>
    <n v="680000"/>
    <n v="360000"/>
  </r>
  <r>
    <s v="TRX-202602-1406"/>
    <x v="397"/>
    <s v="CUST006"/>
    <s v="PRD006"/>
    <n v="6"/>
    <n v="110000"/>
    <n v="660000"/>
    <n v="450000"/>
    <n v="210000"/>
  </r>
  <r>
    <s v="TRX-202602-1406"/>
    <x v="397"/>
    <s v="CUST006"/>
    <s v="PRD011"/>
    <n v="7"/>
    <n v="35000"/>
    <n v="245000"/>
    <n v="154000"/>
    <n v="91000"/>
  </r>
  <r>
    <s v="TRX-202602-1406"/>
    <x v="397"/>
    <s v="CUST006"/>
    <s v="PRD005"/>
    <n v="6"/>
    <n v="105000"/>
    <n v="630000"/>
    <n v="420000"/>
    <n v="210000"/>
  </r>
  <r>
    <s v="TRX-202602-1407"/>
    <x v="398"/>
    <s v="CUST003"/>
    <s v="PRD002"/>
    <n v="2"/>
    <n v="70000"/>
    <n v="140000"/>
    <n v="90000"/>
    <n v="50000"/>
  </r>
  <r>
    <s v="TRX-202602-1407"/>
    <x v="398"/>
    <s v="CUST003"/>
    <s v="PRD006"/>
    <n v="4"/>
    <n v="110000"/>
    <n v="440000"/>
    <n v="300000"/>
    <n v="140000"/>
  </r>
  <r>
    <s v="TRX-202602-1407"/>
    <x v="398"/>
    <s v="CUST003"/>
    <s v="PRD011"/>
    <n v="1"/>
    <n v="35000"/>
    <n v="35000"/>
    <n v="22000"/>
    <n v="13000"/>
  </r>
  <r>
    <s v="TRX-202602-1408"/>
    <x v="398"/>
    <s v="CUST006"/>
    <s v="PRD008"/>
    <n v="4"/>
    <n v="40000"/>
    <n v="160000"/>
    <n v="112000"/>
    <n v="48000"/>
  </r>
  <r>
    <s v="TRX-202602-1408"/>
    <x v="398"/>
    <s v="CUST006"/>
    <s v="PRD001"/>
    <n v="7"/>
    <n v="175000"/>
    <n v="1225000"/>
    <n v="840000"/>
    <n v="385000"/>
  </r>
  <r>
    <s v="TRX-202602-1409"/>
    <x v="398"/>
    <s v="CUST003"/>
    <s v="PRD002"/>
    <n v="5"/>
    <n v="70000"/>
    <n v="350000"/>
    <n v="225000"/>
    <n v="125000"/>
  </r>
  <r>
    <s v="TRX-202602-1409"/>
    <x v="398"/>
    <s v="CUST003"/>
    <s v="PRD005"/>
    <n v="7"/>
    <n v="105000"/>
    <n v="735000"/>
    <n v="490000"/>
    <n v="245000"/>
  </r>
  <r>
    <s v="TRX-202602-1409"/>
    <x v="398"/>
    <s v="CUST003"/>
    <s v="PRD011"/>
    <n v="7"/>
    <n v="35000"/>
    <n v="245000"/>
    <n v="154000"/>
    <n v="91000"/>
  </r>
  <r>
    <s v="TRX-202602-1410"/>
    <x v="399"/>
    <s v="CUST004"/>
    <s v="PRD012"/>
    <n v="2"/>
    <n v="48000"/>
    <n v="96000"/>
    <n v="64000"/>
    <n v="32000"/>
  </r>
  <r>
    <s v="TRX-202602-1411"/>
    <x v="399"/>
    <s v="CUST003"/>
    <s v="PRD002"/>
    <n v="3"/>
    <n v="70000"/>
    <n v="210000"/>
    <n v="135000"/>
    <n v="75000"/>
  </r>
  <r>
    <s v="TRX-202602-1412"/>
    <x v="400"/>
    <s v="CUST006"/>
    <s v="PRD008"/>
    <n v="5"/>
    <n v="40000"/>
    <n v="200000"/>
    <n v="140000"/>
    <n v="60000"/>
  </r>
  <r>
    <s v="TRX-202602-1412"/>
    <x v="400"/>
    <s v="CUST006"/>
    <s v="PRD006"/>
    <n v="6"/>
    <n v="110000"/>
    <n v="660000"/>
    <n v="450000"/>
    <n v="210000"/>
  </r>
  <r>
    <s v="TRX-202602-1413"/>
    <x v="400"/>
    <s v="CUST005"/>
    <s v="PRD003"/>
    <n v="3"/>
    <n v="130000"/>
    <n v="390000"/>
    <n v="255000"/>
    <n v="135000"/>
  </r>
  <r>
    <s v="TRX-202602-1413"/>
    <x v="400"/>
    <s v="CUST005"/>
    <s v="PRD007"/>
    <n v="1"/>
    <n v="225000"/>
    <n v="225000"/>
    <n v="180000"/>
    <n v="45000"/>
  </r>
  <r>
    <s v="TRX-202602-1414"/>
    <x v="400"/>
    <s v="CUST006"/>
    <s v="PRD010"/>
    <n v="2"/>
    <n v="20000"/>
    <n v="40000"/>
    <n v="24000"/>
    <n v="16000"/>
  </r>
  <r>
    <s v="TRX-202602-1415"/>
    <x v="401"/>
    <s v="CUST001"/>
    <s v="PRD003"/>
    <n v="3"/>
    <n v="130000"/>
    <n v="390000"/>
    <n v="255000"/>
    <n v="135000"/>
  </r>
  <r>
    <s v="TRX-202602-1415"/>
    <x v="401"/>
    <s v="CUST001"/>
    <s v="PRD012"/>
    <n v="4"/>
    <n v="48000"/>
    <n v="192000"/>
    <n v="128000"/>
    <n v="64000"/>
  </r>
  <r>
    <s v="TRX-202602-1416"/>
    <x v="401"/>
    <s v="CUST007"/>
    <s v="PRD002"/>
    <n v="7"/>
    <n v="70000"/>
    <n v="490000"/>
    <n v="315000"/>
    <n v="175000"/>
  </r>
  <r>
    <s v="TRX-202602-1417"/>
    <x v="401"/>
    <s v="CUST006"/>
    <s v="PRD010"/>
    <n v="4"/>
    <n v="20000"/>
    <n v="80000"/>
    <n v="48000"/>
    <n v="32000"/>
  </r>
  <r>
    <s v="TRX-202602-1417"/>
    <x v="401"/>
    <s v="CUST006"/>
    <s v="PRD002"/>
    <n v="3"/>
    <n v="70000"/>
    <n v="210000"/>
    <n v="135000"/>
    <n v="75000"/>
  </r>
  <r>
    <s v="TRX-202602-1417"/>
    <x v="401"/>
    <s v="CUST006"/>
    <s v="PRD005"/>
    <n v="4"/>
    <n v="105000"/>
    <n v="420000"/>
    <n v="280000"/>
    <n v="140000"/>
  </r>
  <r>
    <s v="TRX-202602-1418"/>
    <x v="402"/>
    <s v="CUST002"/>
    <s v="PRD008"/>
    <n v="8"/>
    <n v="40000"/>
    <n v="320000"/>
    <n v="224000"/>
    <n v="96000"/>
  </r>
  <r>
    <s v="TRX-202602-1419"/>
    <x v="402"/>
    <s v="CUST001"/>
    <s v="PRD010"/>
    <n v="3"/>
    <n v="20000"/>
    <n v="60000"/>
    <n v="36000"/>
    <n v="24000"/>
  </r>
  <r>
    <s v="TRX-202602-1420"/>
    <x v="402"/>
    <s v="CUST008"/>
    <s v="PRD003"/>
    <n v="1"/>
    <n v="130000"/>
    <n v="130000"/>
    <n v="85000"/>
    <n v="45000"/>
  </r>
  <r>
    <s v="TRX-202602-1421"/>
    <x v="402"/>
    <s v="CUST006"/>
    <s v="PRD011"/>
    <n v="8"/>
    <n v="35000"/>
    <n v="280000"/>
    <n v="176000"/>
    <n v="104000"/>
  </r>
  <r>
    <s v="TRX-202602-1422"/>
    <x v="402"/>
    <s v="CUST008"/>
    <s v="PRD002"/>
    <n v="6"/>
    <n v="70000"/>
    <n v="420000"/>
    <n v="270000"/>
    <n v="150000"/>
  </r>
  <r>
    <s v="TRX-202602-1422"/>
    <x v="402"/>
    <s v="CUST008"/>
    <s v="PRD004"/>
    <n v="3"/>
    <n v="105000"/>
    <n v="315000"/>
    <n v="210000"/>
    <n v="105000"/>
  </r>
  <r>
    <s v="TRX-202602-1422"/>
    <x v="402"/>
    <s v="CUST008"/>
    <s v="PRD008"/>
    <n v="4"/>
    <n v="40000"/>
    <n v="160000"/>
    <n v="112000"/>
    <n v="48000"/>
  </r>
  <r>
    <s v="TRX-202602-1423"/>
    <x v="403"/>
    <s v="CUST006"/>
    <s v="PRD009"/>
    <n v="4"/>
    <n v="52000"/>
    <n v="208000"/>
    <n v="140000"/>
    <n v="68000"/>
  </r>
  <r>
    <s v="TRX-202602-1423"/>
    <x v="403"/>
    <s v="CUST006"/>
    <s v="PRD006"/>
    <n v="7"/>
    <n v="110000"/>
    <n v="770000"/>
    <n v="525000"/>
    <n v="245000"/>
  </r>
  <r>
    <s v="TRX-202602-1423"/>
    <x v="403"/>
    <s v="CUST006"/>
    <s v="PRD003"/>
    <n v="1"/>
    <n v="130000"/>
    <n v="130000"/>
    <n v="85000"/>
    <n v="45000"/>
  </r>
  <r>
    <s v="TRX-202602-1424"/>
    <x v="403"/>
    <s v="CUST001"/>
    <s v="PRD001"/>
    <n v="5"/>
    <n v="175000"/>
    <n v="875000"/>
    <n v="600000"/>
    <n v="275000"/>
  </r>
  <r>
    <s v="TRX-202602-1425"/>
    <x v="403"/>
    <s v="CUST005"/>
    <s v="PRD007"/>
    <n v="2"/>
    <n v="225000"/>
    <n v="450000"/>
    <n v="360000"/>
    <n v="90000"/>
  </r>
  <r>
    <s v="TRX-202602-1426"/>
    <x v="404"/>
    <s v="CUST001"/>
    <s v="PRD004"/>
    <n v="7"/>
    <n v="105000"/>
    <n v="735000"/>
    <n v="490000"/>
    <n v="245000"/>
  </r>
  <r>
    <s v="TRX-202602-1426"/>
    <x v="404"/>
    <s v="CUST001"/>
    <s v="PRD001"/>
    <n v="8"/>
    <n v="175000"/>
    <n v="1400000"/>
    <n v="960000"/>
    <n v="440000"/>
  </r>
  <r>
    <s v="TRX-202602-1426"/>
    <x v="404"/>
    <s v="CUST001"/>
    <s v="PRD010"/>
    <n v="2"/>
    <n v="20000"/>
    <n v="40000"/>
    <n v="24000"/>
    <n v="16000"/>
  </r>
  <r>
    <s v="TRX-202602-1427"/>
    <x v="404"/>
    <s v="CUST004"/>
    <s v="PRD010"/>
    <n v="2"/>
    <n v="20000"/>
    <n v="40000"/>
    <n v="24000"/>
    <n v="16000"/>
  </r>
  <r>
    <s v="TRX-202602-1427"/>
    <x v="404"/>
    <s v="CUST004"/>
    <s v="PRD008"/>
    <n v="3"/>
    <n v="40000"/>
    <n v="120000"/>
    <n v="84000"/>
    <n v="36000"/>
  </r>
  <r>
    <s v="TRX-202602-1427"/>
    <x v="404"/>
    <s v="CUST004"/>
    <s v="PRD002"/>
    <n v="7"/>
    <n v="70000"/>
    <n v="490000"/>
    <n v="315000"/>
    <n v="175000"/>
  </r>
  <r>
    <s v="TRX-202602-1428"/>
    <x v="404"/>
    <s v="CUST001"/>
    <s v="PRD003"/>
    <n v="4"/>
    <n v="130000"/>
    <n v="520000"/>
    <n v="340000"/>
    <n v="180000"/>
  </r>
  <r>
    <s v="TRX-202602-1428"/>
    <x v="404"/>
    <s v="CUST001"/>
    <s v="PRD012"/>
    <n v="3"/>
    <n v="48000"/>
    <n v="144000"/>
    <n v="96000"/>
    <n v="48000"/>
  </r>
  <r>
    <s v="TRX-202602-1428"/>
    <x v="404"/>
    <s v="CUST001"/>
    <s v="PRD002"/>
    <n v="2"/>
    <n v="70000"/>
    <n v="140000"/>
    <n v="90000"/>
    <n v="50000"/>
  </r>
  <r>
    <s v="TRX-202602-1429"/>
    <x v="405"/>
    <s v="CUST004"/>
    <s v="PRD012"/>
    <n v="5"/>
    <n v="48000"/>
    <n v="240000"/>
    <n v="160000"/>
    <n v="80000"/>
  </r>
  <r>
    <s v="TRX-202602-1429"/>
    <x v="405"/>
    <s v="CUST004"/>
    <s v="PRD004"/>
    <n v="4"/>
    <n v="105000"/>
    <n v="420000"/>
    <n v="280000"/>
    <n v="140000"/>
  </r>
  <r>
    <s v="TRX-202602-1429"/>
    <x v="405"/>
    <s v="CUST004"/>
    <s v="PRD001"/>
    <n v="7"/>
    <n v="175000"/>
    <n v="1225000"/>
    <n v="840000"/>
    <n v="385000"/>
  </r>
  <r>
    <s v="TRX-202602-1430"/>
    <x v="405"/>
    <s v="CUST007"/>
    <s v="PRD004"/>
    <n v="1"/>
    <n v="105000"/>
    <n v="105000"/>
    <n v="70000"/>
    <n v="35000"/>
  </r>
  <r>
    <s v="TRX-202602-1430"/>
    <x v="405"/>
    <s v="CUST007"/>
    <s v="PRD009"/>
    <n v="3"/>
    <n v="52000"/>
    <n v="156000"/>
    <n v="105000"/>
    <n v="51000"/>
  </r>
  <r>
    <s v="TRX-202602-1431"/>
    <x v="405"/>
    <s v="CUST008"/>
    <s v="PRD011"/>
    <n v="2"/>
    <n v="35000"/>
    <n v="70000"/>
    <n v="44000"/>
    <n v="26000"/>
  </r>
  <r>
    <s v="TRX-202602-1431"/>
    <x v="405"/>
    <s v="CUST008"/>
    <s v="PRD005"/>
    <n v="3"/>
    <n v="105000"/>
    <n v="315000"/>
    <n v="210000"/>
    <n v="105000"/>
  </r>
  <r>
    <s v="TRX-202602-1431"/>
    <x v="405"/>
    <s v="CUST008"/>
    <s v="PRD009"/>
    <n v="5"/>
    <n v="52000"/>
    <n v="260000"/>
    <n v="175000"/>
    <n v="85000"/>
  </r>
  <r>
    <s v="TRX-202602-1432"/>
    <x v="406"/>
    <s v="CUST001"/>
    <s v="PRD012"/>
    <n v="6"/>
    <n v="48000"/>
    <n v="288000"/>
    <n v="192000"/>
    <n v="96000"/>
  </r>
  <r>
    <s v="TRX-202602-1433"/>
    <x v="406"/>
    <s v="CUST003"/>
    <s v="PRD010"/>
    <n v="2"/>
    <n v="20000"/>
    <n v="40000"/>
    <n v="24000"/>
    <n v="16000"/>
  </r>
  <r>
    <s v="TRX-202602-1433"/>
    <x v="406"/>
    <s v="CUST003"/>
    <s v="PRD008"/>
    <n v="4"/>
    <n v="40000"/>
    <n v="160000"/>
    <n v="112000"/>
    <n v="48000"/>
  </r>
  <r>
    <s v="TRX-202602-1433"/>
    <x v="406"/>
    <s v="CUST003"/>
    <s v="PRD001"/>
    <n v="8"/>
    <n v="175000"/>
    <n v="1400000"/>
    <n v="960000"/>
    <n v="440000"/>
  </r>
  <r>
    <s v="TRX-202602-1434"/>
    <x v="407"/>
    <s v="CUST005"/>
    <s v="PRD003"/>
    <n v="1"/>
    <n v="130000"/>
    <n v="130000"/>
    <n v="85000"/>
    <n v="45000"/>
  </r>
  <r>
    <s v="TRX-202602-1435"/>
    <x v="407"/>
    <s v="CUST008"/>
    <s v="PRD012"/>
    <n v="7"/>
    <n v="48000"/>
    <n v="336000"/>
    <n v="224000"/>
    <n v="112000"/>
  </r>
  <r>
    <s v="TRX-202602-1435"/>
    <x v="407"/>
    <s v="CUST008"/>
    <s v="PRD002"/>
    <n v="1"/>
    <n v="70000"/>
    <n v="70000"/>
    <n v="45000"/>
    <n v="25000"/>
  </r>
  <r>
    <s v="TRX-202602-1435"/>
    <x v="407"/>
    <s v="CUST008"/>
    <s v="PRD007"/>
    <n v="7"/>
    <n v="225000"/>
    <n v="1575000"/>
    <n v="1260000"/>
    <n v="315000"/>
  </r>
  <r>
    <s v="TRX-202602-1436"/>
    <x v="407"/>
    <s v="CUST004"/>
    <s v="PRD003"/>
    <n v="5"/>
    <n v="130000"/>
    <n v="650000"/>
    <n v="425000"/>
    <n v="225000"/>
  </r>
  <r>
    <s v="TRX-202602-1437"/>
    <x v="407"/>
    <s v="CUST002"/>
    <s v="PRD006"/>
    <n v="3"/>
    <n v="110000"/>
    <n v="330000"/>
    <n v="225000"/>
    <n v="105000"/>
  </r>
  <r>
    <s v="TRX-202602-1437"/>
    <x v="407"/>
    <s v="CUST002"/>
    <s v="PRD005"/>
    <n v="1"/>
    <n v="105000"/>
    <n v="105000"/>
    <n v="70000"/>
    <n v="35000"/>
  </r>
  <r>
    <s v="TRX-202602-1438"/>
    <x v="407"/>
    <s v="CUST004"/>
    <s v="PRD012"/>
    <n v="4"/>
    <n v="48000"/>
    <n v="192000"/>
    <n v="128000"/>
    <n v="64000"/>
  </r>
  <r>
    <s v="TRX-202602-1438"/>
    <x v="407"/>
    <s v="CUST004"/>
    <s v="PRD005"/>
    <n v="1"/>
    <n v="105000"/>
    <n v="105000"/>
    <n v="70000"/>
    <n v="35000"/>
  </r>
  <r>
    <s v="TRX-202602-1438"/>
    <x v="407"/>
    <s v="CUST004"/>
    <s v="PRD001"/>
    <n v="2"/>
    <n v="175000"/>
    <n v="350000"/>
    <n v="240000"/>
    <n v="110000"/>
  </r>
  <r>
    <s v="TRX-202602-1439"/>
    <x v="408"/>
    <s v="CUST008"/>
    <s v="PRD001"/>
    <n v="1"/>
    <n v="175000"/>
    <n v="175000"/>
    <n v="120000"/>
    <n v="55000"/>
  </r>
  <r>
    <s v="TRX-202602-1439"/>
    <x v="408"/>
    <s v="CUST008"/>
    <s v="PRD002"/>
    <n v="1"/>
    <n v="70000"/>
    <n v="70000"/>
    <n v="45000"/>
    <n v="25000"/>
  </r>
  <r>
    <s v="TRX-202602-1440"/>
    <x v="408"/>
    <s v="CUST002"/>
    <s v="PRD002"/>
    <n v="1"/>
    <n v="70000"/>
    <n v="70000"/>
    <n v="45000"/>
    <n v="25000"/>
  </r>
  <r>
    <s v="TRX-202602-1440"/>
    <x v="408"/>
    <s v="CUST002"/>
    <s v="PRD001"/>
    <n v="7"/>
    <n v="175000"/>
    <n v="1225000"/>
    <n v="840000"/>
    <n v="385000"/>
  </r>
  <r>
    <s v="TRX-202602-1440"/>
    <x v="408"/>
    <s v="CUST002"/>
    <s v="PRD004"/>
    <n v="4"/>
    <n v="105000"/>
    <n v="420000"/>
    <n v="280000"/>
    <n v="140000"/>
  </r>
  <r>
    <s v="TRX-202602-1441"/>
    <x v="408"/>
    <s v="CUST002"/>
    <s v="PRD007"/>
    <n v="2"/>
    <n v="225000"/>
    <n v="450000"/>
    <n v="360000"/>
    <n v="90000"/>
  </r>
  <r>
    <s v="TRX-202602-1441"/>
    <x v="408"/>
    <s v="CUST002"/>
    <s v="PRD005"/>
    <n v="8"/>
    <n v="105000"/>
    <n v="840000"/>
    <n v="560000"/>
    <n v="280000"/>
  </r>
  <r>
    <s v="TRX-202602-1442"/>
    <x v="408"/>
    <s v="CUST003"/>
    <s v="PRD009"/>
    <n v="1"/>
    <n v="52000"/>
    <n v="52000"/>
    <n v="35000"/>
    <n v="17000"/>
  </r>
  <r>
    <s v="TRX-202602-1442"/>
    <x v="408"/>
    <s v="CUST003"/>
    <s v="PRD001"/>
    <n v="2"/>
    <n v="175000"/>
    <n v="350000"/>
    <n v="240000"/>
    <n v="110000"/>
  </r>
  <r>
    <s v="TRX-202602-1443"/>
    <x v="409"/>
    <s v="CUST008"/>
    <s v="PRD004"/>
    <n v="3"/>
    <n v="105000"/>
    <n v="315000"/>
    <n v="210000"/>
    <n v="105000"/>
  </r>
  <r>
    <s v="TRX-202602-1443"/>
    <x v="409"/>
    <s v="CUST008"/>
    <s v="PRD007"/>
    <n v="2"/>
    <n v="225000"/>
    <n v="450000"/>
    <n v="360000"/>
    <n v="90000"/>
  </r>
  <r>
    <s v="TRX-202602-1444"/>
    <x v="409"/>
    <s v="CUST004"/>
    <s v="PRD001"/>
    <n v="7"/>
    <n v="175000"/>
    <n v="1225000"/>
    <n v="840000"/>
    <n v="385000"/>
  </r>
  <r>
    <s v="TRX-202602-1445"/>
    <x v="409"/>
    <s v="CUST003"/>
    <s v="PRD009"/>
    <n v="6"/>
    <n v="52000"/>
    <n v="312000"/>
    <n v="210000"/>
    <n v="102000"/>
  </r>
  <r>
    <s v="TRX-202602-1445"/>
    <x v="409"/>
    <s v="CUST003"/>
    <s v="PRD012"/>
    <n v="8"/>
    <n v="48000"/>
    <n v="384000"/>
    <n v="256000"/>
    <n v="128000"/>
  </r>
  <r>
    <s v="TRX-202602-1446"/>
    <x v="409"/>
    <s v="CUST007"/>
    <s v="PRD007"/>
    <n v="8"/>
    <n v="225000"/>
    <n v="1800000"/>
    <n v="1440000"/>
    <n v="360000"/>
  </r>
  <r>
    <s v="TRX-202602-1446"/>
    <x v="409"/>
    <s v="CUST007"/>
    <s v="PRD010"/>
    <n v="1"/>
    <n v="20000"/>
    <n v="20000"/>
    <n v="12000"/>
    <n v="8000"/>
  </r>
  <r>
    <s v="TRX-202602-1446"/>
    <x v="409"/>
    <s v="CUST007"/>
    <s v="PRD005"/>
    <n v="4"/>
    <n v="105000"/>
    <n v="420000"/>
    <n v="280000"/>
    <n v="140000"/>
  </r>
  <r>
    <s v="TRX-202602-1447"/>
    <x v="410"/>
    <s v="CUST007"/>
    <s v="PRD007"/>
    <n v="5"/>
    <n v="225000"/>
    <n v="1125000"/>
    <n v="900000"/>
    <n v="225000"/>
  </r>
  <r>
    <s v="TRX-202602-1447"/>
    <x v="410"/>
    <s v="CUST007"/>
    <s v="PRD002"/>
    <n v="6"/>
    <n v="70000"/>
    <n v="420000"/>
    <n v="270000"/>
    <n v="150000"/>
  </r>
  <r>
    <s v="TRX-202602-1448"/>
    <x v="410"/>
    <s v="CUST001"/>
    <s v="PRD002"/>
    <n v="1"/>
    <n v="70000"/>
    <n v="70000"/>
    <n v="45000"/>
    <n v="25000"/>
  </r>
  <r>
    <s v="TRX-202602-1449"/>
    <x v="410"/>
    <s v="CUST008"/>
    <s v="PRD008"/>
    <n v="2"/>
    <n v="40000"/>
    <n v="80000"/>
    <n v="56000"/>
    <n v="24000"/>
  </r>
  <r>
    <s v="TRX-202602-1449"/>
    <x v="410"/>
    <s v="CUST008"/>
    <s v="PRD011"/>
    <n v="5"/>
    <n v="35000"/>
    <n v="175000"/>
    <n v="110000"/>
    <n v="65000"/>
  </r>
  <r>
    <s v="TRX-202602-1449"/>
    <x v="410"/>
    <s v="CUST008"/>
    <s v="PRD012"/>
    <n v="1"/>
    <n v="48000"/>
    <n v="48000"/>
    <n v="32000"/>
    <n v="16000"/>
  </r>
  <r>
    <s v="TRX-202602-1450"/>
    <x v="410"/>
    <s v="CUST001"/>
    <s v="PRD011"/>
    <n v="4"/>
    <n v="35000"/>
    <n v="140000"/>
    <n v="88000"/>
    <n v="52000"/>
  </r>
  <r>
    <s v="TRX-202602-1450"/>
    <x v="410"/>
    <s v="CUST001"/>
    <s v="PRD005"/>
    <n v="2"/>
    <n v="105000"/>
    <n v="210000"/>
    <n v="140000"/>
    <n v="70000"/>
  </r>
  <r>
    <s v="TRX-202602-1450"/>
    <x v="410"/>
    <s v="CUST001"/>
    <s v="PRD010"/>
    <n v="5"/>
    <n v="20000"/>
    <n v="100000"/>
    <n v="60000"/>
    <n v="40000"/>
  </r>
  <r>
    <s v="TRX-202602-1451"/>
    <x v="411"/>
    <s v="CUST002"/>
    <s v="PRD007"/>
    <n v="5"/>
    <n v="225000"/>
    <n v="1125000"/>
    <n v="900000"/>
    <n v="225000"/>
  </r>
  <r>
    <s v="TRX-202602-1451"/>
    <x v="411"/>
    <s v="CUST002"/>
    <s v="PRD010"/>
    <n v="2"/>
    <n v="20000"/>
    <n v="40000"/>
    <n v="24000"/>
    <n v="16000"/>
  </r>
  <r>
    <s v="TRX-202602-1452"/>
    <x v="411"/>
    <s v="CUST007"/>
    <s v="PRD002"/>
    <n v="4"/>
    <n v="70000"/>
    <n v="280000"/>
    <n v="180000"/>
    <n v="100000"/>
  </r>
  <r>
    <s v="TRX-202602-1452"/>
    <x v="411"/>
    <s v="CUST007"/>
    <s v="PRD003"/>
    <n v="8"/>
    <n v="130000"/>
    <n v="1040000"/>
    <n v="680000"/>
    <n v="360000"/>
  </r>
  <r>
    <s v="TRX-202602-1453"/>
    <x v="411"/>
    <s v="CUST005"/>
    <s v="PRD008"/>
    <n v="8"/>
    <n v="40000"/>
    <n v="320000"/>
    <n v="224000"/>
    <n v="96000"/>
  </r>
  <r>
    <s v="TRX-202602-1454"/>
    <x v="411"/>
    <s v="CUST005"/>
    <s v="PRD004"/>
    <n v="3"/>
    <n v="105000"/>
    <n v="315000"/>
    <n v="210000"/>
    <n v="105000"/>
  </r>
  <r>
    <s v="TRX-202602-1455"/>
    <x v="411"/>
    <s v="CUST006"/>
    <s v="PRD003"/>
    <n v="5"/>
    <n v="130000"/>
    <n v="650000"/>
    <n v="425000"/>
    <n v="225000"/>
  </r>
  <r>
    <s v="TRX-202602-1455"/>
    <x v="411"/>
    <s v="CUST006"/>
    <s v="PRD004"/>
    <n v="2"/>
    <n v="105000"/>
    <n v="210000"/>
    <n v="140000"/>
    <n v="70000"/>
  </r>
  <r>
    <s v="TRX-202602-1456"/>
    <x v="412"/>
    <s v="CUST002"/>
    <s v="PRD002"/>
    <n v="8"/>
    <n v="70000"/>
    <n v="560000"/>
    <n v="360000"/>
    <n v="200000"/>
  </r>
  <r>
    <s v="TRX-202602-1456"/>
    <x v="412"/>
    <s v="CUST002"/>
    <s v="PRD004"/>
    <n v="3"/>
    <n v="105000"/>
    <n v="315000"/>
    <n v="210000"/>
    <n v="105000"/>
  </r>
  <r>
    <s v="TRX-202602-1456"/>
    <x v="412"/>
    <s v="CUST002"/>
    <s v="PRD006"/>
    <n v="2"/>
    <n v="110000"/>
    <n v="220000"/>
    <n v="150000"/>
    <n v="70000"/>
  </r>
  <r>
    <s v="TRX-202602-1457"/>
    <x v="412"/>
    <s v="CUST002"/>
    <s v="PRD001"/>
    <n v="5"/>
    <n v="175000"/>
    <n v="875000"/>
    <n v="600000"/>
    <n v="275000"/>
  </r>
  <r>
    <s v="TRX-202602-1457"/>
    <x v="412"/>
    <s v="CUST002"/>
    <s v="PRD009"/>
    <n v="1"/>
    <n v="52000"/>
    <n v="52000"/>
    <n v="35000"/>
    <n v="17000"/>
  </r>
  <r>
    <s v="TRX-202602-1458"/>
    <x v="412"/>
    <s v="CUST002"/>
    <s v="PRD007"/>
    <n v="3"/>
    <n v="225000"/>
    <n v="675000"/>
    <n v="540000"/>
    <n v="135000"/>
  </r>
  <r>
    <s v="TRX-202602-1458"/>
    <x v="412"/>
    <s v="CUST002"/>
    <s v="PRD005"/>
    <n v="3"/>
    <n v="105000"/>
    <n v="315000"/>
    <n v="210000"/>
    <n v="105000"/>
  </r>
  <r>
    <s v="TRX-202602-1458"/>
    <x v="412"/>
    <s v="CUST002"/>
    <s v="PRD011"/>
    <n v="2"/>
    <n v="35000"/>
    <n v="70000"/>
    <n v="44000"/>
    <n v="26000"/>
  </r>
  <r>
    <s v="TRX-202602-1459"/>
    <x v="412"/>
    <s v="CUST008"/>
    <s v="PRD009"/>
    <n v="4"/>
    <n v="52000"/>
    <n v="208000"/>
    <n v="140000"/>
    <n v="68000"/>
  </r>
  <r>
    <s v="TRX-202602-1459"/>
    <x v="412"/>
    <s v="CUST008"/>
    <s v="PRD012"/>
    <n v="8"/>
    <n v="48000"/>
    <n v="384000"/>
    <n v="256000"/>
    <n v="128000"/>
  </r>
  <r>
    <s v="TRX-202602-1460"/>
    <x v="413"/>
    <s v="CUST005"/>
    <s v="PRD010"/>
    <n v="7"/>
    <n v="20000"/>
    <n v="140000"/>
    <n v="84000"/>
    <n v="56000"/>
  </r>
  <r>
    <s v="TRX-202602-1461"/>
    <x v="413"/>
    <s v="CUST003"/>
    <s v="PRD012"/>
    <n v="8"/>
    <n v="48000"/>
    <n v="384000"/>
    <n v="256000"/>
    <n v="128000"/>
  </r>
  <r>
    <s v="TRX-202602-1461"/>
    <x v="413"/>
    <s v="CUST003"/>
    <s v="PRD007"/>
    <n v="1"/>
    <n v="225000"/>
    <n v="225000"/>
    <n v="180000"/>
    <n v="45000"/>
  </r>
  <r>
    <s v="TRX-202602-1462"/>
    <x v="413"/>
    <s v="CUST005"/>
    <s v="PRD010"/>
    <n v="6"/>
    <n v="20000"/>
    <n v="120000"/>
    <n v="72000"/>
    <n v="48000"/>
  </r>
  <r>
    <s v="TRX-202602-1463"/>
    <x v="413"/>
    <s v="CUST004"/>
    <s v="PRD002"/>
    <n v="7"/>
    <n v="70000"/>
    <n v="490000"/>
    <n v="315000"/>
    <n v="175000"/>
  </r>
  <r>
    <s v="TRX-202602-1463"/>
    <x v="413"/>
    <s v="CUST004"/>
    <s v="PRD005"/>
    <n v="2"/>
    <n v="105000"/>
    <n v="210000"/>
    <n v="140000"/>
    <n v="70000"/>
  </r>
  <r>
    <s v="TRX-202602-1463"/>
    <x v="413"/>
    <s v="CUST004"/>
    <s v="PRD012"/>
    <n v="6"/>
    <n v="48000"/>
    <n v="288000"/>
    <n v="192000"/>
    <n v="96000"/>
  </r>
  <r>
    <s v="TRX-202602-1464"/>
    <x v="413"/>
    <s v="CUST007"/>
    <s v="PRD008"/>
    <n v="4"/>
    <n v="40000"/>
    <n v="160000"/>
    <n v="112000"/>
    <n v="48000"/>
  </r>
  <r>
    <s v="TRX-202602-1465"/>
    <x v="414"/>
    <s v="CUST005"/>
    <s v="PRD007"/>
    <n v="8"/>
    <n v="225000"/>
    <n v="1800000"/>
    <n v="1440000"/>
    <n v="360000"/>
  </r>
  <r>
    <s v="TRX-202602-1465"/>
    <x v="414"/>
    <s v="CUST005"/>
    <s v="PRD001"/>
    <n v="5"/>
    <n v="175000"/>
    <n v="875000"/>
    <n v="600000"/>
    <n v="275000"/>
  </r>
  <r>
    <s v="TRX-202602-1465"/>
    <x v="414"/>
    <s v="CUST005"/>
    <s v="PRD005"/>
    <n v="3"/>
    <n v="105000"/>
    <n v="315000"/>
    <n v="210000"/>
    <n v="105000"/>
  </r>
  <r>
    <s v="TRX-202602-1466"/>
    <x v="414"/>
    <s v="CUST002"/>
    <s v="PRD001"/>
    <n v="6"/>
    <n v="175000"/>
    <n v="1050000"/>
    <n v="720000"/>
    <n v="330000"/>
  </r>
  <r>
    <s v="TRX-202602-1466"/>
    <x v="414"/>
    <s v="CUST002"/>
    <s v="PRD003"/>
    <n v="2"/>
    <n v="130000"/>
    <n v="260000"/>
    <n v="170000"/>
    <n v="90000"/>
  </r>
  <r>
    <s v="TRX-202602-1467"/>
    <x v="414"/>
    <s v="CUST007"/>
    <s v="PRD003"/>
    <n v="6"/>
    <n v="130000"/>
    <n v="780000"/>
    <n v="510000"/>
    <n v="270000"/>
  </r>
  <r>
    <s v="TRX-202602-1468"/>
    <x v="415"/>
    <s v="CUST007"/>
    <s v="PRD010"/>
    <n v="2"/>
    <n v="20000"/>
    <n v="40000"/>
    <n v="24000"/>
    <n v="16000"/>
  </r>
  <r>
    <s v="TRX-202602-1469"/>
    <x v="415"/>
    <s v="CUST002"/>
    <s v="PRD002"/>
    <n v="2"/>
    <n v="70000"/>
    <n v="140000"/>
    <n v="90000"/>
    <n v="50000"/>
  </r>
  <r>
    <s v="TRX-202602-1469"/>
    <x v="415"/>
    <s v="CUST002"/>
    <s v="PRD004"/>
    <n v="4"/>
    <n v="105000"/>
    <n v="420000"/>
    <n v="280000"/>
    <n v="140000"/>
  </r>
  <r>
    <s v="TRX-202602-1470"/>
    <x v="416"/>
    <s v="CUST005"/>
    <s v="PRD008"/>
    <n v="5"/>
    <n v="40000"/>
    <n v="200000"/>
    <n v="140000"/>
    <n v="60000"/>
  </r>
  <r>
    <s v="TRX-202602-1470"/>
    <x v="416"/>
    <s v="CUST005"/>
    <s v="PRD003"/>
    <n v="2"/>
    <n v="130000"/>
    <n v="260000"/>
    <n v="170000"/>
    <n v="90000"/>
  </r>
  <r>
    <s v="TRX-202602-1471"/>
    <x v="416"/>
    <s v="CUST002"/>
    <s v="PRD006"/>
    <n v="1"/>
    <n v="110000"/>
    <n v="110000"/>
    <n v="75000"/>
    <n v="35000"/>
  </r>
  <r>
    <s v="TRX-202602-1471"/>
    <x v="416"/>
    <s v="CUST002"/>
    <s v="PRD011"/>
    <n v="4"/>
    <n v="35000"/>
    <n v="140000"/>
    <n v="88000"/>
    <n v="52000"/>
  </r>
  <r>
    <s v="TRX-202602-1472"/>
    <x v="416"/>
    <s v="CUST005"/>
    <s v="PRD001"/>
    <n v="7"/>
    <n v="175000"/>
    <n v="1225000"/>
    <n v="840000"/>
    <n v="385000"/>
  </r>
  <r>
    <s v="TRX-202602-1472"/>
    <x v="416"/>
    <s v="CUST005"/>
    <s v="PRD010"/>
    <n v="7"/>
    <n v="20000"/>
    <n v="140000"/>
    <n v="84000"/>
    <n v="56000"/>
  </r>
  <r>
    <s v="TRX-202602-1473"/>
    <x v="416"/>
    <s v="CUST002"/>
    <s v="PRD012"/>
    <n v="2"/>
    <n v="48000"/>
    <n v="96000"/>
    <n v="64000"/>
    <n v="32000"/>
  </r>
  <r>
    <s v="TRX-202602-1473"/>
    <x v="416"/>
    <s v="CUST002"/>
    <s v="PRD008"/>
    <n v="3"/>
    <n v="40000"/>
    <n v="120000"/>
    <n v="84000"/>
    <n v="36000"/>
  </r>
  <r>
    <s v="TRX-202602-1474"/>
    <x v="417"/>
    <s v="CUST007"/>
    <s v="PRD011"/>
    <n v="4"/>
    <n v="35000"/>
    <n v="140000"/>
    <n v="88000"/>
    <n v="52000"/>
  </r>
  <r>
    <s v="TRX-202602-1474"/>
    <x v="417"/>
    <s v="CUST007"/>
    <s v="PRD009"/>
    <n v="7"/>
    <n v="52000"/>
    <n v="364000"/>
    <n v="245000"/>
    <n v="119000"/>
  </r>
  <r>
    <s v="TRX-202602-1474"/>
    <x v="417"/>
    <s v="CUST007"/>
    <s v="PRD010"/>
    <n v="8"/>
    <n v="20000"/>
    <n v="160000"/>
    <n v="96000"/>
    <n v="64000"/>
  </r>
  <r>
    <s v="TRX-202602-1475"/>
    <x v="417"/>
    <s v="CUST005"/>
    <s v="PRD007"/>
    <n v="2"/>
    <n v="225000"/>
    <n v="450000"/>
    <n v="360000"/>
    <n v="90000"/>
  </r>
  <r>
    <s v="TRX-202602-1475"/>
    <x v="417"/>
    <s v="CUST005"/>
    <s v="PRD010"/>
    <n v="6"/>
    <n v="20000"/>
    <n v="120000"/>
    <n v="72000"/>
    <n v="48000"/>
  </r>
  <r>
    <s v="TRX-202602-1475"/>
    <x v="417"/>
    <s v="CUST005"/>
    <s v="PRD005"/>
    <n v="6"/>
    <n v="105000"/>
    <n v="630000"/>
    <n v="420000"/>
    <n v="210000"/>
  </r>
  <r>
    <s v="TRX-202602-1476"/>
    <x v="417"/>
    <s v="CUST005"/>
    <s v="PRD011"/>
    <n v="2"/>
    <n v="35000"/>
    <n v="70000"/>
    <n v="44000"/>
    <n v="26000"/>
  </r>
  <r>
    <s v="TRX-202602-1476"/>
    <x v="417"/>
    <s v="CUST005"/>
    <s v="PRD001"/>
    <n v="2"/>
    <n v="175000"/>
    <n v="350000"/>
    <n v="240000"/>
    <n v="110000"/>
  </r>
  <r>
    <s v="TRX-202602-1477"/>
    <x v="417"/>
    <s v="CUST003"/>
    <s v="PRD010"/>
    <n v="1"/>
    <n v="20000"/>
    <n v="20000"/>
    <n v="12000"/>
    <n v="8000"/>
  </r>
  <r>
    <s v="TRX-202602-1477"/>
    <x v="417"/>
    <s v="CUST003"/>
    <s v="PRD011"/>
    <n v="8"/>
    <n v="35000"/>
    <n v="280000"/>
    <n v="176000"/>
    <n v="104000"/>
  </r>
  <r>
    <s v="TRX-202602-1477"/>
    <x v="417"/>
    <s v="CUST003"/>
    <s v="PRD003"/>
    <n v="6"/>
    <n v="130000"/>
    <n v="780000"/>
    <n v="510000"/>
    <n v="270000"/>
  </r>
  <r>
    <s v="TRX-202602-1478"/>
    <x v="418"/>
    <s v="CUST006"/>
    <s v="PRD010"/>
    <n v="7"/>
    <n v="20000"/>
    <n v="140000"/>
    <n v="84000"/>
    <n v="56000"/>
  </r>
  <r>
    <s v="TRX-202602-1478"/>
    <x v="418"/>
    <s v="CUST006"/>
    <s v="PRD001"/>
    <n v="8"/>
    <n v="175000"/>
    <n v="1400000"/>
    <n v="960000"/>
    <n v="440000"/>
  </r>
  <r>
    <s v="TRX-202602-1479"/>
    <x v="418"/>
    <s v="CUST001"/>
    <s v="PRD001"/>
    <n v="5"/>
    <n v="175000"/>
    <n v="875000"/>
    <n v="600000"/>
    <n v="275000"/>
  </r>
  <r>
    <s v="TRX-202602-1480"/>
    <x v="418"/>
    <s v="CUST003"/>
    <s v="PRD009"/>
    <n v="5"/>
    <n v="52000"/>
    <n v="260000"/>
    <n v="175000"/>
    <n v="85000"/>
  </r>
  <r>
    <s v="TRX-202602-1480"/>
    <x v="418"/>
    <s v="CUST003"/>
    <s v="PRD010"/>
    <n v="3"/>
    <n v="20000"/>
    <n v="60000"/>
    <n v="36000"/>
    <n v="24000"/>
  </r>
  <r>
    <s v="TRX-202602-1481"/>
    <x v="418"/>
    <s v="CUST001"/>
    <s v="PRD007"/>
    <n v="5"/>
    <n v="225000"/>
    <n v="1125000"/>
    <n v="900000"/>
    <n v="225000"/>
  </r>
  <r>
    <s v="TRX-202602-1481"/>
    <x v="418"/>
    <s v="CUST001"/>
    <s v="PRD012"/>
    <n v="7"/>
    <n v="48000"/>
    <n v="336000"/>
    <n v="224000"/>
    <n v="112000"/>
  </r>
  <r>
    <s v="TRX-202602-1482"/>
    <x v="419"/>
    <s v="CUST006"/>
    <s v="PRD007"/>
    <n v="3"/>
    <n v="225000"/>
    <n v="675000"/>
    <n v="540000"/>
    <n v="135000"/>
  </r>
  <r>
    <s v="TRX-202602-1482"/>
    <x v="419"/>
    <s v="CUST006"/>
    <s v="PRD012"/>
    <n v="3"/>
    <n v="48000"/>
    <n v="144000"/>
    <n v="96000"/>
    <n v="48000"/>
  </r>
  <r>
    <s v="TRX-202602-1483"/>
    <x v="419"/>
    <s v="CUST007"/>
    <s v="PRD012"/>
    <n v="1"/>
    <n v="48000"/>
    <n v="48000"/>
    <n v="32000"/>
    <n v="16000"/>
  </r>
  <r>
    <s v="TRX-202602-1483"/>
    <x v="419"/>
    <s v="CUST007"/>
    <s v="PRD005"/>
    <n v="2"/>
    <n v="105000"/>
    <n v="210000"/>
    <n v="140000"/>
    <n v="70000"/>
  </r>
  <r>
    <s v="TRX-202602-1484"/>
    <x v="419"/>
    <s v="CUST007"/>
    <s v="PRD006"/>
    <n v="6"/>
    <n v="110000"/>
    <n v="660000"/>
    <n v="450000"/>
    <n v="210000"/>
  </r>
  <r>
    <s v="TRX-202602-1484"/>
    <x v="419"/>
    <s v="CUST007"/>
    <s v="PRD010"/>
    <n v="4"/>
    <n v="20000"/>
    <n v="80000"/>
    <n v="48000"/>
    <n v="32000"/>
  </r>
  <r>
    <s v="TRX-202602-1484"/>
    <x v="419"/>
    <s v="CUST007"/>
    <s v="PRD011"/>
    <n v="1"/>
    <n v="35000"/>
    <n v="35000"/>
    <n v="22000"/>
    <n v="13000"/>
  </r>
  <r>
    <s v="TRX-202602-1485"/>
    <x v="420"/>
    <s v="CUST007"/>
    <s v="PRD001"/>
    <n v="1"/>
    <n v="175000"/>
    <n v="175000"/>
    <n v="120000"/>
    <n v="55000"/>
  </r>
  <r>
    <s v="TRX-202602-1486"/>
    <x v="420"/>
    <s v="CUST002"/>
    <s v="PRD010"/>
    <n v="7"/>
    <n v="20000"/>
    <n v="140000"/>
    <n v="84000"/>
    <n v="56000"/>
  </r>
  <r>
    <s v="TRX-202602-1486"/>
    <x v="420"/>
    <s v="CUST002"/>
    <s v="PRD009"/>
    <n v="8"/>
    <n v="52000"/>
    <n v="416000"/>
    <n v="280000"/>
    <n v="136000"/>
  </r>
  <r>
    <s v="TRX-202602-1487"/>
    <x v="420"/>
    <s v="CUST008"/>
    <s v="PRD003"/>
    <n v="3"/>
    <n v="130000"/>
    <n v="390000"/>
    <n v="255000"/>
    <n v="135000"/>
  </r>
  <r>
    <s v="TRX-202602-1487"/>
    <x v="420"/>
    <s v="CUST008"/>
    <s v="PRD004"/>
    <n v="6"/>
    <n v="105000"/>
    <n v="630000"/>
    <n v="420000"/>
    <n v="210000"/>
  </r>
  <r>
    <s v="TRX-202602-1487"/>
    <x v="420"/>
    <s v="CUST008"/>
    <s v="PRD002"/>
    <n v="8"/>
    <n v="70000"/>
    <n v="560000"/>
    <n v="360000"/>
    <n v="200000"/>
  </r>
  <r>
    <s v="TRX-202602-1488"/>
    <x v="420"/>
    <s v="CUST001"/>
    <s v="PRD008"/>
    <n v="7"/>
    <n v="40000"/>
    <n v="280000"/>
    <n v="196000"/>
    <n v="84000"/>
  </r>
  <r>
    <s v="TRX-202602-1488"/>
    <x v="420"/>
    <s v="CUST001"/>
    <s v="PRD003"/>
    <n v="5"/>
    <n v="130000"/>
    <n v="650000"/>
    <n v="425000"/>
    <n v="225000"/>
  </r>
  <r>
    <s v="TRX-202602-1489"/>
    <x v="421"/>
    <s v="CUST003"/>
    <s v="PRD003"/>
    <n v="4"/>
    <n v="130000"/>
    <n v="520000"/>
    <n v="340000"/>
    <n v="180000"/>
  </r>
  <r>
    <s v="TRX-202602-1489"/>
    <x v="421"/>
    <s v="CUST003"/>
    <s v="PRD002"/>
    <n v="6"/>
    <n v="70000"/>
    <n v="420000"/>
    <n v="270000"/>
    <n v="150000"/>
  </r>
  <r>
    <s v="TRX-202602-1490"/>
    <x v="421"/>
    <s v="CUST005"/>
    <s v="PRD005"/>
    <n v="1"/>
    <n v="105000"/>
    <n v="105000"/>
    <n v="70000"/>
    <n v="35000"/>
  </r>
  <r>
    <s v="TRX-202602-1490"/>
    <x v="421"/>
    <s v="CUST005"/>
    <s v="PRD001"/>
    <n v="7"/>
    <n v="175000"/>
    <n v="1225000"/>
    <n v="840000"/>
    <n v="385000"/>
  </r>
  <r>
    <s v="TRX-202602-1491"/>
    <x v="421"/>
    <s v="CUST005"/>
    <s v="PRD011"/>
    <n v="5"/>
    <n v="35000"/>
    <n v="175000"/>
    <n v="110000"/>
    <n v="65000"/>
  </r>
  <r>
    <s v="TRX-202602-1491"/>
    <x v="421"/>
    <s v="CUST005"/>
    <s v="PRD006"/>
    <n v="8"/>
    <n v="110000"/>
    <n v="880000"/>
    <n v="600000"/>
    <n v="280000"/>
  </r>
  <r>
    <s v="TRX-202602-1492"/>
    <x v="421"/>
    <s v="CUST006"/>
    <s v="PRD003"/>
    <n v="2"/>
    <n v="130000"/>
    <n v="260000"/>
    <n v="170000"/>
    <n v="90000"/>
  </r>
  <r>
    <s v="TRX-202602-1492"/>
    <x v="421"/>
    <s v="CUST006"/>
    <s v="PRD004"/>
    <n v="3"/>
    <n v="105000"/>
    <n v="315000"/>
    <n v="210000"/>
    <n v="105000"/>
  </r>
  <r>
    <s v="TRX-202602-1492"/>
    <x v="421"/>
    <s v="CUST006"/>
    <s v="PRD002"/>
    <n v="4"/>
    <n v="70000"/>
    <n v="280000"/>
    <n v="180000"/>
    <n v="100000"/>
  </r>
  <r>
    <s v="TRX-202602-1493"/>
    <x v="422"/>
    <s v="CUST003"/>
    <s v="PRD008"/>
    <n v="6"/>
    <n v="40000"/>
    <n v="240000"/>
    <n v="168000"/>
    <n v="72000"/>
  </r>
  <r>
    <s v="TRX-202602-1494"/>
    <x v="422"/>
    <s v="CUST001"/>
    <s v="PRD009"/>
    <n v="7"/>
    <n v="52000"/>
    <n v="364000"/>
    <n v="245000"/>
    <n v="119000"/>
  </r>
  <r>
    <s v="TRX-202602-1494"/>
    <x v="422"/>
    <s v="CUST001"/>
    <s v="PRD001"/>
    <n v="4"/>
    <n v="175000"/>
    <n v="700000"/>
    <n v="480000"/>
    <n v="220000"/>
  </r>
  <r>
    <s v="TRX-202602-1494"/>
    <x v="422"/>
    <s v="CUST001"/>
    <s v="PRD002"/>
    <n v="1"/>
    <n v="70000"/>
    <n v="70000"/>
    <n v="45000"/>
    <n v="25000"/>
  </r>
  <r>
    <s v="TRX-202602-1495"/>
    <x v="422"/>
    <s v="CUST005"/>
    <s v="PRD012"/>
    <n v="4"/>
    <n v="48000"/>
    <n v="192000"/>
    <n v="128000"/>
    <n v="64000"/>
  </r>
  <r>
    <s v="TRX-202602-1495"/>
    <x v="422"/>
    <s v="CUST005"/>
    <s v="PRD011"/>
    <n v="1"/>
    <n v="35000"/>
    <n v="35000"/>
    <n v="22000"/>
    <n v="13000"/>
  </r>
  <r>
    <s v="TRX-202602-1496"/>
    <x v="422"/>
    <s v="CUST007"/>
    <s v="PRD004"/>
    <n v="3"/>
    <n v="105000"/>
    <n v="315000"/>
    <n v="210000"/>
    <n v="105000"/>
  </r>
  <r>
    <s v="TRX-202602-1496"/>
    <x v="422"/>
    <s v="CUST007"/>
    <s v="PRD006"/>
    <n v="5"/>
    <n v="110000"/>
    <n v="550000"/>
    <n v="375000"/>
    <n v="175000"/>
  </r>
  <r>
    <s v="TRX-202602-1496"/>
    <x v="422"/>
    <s v="CUST007"/>
    <s v="PRD009"/>
    <n v="4"/>
    <n v="52000"/>
    <n v="208000"/>
    <n v="140000"/>
    <n v="68000"/>
  </r>
  <r>
    <s v="TRX-202602-1497"/>
    <x v="422"/>
    <s v="CUST006"/>
    <s v="PRD005"/>
    <n v="1"/>
    <n v="105000"/>
    <n v="105000"/>
    <n v="70000"/>
    <n v="35000"/>
  </r>
  <r>
    <s v="TRX-202602-1498"/>
    <x v="423"/>
    <s v="CUST006"/>
    <s v="PRD002"/>
    <n v="4"/>
    <n v="70000"/>
    <n v="280000"/>
    <n v="180000"/>
    <n v="100000"/>
  </r>
  <r>
    <s v="TRX-202602-1498"/>
    <x v="423"/>
    <s v="CUST006"/>
    <s v="PRD008"/>
    <n v="8"/>
    <n v="40000"/>
    <n v="320000"/>
    <n v="224000"/>
    <n v="96000"/>
  </r>
  <r>
    <s v="TRX-202602-1498"/>
    <x v="423"/>
    <s v="CUST006"/>
    <s v="PRD010"/>
    <n v="2"/>
    <n v="20000"/>
    <n v="40000"/>
    <n v="24000"/>
    <n v="16000"/>
  </r>
  <r>
    <s v="TRX-202602-1499"/>
    <x v="423"/>
    <s v="CUST001"/>
    <s v="PRD011"/>
    <n v="4"/>
    <n v="35000"/>
    <n v="140000"/>
    <n v="88000"/>
    <n v="52000"/>
  </r>
  <r>
    <s v="TRX-202602-1499"/>
    <x v="423"/>
    <s v="CUST001"/>
    <s v="PRD012"/>
    <n v="2"/>
    <n v="48000"/>
    <n v="96000"/>
    <n v="64000"/>
    <n v="32000"/>
  </r>
  <r>
    <s v="TRX-202602-1499"/>
    <x v="423"/>
    <s v="CUST001"/>
    <s v="PRD006"/>
    <n v="3"/>
    <n v="110000"/>
    <n v="330000"/>
    <n v="225000"/>
    <n v="105000"/>
  </r>
  <r>
    <s v="TRX-202602-1500"/>
    <x v="423"/>
    <s v="CUST008"/>
    <s v="PRD009"/>
    <n v="7"/>
    <n v="52000"/>
    <n v="364000"/>
    <n v="245000"/>
    <n v="119000"/>
  </r>
  <r>
    <s v="TRX-202602-1500"/>
    <x v="423"/>
    <s v="CUST008"/>
    <s v="PRD011"/>
    <n v="7"/>
    <n v="35000"/>
    <n v="245000"/>
    <n v="154000"/>
    <n v="91000"/>
  </r>
  <r>
    <s v="TRX-202602-1500"/>
    <x v="423"/>
    <s v="CUST008"/>
    <s v="PRD005"/>
    <n v="3"/>
    <n v="105000"/>
    <n v="315000"/>
    <n v="210000"/>
    <n v="105000"/>
  </r>
  <r>
    <s v="TRX-202603-1501"/>
    <x v="424"/>
    <s v="CUST004"/>
    <s v="PRD008"/>
    <n v="4"/>
    <n v="40000"/>
    <n v="160000"/>
    <n v="112000"/>
    <n v="48000"/>
  </r>
  <r>
    <s v="TRX-202603-1501"/>
    <x v="424"/>
    <s v="CUST004"/>
    <s v="PRD003"/>
    <n v="4"/>
    <n v="130000"/>
    <n v="520000"/>
    <n v="340000"/>
    <n v="180000"/>
  </r>
  <r>
    <s v="TRX-202603-1501"/>
    <x v="424"/>
    <s v="CUST004"/>
    <s v="PRD009"/>
    <n v="2"/>
    <n v="52000"/>
    <n v="104000"/>
    <n v="70000"/>
    <n v="34000"/>
  </r>
  <r>
    <s v="TRX-202603-1502"/>
    <x v="424"/>
    <s v="CUST003"/>
    <s v="PRD011"/>
    <n v="8"/>
    <n v="35000"/>
    <n v="280000"/>
    <n v="176000"/>
    <n v="104000"/>
  </r>
  <r>
    <s v="TRX-202603-1503"/>
    <x v="424"/>
    <s v="CUST001"/>
    <s v="PRD003"/>
    <n v="4"/>
    <n v="130000"/>
    <n v="520000"/>
    <n v="340000"/>
    <n v="180000"/>
  </r>
  <r>
    <s v="TRX-202603-1503"/>
    <x v="424"/>
    <s v="CUST001"/>
    <s v="PRD010"/>
    <n v="3"/>
    <n v="20000"/>
    <n v="60000"/>
    <n v="36000"/>
    <n v="24000"/>
  </r>
  <r>
    <s v="TRX-202603-1504"/>
    <x v="425"/>
    <s v="CUST007"/>
    <s v="PRD001"/>
    <n v="2"/>
    <n v="175000"/>
    <n v="350000"/>
    <n v="240000"/>
    <n v="110000"/>
  </r>
  <r>
    <s v="TRX-202603-1505"/>
    <x v="425"/>
    <s v="CUST005"/>
    <s v="PRD006"/>
    <n v="7"/>
    <n v="110000"/>
    <n v="770000"/>
    <n v="525000"/>
    <n v="245000"/>
  </r>
  <r>
    <s v="TRX-202603-1506"/>
    <x v="425"/>
    <s v="CUST002"/>
    <s v="PRD001"/>
    <n v="5"/>
    <n v="175000"/>
    <n v="875000"/>
    <n v="600000"/>
    <n v="275000"/>
  </r>
  <r>
    <s v="TRX-202603-1506"/>
    <x v="425"/>
    <s v="CUST002"/>
    <s v="PRD004"/>
    <n v="6"/>
    <n v="105000"/>
    <n v="630000"/>
    <n v="420000"/>
    <n v="210000"/>
  </r>
  <r>
    <s v="TRX-202603-1507"/>
    <x v="425"/>
    <s v="CUST004"/>
    <s v="PRD002"/>
    <n v="1"/>
    <n v="70000"/>
    <n v="70000"/>
    <n v="45000"/>
    <n v="25000"/>
  </r>
  <r>
    <s v="TRX-202603-1507"/>
    <x v="425"/>
    <s v="CUST004"/>
    <s v="PRD010"/>
    <n v="8"/>
    <n v="20000"/>
    <n v="160000"/>
    <n v="96000"/>
    <n v="64000"/>
  </r>
  <r>
    <s v="TRX-202603-1507"/>
    <x v="425"/>
    <s v="CUST004"/>
    <s v="PRD009"/>
    <n v="5"/>
    <n v="52000"/>
    <n v="260000"/>
    <n v="175000"/>
    <n v="85000"/>
  </r>
  <r>
    <s v="TRX-202603-1508"/>
    <x v="425"/>
    <s v="CUST007"/>
    <s v="PRD011"/>
    <n v="6"/>
    <n v="35000"/>
    <n v="210000"/>
    <n v="132000"/>
    <n v="78000"/>
  </r>
  <r>
    <s v="TRX-202603-1508"/>
    <x v="425"/>
    <s v="CUST007"/>
    <s v="PRD003"/>
    <n v="5"/>
    <n v="130000"/>
    <n v="650000"/>
    <n v="425000"/>
    <n v="225000"/>
  </r>
  <r>
    <s v="TRX-202603-1508"/>
    <x v="425"/>
    <s v="CUST007"/>
    <s v="PRD004"/>
    <n v="7"/>
    <n v="105000"/>
    <n v="735000"/>
    <n v="490000"/>
    <n v="245000"/>
  </r>
  <r>
    <s v="TRX-202603-1509"/>
    <x v="426"/>
    <s v="CUST002"/>
    <s v="PRD001"/>
    <n v="7"/>
    <n v="175000"/>
    <n v="1225000"/>
    <n v="840000"/>
    <n v="385000"/>
  </r>
  <r>
    <s v="TRX-202603-1510"/>
    <x v="426"/>
    <s v="CUST006"/>
    <s v="PRD002"/>
    <n v="4"/>
    <n v="70000"/>
    <n v="280000"/>
    <n v="180000"/>
    <n v="100000"/>
  </r>
  <r>
    <s v="TRX-202603-1510"/>
    <x v="426"/>
    <s v="CUST006"/>
    <s v="PRD012"/>
    <n v="5"/>
    <n v="48000"/>
    <n v="240000"/>
    <n v="160000"/>
    <n v="80000"/>
  </r>
  <r>
    <s v="TRX-202603-1511"/>
    <x v="426"/>
    <s v="CUST001"/>
    <s v="PRD009"/>
    <n v="2"/>
    <n v="52000"/>
    <n v="104000"/>
    <n v="70000"/>
    <n v="34000"/>
  </r>
  <r>
    <s v="TRX-202603-1511"/>
    <x v="426"/>
    <s v="CUST001"/>
    <s v="PRD006"/>
    <n v="7"/>
    <n v="110000"/>
    <n v="770000"/>
    <n v="525000"/>
    <n v="245000"/>
  </r>
  <r>
    <s v="TRX-202603-1512"/>
    <x v="426"/>
    <s v="CUST005"/>
    <s v="PRD008"/>
    <n v="1"/>
    <n v="40000"/>
    <n v="40000"/>
    <n v="28000"/>
    <n v="12000"/>
  </r>
  <r>
    <s v="TRX-202603-1512"/>
    <x v="426"/>
    <s v="CUST005"/>
    <s v="PRD001"/>
    <n v="6"/>
    <n v="175000"/>
    <n v="1050000"/>
    <n v="720000"/>
    <n v="330000"/>
  </r>
  <r>
    <s v="TRX-202603-1512"/>
    <x v="426"/>
    <s v="CUST005"/>
    <s v="PRD009"/>
    <n v="4"/>
    <n v="52000"/>
    <n v="208000"/>
    <n v="140000"/>
    <n v="68000"/>
  </r>
  <r>
    <s v="TRX-202603-1513"/>
    <x v="427"/>
    <s v="CUST002"/>
    <s v="PRD001"/>
    <n v="7"/>
    <n v="175000"/>
    <n v="1225000"/>
    <n v="840000"/>
    <n v="385000"/>
  </r>
  <r>
    <s v="TRX-202603-1513"/>
    <x v="427"/>
    <s v="CUST002"/>
    <s v="PRD006"/>
    <n v="3"/>
    <n v="110000"/>
    <n v="330000"/>
    <n v="225000"/>
    <n v="105000"/>
  </r>
  <r>
    <s v="TRX-202603-1514"/>
    <x v="427"/>
    <s v="CUST006"/>
    <s v="PRD002"/>
    <n v="8"/>
    <n v="70000"/>
    <n v="560000"/>
    <n v="360000"/>
    <n v="200000"/>
  </r>
  <r>
    <s v="TRX-202603-1514"/>
    <x v="427"/>
    <s v="CUST006"/>
    <s v="PRD010"/>
    <n v="7"/>
    <n v="20000"/>
    <n v="140000"/>
    <n v="84000"/>
    <n v="56000"/>
  </r>
  <r>
    <s v="TRX-202603-1515"/>
    <x v="427"/>
    <s v="CUST001"/>
    <s v="PRD010"/>
    <n v="1"/>
    <n v="20000"/>
    <n v="20000"/>
    <n v="12000"/>
    <n v="8000"/>
  </r>
  <r>
    <s v="TRX-202603-1515"/>
    <x v="427"/>
    <s v="CUST001"/>
    <s v="PRD004"/>
    <n v="2"/>
    <n v="105000"/>
    <n v="210000"/>
    <n v="140000"/>
    <n v="70000"/>
  </r>
  <r>
    <s v="TRX-202603-1515"/>
    <x v="427"/>
    <s v="CUST001"/>
    <s v="PRD003"/>
    <n v="3"/>
    <n v="130000"/>
    <n v="390000"/>
    <n v="255000"/>
    <n v="135000"/>
  </r>
  <r>
    <s v="TRX-202603-1516"/>
    <x v="427"/>
    <s v="CUST007"/>
    <s v="PRD006"/>
    <n v="3"/>
    <n v="110000"/>
    <n v="330000"/>
    <n v="225000"/>
    <n v="105000"/>
  </r>
  <r>
    <s v="TRX-202603-1516"/>
    <x v="427"/>
    <s v="CUST007"/>
    <s v="PRD008"/>
    <n v="7"/>
    <n v="40000"/>
    <n v="280000"/>
    <n v="196000"/>
    <n v="84000"/>
  </r>
  <r>
    <s v="TRX-202603-1516"/>
    <x v="427"/>
    <s v="CUST007"/>
    <s v="PRD009"/>
    <n v="1"/>
    <n v="52000"/>
    <n v="52000"/>
    <n v="35000"/>
    <n v="17000"/>
  </r>
  <r>
    <s v="TRX-202603-1517"/>
    <x v="427"/>
    <s v="CUST005"/>
    <s v="PRD009"/>
    <n v="1"/>
    <n v="52000"/>
    <n v="52000"/>
    <n v="35000"/>
    <n v="17000"/>
  </r>
  <r>
    <s v="TRX-202603-1518"/>
    <x v="428"/>
    <s v="CUST002"/>
    <s v="PRD012"/>
    <n v="3"/>
    <n v="48000"/>
    <n v="144000"/>
    <n v="96000"/>
    <n v="48000"/>
  </r>
  <r>
    <s v="TRX-202603-1518"/>
    <x v="428"/>
    <s v="CUST002"/>
    <s v="PRD010"/>
    <n v="7"/>
    <n v="20000"/>
    <n v="140000"/>
    <n v="84000"/>
    <n v="56000"/>
  </r>
  <r>
    <s v="TRX-202603-1518"/>
    <x v="428"/>
    <s v="CUST002"/>
    <s v="PRD007"/>
    <n v="5"/>
    <n v="225000"/>
    <n v="1125000"/>
    <n v="900000"/>
    <n v="225000"/>
  </r>
  <r>
    <s v="TRX-202603-1519"/>
    <x v="428"/>
    <s v="CUST003"/>
    <s v="PRD003"/>
    <n v="8"/>
    <n v="130000"/>
    <n v="1040000"/>
    <n v="680000"/>
    <n v="360000"/>
  </r>
  <r>
    <s v="TRX-202603-1520"/>
    <x v="428"/>
    <s v="CUST006"/>
    <s v="PRD010"/>
    <n v="1"/>
    <n v="20000"/>
    <n v="20000"/>
    <n v="12000"/>
    <n v="8000"/>
  </r>
  <r>
    <s v="TRX-202603-1520"/>
    <x v="428"/>
    <s v="CUST006"/>
    <s v="PRD002"/>
    <n v="5"/>
    <n v="70000"/>
    <n v="350000"/>
    <n v="225000"/>
    <n v="125000"/>
  </r>
  <r>
    <s v="TRX-202603-1520"/>
    <x v="428"/>
    <s v="CUST006"/>
    <s v="PRD008"/>
    <n v="6"/>
    <n v="40000"/>
    <n v="240000"/>
    <n v="168000"/>
    <n v="72000"/>
  </r>
  <r>
    <s v="TRX-202603-1521"/>
    <x v="428"/>
    <s v="CUST005"/>
    <s v="PRD002"/>
    <n v="6"/>
    <n v="70000"/>
    <n v="420000"/>
    <n v="270000"/>
    <n v="150000"/>
  </r>
  <r>
    <s v="TRX-202603-1522"/>
    <x v="429"/>
    <s v="CUST008"/>
    <s v="PRD004"/>
    <n v="3"/>
    <n v="105000"/>
    <n v="315000"/>
    <n v="210000"/>
    <n v="105000"/>
  </r>
  <r>
    <s v="TRX-202603-1523"/>
    <x v="429"/>
    <s v="CUST005"/>
    <s v="PRD003"/>
    <n v="3"/>
    <n v="130000"/>
    <n v="390000"/>
    <n v="255000"/>
    <n v="135000"/>
  </r>
  <r>
    <s v="TRX-202603-1523"/>
    <x v="429"/>
    <s v="CUST005"/>
    <s v="PRD009"/>
    <n v="6"/>
    <n v="52000"/>
    <n v="312000"/>
    <n v="210000"/>
    <n v="102000"/>
  </r>
  <r>
    <s v="TRX-202603-1524"/>
    <x v="430"/>
    <s v="CUST002"/>
    <s v="PRD010"/>
    <n v="6"/>
    <n v="20000"/>
    <n v="120000"/>
    <n v="72000"/>
    <n v="48000"/>
  </r>
  <r>
    <s v="TRX-202603-1525"/>
    <x v="430"/>
    <s v="CUST001"/>
    <s v="PRD003"/>
    <n v="2"/>
    <n v="130000"/>
    <n v="260000"/>
    <n v="170000"/>
    <n v="90000"/>
  </r>
  <r>
    <s v="TRX-202603-1525"/>
    <x v="430"/>
    <s v="CUST001"/>
    <s v="PRD008"/>
    <n v="6"/>
    <n v="40000"/>
    <n v="240000"/>
    <n v="168000"/>
    <n v="72000"/>
  </r>
  <r>
    <s v="TRX-202603-1525"/>
    <x v="430"/>
    <s v="CUST001"/>
    <s v="PRD002"/>
    <n v="3"/>
    <n v="70000"/>
    <n v="210000"/>
    <n v="135000"/>
    <n v="75000"/>
  </r>
  <r>
    <s v="TRX-202603-1526"/>
    <x v="431"/>
    <s v="CUST006"/>
    <s v="PRD005"/>
    <n v="8"/>
    <n v="105000"/>
    <n v="840000"/>
    <n v="560000"/>
    <n v="280000"/>
  </r>
  <r>
    <s v="TRX-202603-1526"/>
    <x v="431"/>
    <s v="CUST006"/>
    <s v="PRD004"/>
    <n v="7"/>
    <n v="105000"/>
    <n v="735000"/>
    <n v="490000"/>
    <n v="245000"/>
  </r>
  <r>
    <s v="TRX-202603-1526"/>
    <x v="431"/>
    <s v="CUST006"/>
    <s v="PRD003"/>
    <n v="4"/>
    <n v="130000"/>
    <n v="520000"/>
    <n v="340000"/>
    <n v="180000"/>
  </r>
  <r>
    <s v="TRX-202603-1527"/>
    <x v="431"/>
    <s v="CUST007"/>
    <s v="PRD003"/>
    <n v="5"/>
    <n v="130000"/>
    <n v="650000"/>
    <n v="425000"/>
    <n v="225000"/>
  </r>
  <r>
    <s v="TRX-202603-1527"/>
    <x v="431"/>
    <s v="CUST007"/>
    <s v="PRD010"/>
    <n v="5"/>
    <n v="20000"/>
    <n v="100000"/>
    <n v="60000"/>
    <n v="40000"/>
  </r>
  <r>
    <s v="TRX-202603-1528"/>
    <x v="431"/>
    <s v="CUST008"/>
    <s v="PRD007"/>
    <n v="2"/>
    <n v="225000"/>
    <n v="450000"/>
    <n v="360000"/>
    <n v="90000"/>
  </r>
  <r>
    <s v="TRX-202603-1529"/>
    <x v="431"/>
    <s v="CUST003"/>
    <s v="PRD004"/>
    <n v="2"/>
    <n v="105000"/>
    <n v="210000"/>
    <n v="140000"/>
    <n v="70000"/>
  </r>
  <r>
    <s v="TRX-202603-1529"/>
    <x v="431"/>
    <s v="CUST003"/>
    <s v="PRD005"/>
    <n v="4"/>
    <n v="105000"/>
    <n v="420000"/>
    <n v="280000"/>
    <n v="140000"/>
  </r>
  <r>
    <s v="TRX-202603-1530"/>
    <x v="432"/>
    <s v="CUST007"/>
    <s v="PRD012"/>
    <n v="7"/>
    <n v="48000"/>
    <n v="336000"/>
    <n v="224000"/>
    <n v="112000"/>
  </r>
  <r>
    <s v="TRX-202603-1531"/>
    <x v="432"/>
    <s v="CUST008"/>
    <s v="PRD010"/>
    <n v="4"/>
    <n v="20000"/>
    <n v="80000"/>
    <n v="48000"/>
    <n v="32000"/>
  </r>
  <r>
    <s v="TRX-202603-1532"/>
    <x v="432"/>
    <s v="CUST005"/>
    <s v="PRD009"/>
    <n v="4"/>
    <n v="52000"/>
    <n v="208000"/>
    <n v="140000"/>
    <n v="68000"/>
  </r>
  <r>
    <s v="TRX-202603-1532"/>
    <x v="432"/>
    <s v="CUST005"/>
    <s v="PRD012"/>
    <n v="5"/>
    <n v="48000"/>
    <n v="240000"/>
    <n v="160000"/>
    <n v="80000"/>
  </r>
  <r>
    <s v="TRX-202603-1533"/>
    <x v="432"/>
    <s v="CUST003"/>
    <s v="PRD004"/>
    <n v="5"/>
    <n v="105000"/>
    <n v="525000"/>
    <n v="350000"/>
    <n v="175000"/>
  </r>
  <r>
    <s v="TRX-202603-1533"/>
    <x v="432"/>
    <s v="CUST003"/>
    <s v="PRD007"/>
    <n v="7"/>
    <n v="225000"/>
    <n v="1575000"/>
    <n v="1260000"/>
    <n v="315000"/>
  </r>
  <r>
    <s v="TRX-202603-1534"/>
    <x v="433"/>
    <s v="CUST008"/>
    <s v="PRD012"/>
    <n v="2"/>
    <n v="48000"/>
    <n v="96000"/>
    <n v="64000"/>
    <n v="32000"/>
  </r>
  <r>
    <s v="TRX-202603-1534"/>
    <x v="433"/>
    <s v="CUST008"/>
    <s v="PRD005"/>
    <n v="4"/>
    <n v="105000"/>
    <n v="420000"/>
    <n v="280000"/>
    <n v="140000"/>
  </r>
  <r>
    <s v="TRX-202603-1534"/>
    <x v="433"/>
    <s v="CUST008"/>
    <s v="PRD001"/>
    <n v="2"/>
    <n v="175000"/>
    <n v="350000"/>
    <n v="240000"/>
    <n v="110000"/>
  </r>
  <r>
    <s v="TRX-202603-1535"/>
    <x v="433"/>
    <s v="CUST002"/>
    <s v="PRD008"/>
    <n v="7"/>
    <n v="40000"/>
    <n v="280000"/>
    <n v="196000"/>
    <n v="84000"/>
  </r>
  <r>
    <s v="TRX-202603-1536"/>
    <x v="434"/>
    <s v="CUST003"/>
    <s v="PRD006"/>
    <n v="6"/>
    <n v="110000"/>
    <n v="660000"/>
    <n v="450000"/>
    <n v="210000"/>
  </r>
  <r>
    <s v="TRX-202603-1536"/>
    <x v="434"/>
    <s v="CUST003"/>
    <s v="PRD010"/>
    <n v="1"/>
    <n v="20000"/>
    <n v="20000"/>
    <n v="12000"/>
    <n v="8000"/>
  </r>
  <r>
    <s v="TRX-202603-1537"/>
    <x v="434"/>
    <s v="CUST001"/>
    <s v="PRD007"/>
    <n v="1"/>
    <n v="225000"/>
    <n v="225000"/>
    <n v="180000"/>
    <n v="45000"/>
  </r>
  <r>
    <s v="TRX-202603-1538"/>
    <x v="434"/>
    <s v="CUST002"/>
    <s v="PRD002"/>
    <n v="4"/>
    <n v="70000"/>
    <n v="280000"/>
    <n v="180000"/>
    <n v="100000"/>
  </r>
  <r>
    <s v="TRX-202603-1538"/>
    <x v="434"/>
    <s v="CUST002"/>
    <s v="PRD006"/>
    <n v="3"/>
    <n v="110000"/>
    <n v="330000"/>
    <n v="225000"/>
    <n v="105000"/>
  </r>
  <r>
    <s v="TRX-202603-1539"/>
    <x v="435"/>
    <s v="CUST004"/>
    <s v="PRD002"/>
    <n v="7"/>
    <n v="70000"/>
    <n v="490000"/>
    <n v="315000"/>
    <n v="175000"/>
  </r>
  <r>
    <s v="TRX-202603-1539"/>
    <x v="435"/>
    <s v="CUST004"/>
    <s v="PRD001"/>
    <n v="5"/>
    <n v="175000"/>
    <n v="875000"/>
    <n v="600000"/>
    <n v="275000"/>
  </r>
  <r>
    <s v="TRX-202603-1539"/>
    <x v="435"/>
    <s v="CUST004"/>
    <s v="PRD011"/>
    <n v="4"/>
    <n v="35000"/>
    <n v="140000"/>
    <n v="88000"/>
    <n v="52000"/>
  </r>
  <r>
    <s v="TRX-202603-1540"/>
    <x v="435"/>
    <s v="CUST005"/>
    <s v="PRD001"/>
    <n v="2"/>
    <n v="175000"/>
    <n v="350000"/>
    <n v="240000"/>
    <n v="110000"/>
  </r>
  <r>
    <s v="TRX-202603-1540"/>
    <x v="435"/>
    <s v="CUST005"/>
    <s v="PRD004"/>
    <n v="1"/>
    <n v="105000"/>
    <n v="105000"/>
    <n v="70000"/>
    <n v="35000"/>
  </r>
  <r>
    <s v="TRX-202603-1540"/>
    <x v="435"/>
    <s v="CUST005"/>
    <s v="PRD010"/>
    <n v="5"/>
    <n v="20000"/>
    <n v="100000"/>
    <n v="60000"/>
    <n v="40000"/>
  </r>
  <r>
    <s v="TRX-202603-1541"/>
    <x v="436"/>
    <s v="CUST003"/>
    <s v="PRD006"/>
    <n v="7"/>
    <n v="110000"/>
    <n v="770000"/>
    <n v="525000"/>
    <n v="245000"/>
  </r>
  <r>
    <s v="TRX-202603-1542"/>
    <x v="436"/>
    <s v="CUST002"/>
    <s v="PRD001"/>
    <n v="7"/>
    <n v="175000"/>
    <n v="1225000"/>
    <n v="840000"/>
    <n v="385000"/>
  </r>
  <r>
    <s v="TRX-202603-1543"/>
    <x v="436"/>
    <s v="CUST008"/>
    <s v="PRD010"/>
    <n v="7"/>
    <n v="20000"/>
    <n v="140000"/>
    <n v="84000"/>
    <n v="56000"/>
  </r>
  <r>
    <s v="TRX-202603-1543"/>
    <x v="436"/>
    <s v="CUST008"/>
    <s v="PRD001"/>
    <n v="7"/>
    <n v="175000"/>
    <n v="1225000"/>
    <n v="840000"/>
    <n v="385000"/>
  </r>
  <r>
    <s v="TRX-202603-1543"/>
    <x v="436"/>
    <s v="CUST008"/>
    <s v="PRD011"/>
    <n v="1"/>
    <n v="35000"/>
    <n v="35000"/>
    <n v="22000"/>
    <n v="13000"/>
  </r>
  <r>
    <s v="TRX-202603-1544"/>
    <x v="436"/>
    <s v="CUST002"/>
    <s v="PRD007"/>
    <n v="5"/>
    <n v="225000"/>
    <n v="1125000"/>
    <n v="900000"/>
    <n v="225000"/>
  </r>
  <r>
    <s v="TRX-202603-1544"/>
    <x v="436"/>
    <s v="CUST002"/>
    <s v="PRD008"/>
    <n v="1"/>
    <n v="40000"/>
    <n v="40000"/>
    <n v="28000"/>
    <n v="12000"/>
  </r>
  <r>
    <s v="TRX-202603-1544"/>
    <x v="436"/>
    <s v="CUST002"/>
    <s v="PRD011"/>
    <n v="4"/>
    <n v="35000"/>
    <n v="140000"/>
    <n v="88000"/>
    <n v="52000"/>
  </r>
  <r>
    <s v="TRX-202603-1545"/>
    <x v="437"/>
    <s v="CUST002"/>
    <s v="PRD004"/>
    <n v="6"/>
    <n v="105000"/>
    <n v="630000"/>
    <n v="420000"/>
    <n v="210000"/>
  </r>
  <r>
    <s v="TRX-202603-1545"/>
    <x v="437"/>
    <s v="CUST002"/>
    <s v="PRD007"/>
    <n v="5"/>
    <n v="225000"/>
    <n v="1125000"/>
    <n v="900000"/>
    <n v="225000"/>
  </r>
  <r>
    <s v="TRX-202603-1546"/>
    <x v="437"/>
    <s v="CUST003"/>
    <s v="PRD003"/>
    <n v="2"/>
    <n v="130000"/>
    <n v="260000"/>
    <n v="170000"/>
    <n v="90000"/>
  </r>
  <r>
    <s v="TRX-202603-1546"/>
    <x v="437"/>
    <s v="CUST003"/>
    <s v="PRD005"/>
    <n v="8"/>
    <n v="105000"/>
    <n v="840000"/>
    <n v="560000"/>
    <n v="280000"/>
  </r>
  <r>
    <s v="TRX-202603-1547"/>
    <x v="438"/>
    <s v="CUST005"/>
    <s v="PRD001"/>
    <n v="3"/>
    <n v="175000"/>
    <n v="525000"/>
    <n v="360000"/>
    <n v="165000"/>
  </r>
  <r>
    <s v="TRX-202603-1548"/>
    <x v="438"/>
    <s v="CUST002"/>
    <s v="PRD007"/>
    <n v="7"/>
    <n v="225000"/>
    <n v="1575000"/>
    <n v="1260000"/>
    <n v="315000"/>
  </r>
  <r>
    <s v="TRX-202603-1549"/>
    <x v="438"/>
    <s v="CUST008"/>
    <s v="PRD003"/>
    <n v="1"/>
    <n v="130000"/>
    <n v="130000"/>
    <n v="85000"/>
    <n v="45000"/>
  </r>
  <r>
    <s v="TRX-202603-1550"/>
    <x v="438"/>
    <s v="CUST005"/>
    <s v="PRD006"/>
    <n v="8"/>
    <n v="110000"/>
    <n v="880000"/>
    <n v="600000"/>
    <n v="280000"/>
  </r>
  <r>
    <s v="TRX-202603-1550"/>
    <x v="438"/>
    <s v="CUST005"/>
    <s v="PRD008"/>
    <n v="6"/>
    <n v="40000"/>
    <n v="240000"/>
    <n v="168000"/>
    <n v="72000"/>
  </r>
  <r>
    <s v="TRX-202603-1550"/>
    <x v="438"/>
    <s v="CUST005"/>
    <s v="PRD012"/>
    <n v="3"/>
    <n v="48000"/>
    <n v="144000"/>
    <n v="96000"/>
    <n v="48000"/>
  </r>
  <r>
    <s v="TRX-202603-1551"/>
    <x v="438"/>
    <s v="CUST002"/>
    <s v="PRD010"/>
    <n v="7"/>
    <n v="20000"/>
    <n v="140000"/>
    <n v="84000"/>
    <n v="56000"/>
  </r>
  <r>
    <s v="TRX-202603-1552"/>
    <x v="439"/>
    <s v="CUST001"/>
    <s v="PRD004"/>
    <n v="7"/>
    <n v="105000"/>
    <n v="735000"/>
    <n v="490000"/>
    <n v="245000"/>
  </r>
  <r>
    <s v="TRX-202603-1553"/>
    <x v="439"/>
    <s v="CUST003"/>
    <s v="PRD011"/>
    <n v="3"/>
    <n v="35000"/>
    <n v="105000"/>
    <n v="66000"/>
    <n v="39000"/>
  </r>
  <r>
    <s v="TRX-202603-1554"/>
    <x v="439"/>
    <s v="CUST002"/>
    <s v="PRD009"/>
    <n v="8"/>
    <n v="52000"/>
    <n v="416000"/>
    <n v="280000"/>
    <n v="136000"/>
  </r>
  <r>
    <s v="TRX-202603-1554"/>
    <x v="439"/>
    <s v="CUST002"/>
    <s v="PRD002"/>
    <n v="1"/>
    <n v="70000"/>
    <n v="70000"/>
    <n v="45000"/>
    <n v="25000"/>
  </r>
  <r>
    <s v="TRX-202603-1555"/>
    <x v="440"/>
    <s v="CUST004"/>
    <s v="PRD009"/>
    <n v="4"/>
    <n v="52000"/>
    <n v="208000"/>
    <n v="140000"/>
    <n v="68000"/>
  </r>
  <r>
    <s v="TRX-202603-1555"/>
    <x v="440"/>
    <s v="CUST004"/>
    <s v="PRD010"/>
    <n v="2"/>
    <n v="20000"/>
    <n v="40000"/>
    <n v="24000"/>
    <n v="16000"/>
  </r>
  <r>
    <s v="TRX-202603-1556"/>
    <x v="440"/>
    <s v="CUST007"/>
    <s v="PRD003"/>
    <n v="8"/>
    <n v="130000"/>
    <n v="1040000"/>
    <n v="680000"/>
    <n v="360000"/>
  </r>
  <r>
    <s v="TRX-202603-1556"/>
    <x v="440"/>
    <s v="CUST007"/>
    <s v="PRD009"/>
    <n v="3"/>
    <n v="52000"/>
    <n v="156000"/>
    <n v="105000"/>
    <n v="51000"/>
  </r>
  <r>
    <s v="TRX-202603-1556"/>
    <x v="440"/>
    <s v="CUST007"/>
    <s v="PRD010"/>
    <n v="5"/>
    <n v="20000"/>
    <n v="100000"/>
    <n v="60000"/>
    <n v="40000"/>
  </r>
  <r>
    <s v="TRX-202603-1557"/>
    <x v="440"/>
    <s v="CUST006"/>
    <s v="PRD001"/>
    <n v="2"/>
    <n v="175000"/>
    <n v="350000"/>
    <n v="240000"/>
    <n v="110000"/>
  </r>
  <r>
    <s v="TRX-202603-1557"/>
    <x v="440"/>
    <s v="CUST006"/>
    <s v="PRD011"/>
    <n v="3"/>
    <n v="35000"/>
    <n v="105000"/>
    <n v="66000"/>
    <n v="39000"/>
  </r>
  <r>
    <s v="TRX-202603-1558"/>
    <x v="440"/>
    <s v="CUST003"/>
    <s v="PRD008"/>
    <n v="1"/>
    <n v="40000"/>
    <n v="40000"/>
    <n v="28000"/>
    <n v="12000"/>
  </r>
  <r>
    <s v="TRX-202603-1558"/>
    <x v="440"/>
    <s v="CUST003"/>
    <s v="PRD003"/>
    <n v="3"/>
    <n v="130000"/>
    <n v="390000"/>
    <n v="255000"/>
    <n v="135000"/>
  </r>
  <r>
    <s v="TRX-202603-1558"/>
    <x v="440"/>
    <s v="CUST003"/>
    <s v="PRD001"/>
    <n v="4"/>
    <n v="175000"/>
    <n v="700000"/>
    <n v="480000"/>
    <n v="220000"/>
  </r>
  <r>
    <s v="TRX-202603-1559"/>
    <x v="441"/>
    <s v="CUST003"/>
    <s v="PRD011"/>
    <n v="1"/>
    <n v="35000"/>
    <n v="35000"/>
    <n v="22000"/>
    <n v="13000"/>
  </r>
  <r>
    <s v="TRX-202603-1559"/>
    <x v="441"/>
    <s v="CUST003"/>
    <s v="PRD001"/>
    <n v="4"/>
    <n v="175000"/>
    <n v="700000"/>
    <n v="480000"/>
    <n v="220000"/>
  </r>
  <r>
    <s v="TRX-202603-1559"/>
    <x v="441"/>
    <s v="CUST003"/>
    <s v="PRD003"/>
    <n v="1"/>
    <n v="130000"/>
    <n v="130000"/>
    <n v="85000"/>
    <n v="45000"/>
  </r>
  <r>
    <s v="TRX-202603-1560"/>
    <x v="441"/>
    <s v="CUST005"/>
    <s v="PRD012"/>
    <n v="3"/>
    <n v="48000"/>
    <n v="144000"/>
    <n v="96000"/>
    <n v="48000"/>
  </r>
  <r>
    <s v="TRX-202603-1560"/>
    <x v="441"/>
    <s v="CUST005"/>
    <s v="PRD003"/>
    <n v="3"/>
    <n v="130000"/>
    <n v="390000"/>
    <n v="255000"/>
    <n v="135000"/>
  </r>
  <r>
    <s v="TRX-202603-1560"/>
    <x v="441"/>
    <s v="CUST005"/>
    <s v="PRD004"/>
    <n v="8"/>
    <n v="105000"/>
    <n v="840000"/>
    <n v="560000"/>
    <n v="280000"/>
  </r>
  <r>
    <s v="TRX-202603-1561"/>
    <x v="442"/>
    <s v="CUST007"/>
    <s v="PRD002"/>
    <n v="4"/>
    <n v="70000"/>
    <n v="280000"/>
    <n v="180000"/>
    <n v="100000"/>
  </r>
  <r>
    <s v="TRX-202603-1561"/>
    <x v="442"/>
    <s v="CUST007"/>
    <s v="PRD010"/>
    <n v="3"/>
    <n v="20000"/>
    <n v="60000"/>
    <n v="36000"/>
    <n v="24000"/>
  </r>
  <r>
    <s v="TRX-202603-1561"/>
    <x v="442"/>
    <s v="CUST007"/>
    <s v="PRD009"/>
    <n v="2"/>
    <n v="52000"/>
    <n v="104000"/>
    <n v="70000"/>
    <n v="34000"/>
  </r>
  <r>
    <s v="TRX-202603-1562"/>
    <x v="442"/>
    <s v="CUST001"/>
    <s v="PRD003"/>
    <n v="7"/>
    <n v="130000"/>
    <n v="910000"/>
    <n v="595000"/>
    <n v="315000"/>
  </r>
  <r>
    <s v="TRX-202603-1562"/>
    <x v="442"/>
    <s v="CUST001"/>
    <s v="PRD010"/>
    <n v="2"/>
    <n v="20000"/>
    <n v="40000"/>
    <n v="24000"/>
    <n v="16000"/>
  </r>
  <r>
    <s v="TRX-202603-1562"/>
    <x v="442"/>
    <s v="CUST001"/>
    <s v="PRD002"/>
    <n v="8"/>
    <n v="70000"/>
    <n v="560000"/>
    <n v="360000"/>
    <n v="200000"/>
  </r>
  <r>
    <s v="TRX-202603-1563"/>
    <x v="442"/>
    <s v="CUST005"/>
    <s v="PRD010"/>
    <n v="3"/>
    <n v="20000"/>
    <n v="60000"/>
    <n v="36000"/>
    <n v="24000"/>
  </r>
  <r>
    <s v="TRX-202603-1563"/>
    <x v="442"/>
    <s v="CUST005"/>
    <s v="PRD001"/>
    <n v="4"/>
    <n v="175000"/>
    <n v="700000"/>
    <n v="480000"/>
    <n v="220000"/>
  </r>
  <r>
    <s v="TRX-202603-1564"/>
    <x v="442"/>
    <s v="CUST002"/>
    <s v="PRD005"/>
    <n v="4"/>
    <n v="105000"/>
    <n v="420000"/>
    <n v="280000"/>
    <n v="140000"/>
  </r>
  <r>
    <s v="TRX-202603-1565"/>
    <x v="443"/>
    <s v="CUST003"/>
    <s v="PRD010"/>
    <n v="7"/>
    <n v="20000"/>
    <n v="140000"/>
    <n v="84000"/>
    <n v="56000"/>
  </r>
  <r>
    <s v="TRX-202603-1566"/>
    <x v="443"/>
    <s v="CUST006"/>
    <s v="PRD001"/>
    <n v="5"/>
    <n v="175000"/>
    <n v="875000"/>
    <n v="600000"/>
    <n v="275000"/>
  </r>
  <r>
    <s v="TRX-202603-1566"/>
    <x v="443"/>
    <s v="CUST006"/>
    <s v="PRD005"/>
    <n v="5"/>
    <n v="105000"/>
    <n v="525000"/>
    <n v="350000"/>
    <n v="175000"/>
  </r>
  <r>
    <s v="TRX-202603-1567"/>
    <x v="443"/>
    <s v="CUST005"/>
    <s v="PRD001"/>
    <n v="7"/>
    <n v="175000"/>
    <n v="1225000"/>
    <n v="840000"/>
    <n v="385000"/>
  </r>
  <r>
    <s v="TRX-202603-1567"/>
    <x v="443"/>
    <s v="CUST005"/>
    <s v="PRD008"/>
    <n v="4"/>
    <n v="40000"/>
    <n v="160000"/>
    <n v="112000"/>
    <n v="48000"/>
  </r>
  <r>
    <s v="TRX-202603-1567"/>
    <x v="443"/>
    <s v="CUST005"/>
    <s v="PRD007"/>
    <n v="5"/>
    <n v="225000"/>
    <n v="1125000"/>
    <n v="900000"/>
    <n v="225000"/>
  </r>
  <r>
    <s v="TRX-202603-1568"/>
    <x v="443"/>
    <s v="CUST004"/>
    <s v="PRD004"/>
    <n v="6"/>
    <n v="105000"/>
    <n v="630000"/>
    <n v="420000"/>
    <n v="210000"/>
  </r>
  <r>
    <s v="TRX-202603-1568"/>
    <x v="443"/>
    <s v="CUST004"/>
    <s v="PRD010"/>
    <n v="1"/>
    <n v="20000"/>
    <n v="20000"/>
    <n v="12000"/>
    <n v="8000"/>
  </r>
  <r>
    <s v="TRX-202603-1568"/>
    <x v="443"/>
    <s v="CUST004"/>
    <s v="PRD007"/>
    <n v="5"/>
    <n v="225000"/>
    <n v="1125000"/>
    <n v="900000"/>
    <n v="225000"/>
  </r>
  <r>
    <s v="TRX-202603-1569"/>
    <x v="443"/>
    <s v="CUST007"/>
    <s v="PRD008"/>
    <n v="4"/>
    <n v="40000"/>
    <n v="160000"/>
    <n v="112000"/>
    <n v="48000"/>
  </r>
  <r>
    <s v="TRX-202603-1570"/>
    <x v="444"/>
    <s v="CUST002"/>
    <s v="PRD010"/>
    <n v="4"/>
    <n v="20000"/>
    <n v="80000"/>
    <n v="48000"/>
    <n v="32000"/>
  </r>
  <r>
    <s v="TRX-202603-1570"/>
    <x v="444"/>
    <s v="CUST002"/>
    <s v="PRD007"/>
    <n v="5"/>
    <n v="225000"/>
    <n v="1125000"/>
    <n v="900000"/>
    <n v="225000"/>
  </r>
  <r>
    <s v="TRX-202603-1570"/>
    <x v="444"/>
    <s v="CUST002"/>
    <s v="PRD003"/>
    <n v="2"/>
    <n v="130000"/>
    <n v="260000"/>
    <n v="170000"/>
    <n v="90000"/>
  </r>
  <r>
    <s v="TRX-202603-1571"/>
    <x v="444"/>
    <s v="CUST007"/>
    <s v="PRD004"/>
    <n v="6"/>
    <n v="105000"/>
    <n v="630000"/>
    <n v="420000"/>
    <n v="210000"/>
  </r>
  <r>
    <s v="TRX-202603-1571"/>
    <x v="444"/>
    <s v="CUST007"/>
    <s v="PRD012"/>
    <n v="4"/>
    <n v="48000"/>
    <n v="192000"/>
    <n v="128000"/>
    <n v="64000"/>
  </r>
  <r>
    <s v="TRX-202603-1572"/>
    <x v="444"/>
    <s v="CUST003"/>
    <s v="PRD005"/>
    <n v="6"/>
    <n v="105000"/>
    <n v="630000"/>
    <n v="420000"/>
    <n v="210000"/>
  </r>
  <r>
    <s v="TRX-202603-1572"/>
    <x v="444"/>
    <s v="CUST003"/>
    <s v="PRD008"/>
    <n v="1"/>
    <n v="40000"/>
    <n v="40000"/>
    <n v="28000"/>
    <n v="12000"/>
  </r>
  <r>
    <s v="TRX-202603-1572"/>
    <x v="444"/>
    <s v="CUST003"/>
    <s v="PRD003"/>
    <n v="6"/>
    <n v="130000"/>
    <n v="780000"/>
    <n v="510000"/>
    <n v="270000"/>
  </r>
  <r>
    <s v="TRX-202603-1573"/>
    <x v="444"/>
    <s v="CUST004"/>
    <s v="PRD004"/>
    <n v="5"/>
    <n v="105000"/>
    <n v="525000"/>
    <n v="350000"/>
    <n v="175000"/>
  </r>
  <r>
    <s v="TRX-202603-1574"/>
    <x v="444"/>
    <s v="CUST004"/>
    <s v="PRD012"/>
    <n v="4"/>
    <n v="48000"/>
    <n v="192000"/>
    <n v="128000"/>
    <n v="64000"/>
  </r>
  <r>
    <s v="TRX-202603-1575"/>
    <x v="445"/>
    <s v="CUST004"/>
    <s v="PRD004"/>
    <n v="6"/>
    <n v="105000"/>
    <n v="630000"/>
    <n v="420000"/>
    <n v="210000"/>
  </r>
  <r>
    <s v="TRX-202603-1575"/>
    <x v="445"/>
    <s v="CUST004"/>
    <s v="PRD007"/>
    <n v="8"/>
    <n v="225000"/>
    <n v="1800000"/>
    <n v="1440000"/>
    <n v="360000"/>
  </r>
  <r>
    <s v="TRX-202603-1576"/>
    <x v="445"/>
    <s v="CUST005"/>
    <s v="PRD007"/>
    <n v="7"/>
    <n v="225000"/>
    <n v="1575000"/>
    <n v="1260000"/>
    <n v="315000"/>
  </r>
  <r>
    <s v="TRX-202603-1576"/>
    <x v="445"/>
    <s v="CUST005"/>
    <s v="PRD010"/>
    <n v="2"/>
    <n v="20000"/>
    <n v="40000"/>
    <n v="24000"/>
    <n v="16000"/>
  </r>
  <r>
    <s v="TRX-202603-1577"/>
    <x v="445"/>
    <s v="CUST007"/>
    <s v="PRD005"/>
    <n v="3"/>
    <n v="105000"/>
    <n v="315000"/>
    <n v="210000"/>
    <n v="105000"/>
  </r>
  <r>
    <s v="TRX-202603-1578"/>
    <x v="445"/>
    <s v="CUST002"/>
    <s v="PRD006"/>
    <n v="5"/>
    <n v="110000"/>
    <n v="550000"/>
    <n v="375000"/>
    <n v="175000"/>
  </r>
  <r>
    <s v="TRX-202603-1579"/>
    <x v="446"/>
    <s v="CUST005"/>
    <s v="PRD007"/>
    <n v="2"/>
    <n v="225000"/>
    <n v="450000"/>
    <n v="360000"/>
    <n v="90000"/>
  </r>
  <r>
    <s v="TRX-202603-1580"/>
    <x v="446"/>
    <s v="CUST005"/>
    <s v="PRD011"/>
    <n v="5"/>
    <n v="35000"/>
    <n v="175000"/>
    <n v="110000"/>
    <n v="65000"/>
  </r>
  <r>
    <s v="TRX-202603-1581"/>
    <x v="447"/>
    <s v="CUST008"/>
    <s v="PRD006"/>
    <n v="2"/>
    <n v="110000"/>
    <n v="220000"/>
    <n v="150000"/>
    <n v="70000"/>
  </r>
  <r>
    <s v="TRX-202603-1581"/>
    <x v="447"/>
    <s v="CUST008"/>
    <s v="PRD003"/>
    <n v="2"/>
    <n v="130000"/>
    <n v="260000"/>
    <n v="170000"/>
    <n v="90000"/>
  </r>
  <r>
    <s v="TRX-202603-1581"/>
    <x v="447"/>
    <s v="CUST008"/>
    <s v="PRD011"/>
    <n v="6"/>
    <n v="35000"/>
    <n v="210000"/>
    <n v="132000"/>
    <n v="78000"/>
  </r>
  <r>
    <s v="TRX-202603-1582"/>
    <x v="447"/>
    <s v="CUST008"/>
    <s v="PRD009"/>
    <n v="5"/>
    <n v="52000"/>
    <n v="260000"/>
    <n v="175000"/>
    <n v="85000"/>
  </r>
  <r>
    <s v="TRX-202603-1583"/>
    <x v="448"/>
    <s v="CUST006"/>
    <s v="PRD003"/>
    <n v="8"/>
    <n v="130000"/>
    <n v="1040000"/>
    <n v="680000"/>
    <n v="360000"/>
  </r>
  <r>
    <s v="TRX-202603-1583"/>
    <x v="448"/>
    <s v="CUST006"/>
    <s v="PRD004"/>
    <n v="8"/>
    <n v="105000"/>
    <n v="840000"/>
    <n v="560000"/>
    <n v="280000"/>
  </r>
  <r>
    <s v="TRX-202603-1583"/>
    <x v="448"/>
    <s v="CUST006"/>
    <s v="PRD008"/>
    <n v="3"/>
    <n v="40000"/>
    <n v="120000"/>
    <n v="84000"/>
    <n v="36000"/>
  </r>
  <r>
    <s v="TRX-202603-1584"/>
    <x v="448"/>
    <s v="CUST007"/>
    <s v="PRD011"/>
    <n v="7"/>
    <n v="35000"/>
    <n v="245000"/>
    <n v="154000"/>
    <n v="91000"/>
  </r>
  <r>
    <s v="TRX-202603-1584"/>
    <x v="448"/>
    <s v="CUST007"/>
    <s v="PRD006"/>
    <n v="4"/>
    <n v="110000"/>
    <n v="440000"/>
    <n v="300000"/>
    <n v="140000"/>
  </r>
  <r>
    <s v="TRX-202603-1585"/>
    <x v="448"/>
    <s v="CUST004"/>
    <s v="PRD001"/>
    <n v="5"/>
    <n v="175000"/>
    <n v="875000"/>
    <n v="600000"/>
    <n v="275000"/>
  </r>
  <r>
    <s v="TRX-202603-1585"/>
    <x v="448"/>
    <s v="CUST004"/>
    <s v="PRD002"/>
    <n v="1"/>
    <n v="70000"/>
    <n v="70000"/>
    <n v="45000"/>
    <n v="25000"/>
  </r>
  <r>
    <s v="TRX-202603-1586"/>
    <x v="448"/>
    <s v="CUST001"/>
    <s v="PRD012"/>
    <n v="8"/>
    <n v="48000"/>
    <n v="384000"/>
    <n v="256000"/>
    <n v="128000"/>
  </r>
  <r>
    <s v="TRX-202603-1586"/>
    <x v="448"/>
    <s v="CUST001"/>
    <s v="PRD006"/>
    <n v="2"/>
    <n v="110000"/>
    <n v="220000"/>
    <n v="150000"/>
    <n v="70000"/>
  </r>
  <r>
    <s v="TRX-202603-1586"/>
    <x v="448"/>
    <s v="CUST001"/>
    <s v="PRD003"/>
    <n v="1"/>
    <n v="130000"/>
    <n v="130000"/>
    <n v="85000"/>
    <n v="45000"/>
  </r>
  <r>
    <s v="TRX-202603-1587"/>
    <x v="448"/>
    <s v="CUST006"/>
    <s v="PRD011"/>
    <n v="1"/>
    <n v="35000"/>
    <n v="35000"/>
    <n v="22000"/>
    <n v="13000"/>
  </r>
  <r>
    <s v="TRX-202603-1587"/>
    <x v="448"/>
    <s v="CUST006"/>
    <s v="PRD009"/>
    <n v="1"/>
    <n v="52000"/>
    <n v="52000"/>
    <n v="35000"/>
    <n v="17000"/>
  </r>
  <r>
    <s v="TRX-202603-1588"/>
    <x v="449"/>
    <s v="CUST001"/>
    <s v="PRD002"/>
    <n v="4"/>
    <n v="70000"/>
    <n v="280000"/>
    <n v="180000"/>
    <n v="100000"/>
  </r>
  <r>
    <s v="TRX-202603-1589"/>
    <x v="449"/>
    <s v="CUST007"/>
    <s v="PRD006"/>
    <n v="7"/>
    <n v="110000"/>
    <n v="770000"/>
    <n v="525000"/>
    <n v="245000"/>
  </r>
  <r>
    <s v="TRX-202603-1589"/>
    <x v="449"/>
    <s v="CUST007"/>
    <s v="PRD012"/>
    <n v="3"/>
    <n v="48000"/>
    <n v="144000"/>
    <n v="96000"/>
    <n v="48000"/>
  </r>
  <r>
    <s v="TRX-202603-1589"/>
    <x v="449"/>
    <s v="CUST007"/>
    <s v="PRD003"/>
    <n v="1"/>
    <n v="130000"/>
    <n v="130000"/>
    <n v="85000"/>
    <n v="45000"/>
  </r>
  <r>
    <s v="TRX-202603-1590"/>
    <x v="449"/>
    <s v="CUST003"/>
    <s v="PRD012"/>
    <n v="4"/>
    <n v="48000"/>
    <n v="192000"/>
    <n v="128000"/>
    <n v="64000"/>
  </r>
  <r>
    <s v="TRX-202603-1590"/>
    <x v="449"/>
    <s v="CUST003"/>
    <s v="PRD011"/>
    <n v="6"/>
    <n v="35000"/>
    <n v="210000"/>
    <n v="132000"/>
    <n v="78000"/>
  </r>
  <r>
    <s v="TRX-202603-1590"/>
    <x v="449"/>
    <s v="CUST003"/>
    <s v="PRD008"/>
    <n v="3"/>
    <n v="40000"/>
    <n v="120000"/>
    <n v="84000"/>
    <n v="36000"/>
  </r>
  <r>
    <s v="TRX-202603-1591"/>
    <x v="450"/>
    <s v="CUST007"/>
    <s v="PRD009"/>
    <n v="6"/>
    <n v="52000"/>
    <n v="312000"/>
    <n v="210000"/>
    <n v="102000"/>
  </r>
  <r>
    <s v="TRX-202603-1592"/>
    <x v="450"/>
    <s v="CUST001"/>
    <s v="PRD007"/>
    <n v="1"/>
    <n v="225000"/>
    <n v="225000"/>
    <n v="180000"/>
    <n v="45000"/>
  </r>
  <r>
    <s v="TRX-202603-1592"/>
    <x v="450"/>
    <s v="CUST001"/>
    <s v="PRD002"/>
    <n v="8"/>
    <n v="70000"/>
    <n v="560000"/>
    <n v="360000"/>
    <n v="200000"/>
  </r>
  <r>
    <s v="TRX-202603-1593"/>
    <x v="450"/>
    <s v="CUST001"/>
    <s v="PRD003"/>
    <n v="8"/>
    <n v="130000"/>
    <n v="1040000"/>
    <n v="680000"/>
    <n v="360000"/>
  </r>
  <r>
    <s v="TRX-202603-1593"/>
    <x v="450"/>
    <s v="CUST001"/>
    <s v="PRD007"/>
    <n v="2"/>
    <n v="225000"/>
    <n v="450000"/>
    <n v="360000"/>
    <n v="90000"/>
  </r>
  <r>
    <s v="TRX-202603-1593"/>
    <x v="450"/>
    <s v="CUST001"/>
    <s v="PRD010"/>
    <n v="3"/>
    <n v="20000"/>
    <n v="60000"/>
    <n v="36000"/>
    <n v="24000"/>
  </r>
  <r>
    <s v="TRX-202603-1594"/>
    <x v="450"/>
    <s v="CUST004"/>
    <s v="PRD001"/>
    <n v="1"/>
    <n v="175000"/>
    <n v="175000"/>
    <n v="120000"/>
    <n v="55000"/>
  </r>
  <r>
    <s v="TRX-202603-1594"/>
    <x v="450"/>
    <s v="CUST004"/>
    <s v="PRD002"/>
    <n v="8"/>
    <n v="70000"/>
    <n v="560000"/>
    <n v="360000"/>
    <n v="200000"/>
  </r>
  <r>
    <s v="TRX-202603-1595"/>
    <x v="450"/>
    <s v="CUST002"/>
    <s v="PRD007"/>
    <n v="2"/>
    <n v="225000"/>
    <n v="450000"/>
    <n v="360000"/>
    <n v="90000"/>
  </r>
  <r>
    <s v="TRX-202603-1596"/>
    <x v="451"/>
    <s v="CUST004"/>
    <s v="PRD003"/>
    <n v="1"/>
    <n v="130000"/>
    <n v="130000"/>
    <n v="85000"/>
    <n v="45000"/>
  </r>
  <r>
    <s v="TRX-202603-1596"/>
    <x v="451"/>
    <s v="CUST004"/>
    <s v="PRD012"/>
    <n v="2"/>
    <n v="48000"/>
    <n v="96000"/>
    <n v="64000"/>
    <n v="32000"/>
  </r>
  <r>
    <s v="TRX-202603-1596"/>
    <x v="451"/>
    <s v="CUST004"/>
    <s v="PRD011"/>
    <n v="5"/>
    <n v="35000"/>
    <n v="175000"/>
    <n v="110000"/>
    <n v="65000"/>
  </r>
  <r>
    <s v="TRX-202603-1597"/>
    <x v="451"/>
    <s v="CUST005"/>
    <s v="PRD006"/>
    <n v="3"/>
    <n v="110000"/>
    <n v="330000"/>
    <n v="225000"/>
    <n v="105000"/>
  </r>
  <r>
    <s v="TRX-202603-1598"/>
    <x v="451"/>
    <s v="CUST003"/>
    <s v="PRD012"/>
    <n v="6"/>
    <n v="48000"/>
    <n v="288000"/>
    <n v="192000"/>
    <n v="96000"/>
  </r>
  <r>
    <s v="TRX-202603-1599"/>
    <x v="452"/>
    <s v="CUST002"/>
    <s v="PRD001"/>
    <n v="8"/>
    <n v="175000"/>
    <n v="1400000"/>
    <n v="960000"/>
    <n v="440000"/>
  </r>
  <r>
    <s v="TRX-202603-1600"/>
    <x v="452"/>
    <s v="CUST006"/>
    <s v="PRD009"/>
    <n v="5"/>
    <n v="52000"/>
    <n v="260000"/>
    <n v="175000"/>
    <n v="85000"/>
  </r>
  <r>
    <s v="TRX-202603-1601"/>
    <x v="452"/>
    <s v="CUST002"/>
    <s v="PRD009"/>
    <n v="1"/>
    <n v="52000"/>
    <n v="52000"/>
    <n v="35000"/>
    <n v="17000"/>
  </r>
  <r>
    <s v="TRX-202603-1601"/>
    <x v="452"/>
    <s v="CUST002"/>
    <s v="PRD006"/>
    <n v="2"/>
    <n v="110000"/>
    <n v="220000"/>
    <n v="150000"/>
    <n v="70000"/>
  </r>
  <r>
    <s v="TRX-202603-1601"/>
    <x v="452"/>
    <s v="CUST002"/>
    <s v="PRD003"/>
    <n v="4"/>
    <n v="130000"/>
    <n v="520000"/>
    <n v="340000"/>
    <n v="180000"/>
  </r>
  <r>
    <s v="TRX-202603-1602"/>
    <x v="452"/>
    <s v="CUST007"/>
    <s v="PRD007"/>
    <n v="1"/>
    <n v="225000"/>
    <n v="225000"/>
    <n v="180000"/>
    <n v="45000"/>
  </r>
  <r>
    <s v="TRX-202603-1603"/>
    <x v="453"/>
    <s v="CUST006"/>
    <s v="PRD007"/>
    <n v="1"/>
    <n v="225000"/>
    <n v="225000"/>
    <n v="180000"/>
    <n v="45000"/>
  </r>
  <r>
    <s v="TRX-202603-1603"/>
    <x v="453"/>
    <s v="CUST006"/>
    <s v="PRD005"/>
    <n v="2"/>
    <n v="105000"/>
    <n v="210000"/>
    <n v="140000"/>
    <n v="70000"/>
  </r>
  <r>
    <s v="TRX-202603-1604"/>
    <x v="453"/>
    <s v="CUST007"/>
    <s v="PRD004"/>
    <n v="8"/>
    <n v="105000"/>
    <n v="840000"/>
    <n v="560000"/>
    <n v="280000"/>
  </r>
  <r>
    <s v="TRX-202603-1604"/>
    <x v="453"/>
    <s v="CUST007"/>
    <s v="PRD010"/>
    <n v="8"/>
    <n v="20000"/>
    <n v="160000"/>
    <n v="96000"/>
    <n v="64000"/>
  </r>
  <r>
    <s v="TRX-202603-1604"/>
    <x v="453"/>
    <s v="CUST007"/>
    <s v="PRD006"/>
    <n v="6"/>
    <n v="110000"/>
    <n v="660000"/>
    <n v="450000"/>
    <n v="210000"/>
  </r>
  <r>
    <s v="TRX-202603-1605"/>
    <x v="454"/>
    <s v="CUST007"/>
    <s v="PRD010"/>
    <n v="8"/>
    <n v="20000"/>
    <n v="160000"/>
    <n v="96000"/>
    <n v="64000"/>
  </r>
  <r>
    <s v="TRX-202603-1606"/>
    <x v="454"/>
    <s v="CUST004"/>
    <s v="PRD003"/>
    <n v="7"/>
    <n v="130000"/>
    <n v="910000"/>
    <n v="595000"/>
    <n v="315000"/>
  </r>
  <r>
    <s v="TRX-202603-1607"/>
    <x v="454"/>
    <s v="CUST008"/>
    <s v="PRD004"/>
    <n v="3"/>
    <n v="105000"/>
    <n v="315000"/>
    <n v="210000"/>
    <n v="105000"/>
  </r>
  <r>
    <s v="TRX-202603-1607"/>
    <x v="454"/>
    <s v="CUST008"/>
    <s v="PRD002"/>
    <n v="3"/>
    <n v="70000"/>
    <n v="210000"/>
    <n v="135000"/>
    <n v="75000"/>
  </r>
  <r>
    <s v="TRX-202603-1608"/>
    <x v="454"/>
    <s v="CUST008"/>
    <s v="PRD007"/>
    <n v="8"/>
    <n v="225000"/>
    <n v="1800000"/>
    <n v="1440000"/>
    <n v="360000"/>
  </r>
  <r>
    <s v="TRX-202603-1608"/>
    <x v="454"/>
    <s v="CUST008"/>
    <s v="PRD011"/>
    <n v="6"/>
    <n v="35000"/>
    <n v="210000"/>
    <n v="132000"/>
    <n v="78000"/>
  </r>
  <r>
    <s v="TRX-202603-1608"/>
    <x v="454"/>
    <s v="CUST008"/>
    <s v="PRD001"/>
    <n v="8"/>
    <n v="175000"/>
    <n v="1400000"/>
    <n v="960000"/>
    <n v="440000"/>
  </r>
  <r>
    <s v="TRX-202603-1609"/>
    <x v="454"/>
    <s v="CUST007"/>
    <s v="PRD004"/>
    <n v="4"/>
    <n v="105000"/>
    <n v="420000"/>
    <n v="280000"/>
    <n v="140000"/>
  </r>
  <r>
    <s v="TRX-202603-1609"/>
    <x v="454"/>
    <s v="CUST007"/>
    <s v="PRD011"/>
    <n v="5"/>
    <n v="35000"/>
    <n v="175000"/>
    <n v="110000"/>
    <n v="65000"/>
  </r>
  <r>
    <s v="TRX-202604-1610"/>
    <x v="455"/>
    <s v="CUST008"/>
    <s v="PRD008"/>
    <n v="1"/>
    <n v="40000"/>
    <n v="40000"/>
    <n v="28000"/>
    <n v="12000"/>
  </r>
  <r>
    <s v="TRX-202604-1610"/>
    <x v="455"/>
    <s v="CUST008"/>
    <s v="PRD001"/>
    <n v="1"/>
    <n v="175000"/>
    <n v="175000"/>
    <n v="120000"/>
    <n v="55000"/>
  </r>
  <r>
    <s v="TRX-202604-1611"/>
    <x v="455"/>
    <s v="CUST003"/>
    <s v="PRD009"/>
    <n v="7"/>
    <n v="52000"/>
    <n v="364000"/>
    <n v="245000"/>
    <n v="119000"/>
  </r>
  <r>
    <s v="TRX-202604-1611"/>
    <x v="455"/>
    <s v="CUST003"/>
    <s v="PRD008"/>
    <n v="5"/>
    <n v="40000"/>
    <n v="200000"/>
    <n v="140000"/>
    <n v="60000"/>
  </r>
  <r>
    <s v="TRX-202604-1612"/>
    <x v="455"/>
    <s v="CUST005"/>
    <s v="PRD011"/>
    <n v="7"/>
    <n v="35000"/>
    <n v="245000"/>
    <n v="154000"/>
    <n v="91000"/>
  </r>
  <r>
    <s v="TRX-202604-1612"/>
    <x v="455"/>
    <s v="CUST005"/>
    <s v="PRD007"/>
    <n v="5"/>
    <n v="225000"/>
    <n v="1125000"/>
    <n v="900000"/>
    <n v="225000"/>
  </r>
  <r>
    <s v="TRX-202604-1612"/>
    <x v="455"/>
    <s v="CUST005"/>
    <s v="PRD008"/>
    <n v="8"/>
    <n v="40000"/>
    <n v="320000"/>
    <n v="224000"/>
    <n v="96000"/>
  </r>
  <r>
    <s v="TRX-202604-1613"/>
    <x v="455"/>
    <s v="CUST008"/>
    <s v="PRD002"/>
    <n v="4"/>
    <n v="70000"/>
    <n v="280000"/>
    <n v="180000"/>
    <n v="100000"/>
  </r>
  <r>
    <s v="TRX-202604-1613"/>
    <x v="455"/>
    <s v="CUST008"/>
    <s v="PRD007"/>
    <n v="7"/>
    <n v="225000"/>
    <n v="1575000"/>
    <n v="1260000"/>
    <n v="315000"/>
  </r>
  <r>
    <s v="TRX-202604-1614"/>
    <x v="456"/>
    <s v="CUST007"/>
    <s v="PRD006"/>
    <n v="4"/>
    <n v="110000"/>
    <n v="440000"/>
    <n v="300000"/>
    <n v="140000"/>
  </r>
  <r>
    <s v="TRX-202604-1615"/>
    <x v="456"/>
    <s v="CUST001"/>
    <s v="PRD006"/>
    <n v="1"/>
    <n v="110000"/>
    <n v="110000"/>
    <n v="75000"/>
    <n v="35000"/>
  </r>
  <r>
    <s v="TRX-202604-1615"/>
    <x v="456"/>
    <s v="CUST001"/>
    <s v="PRD010"/>
    <n v="3"/>
    <n v="20000"/>
    <n v="60000"/>
    <n v="36000"/>
    <n v="24000"/>
  </r>
  <r>
    <s v="TRX-202604-1615"/>
    <x v="456"/>
    <s v="CUST001"/>
    <s v="PRD008"/>
    <n v="6"/>
    <n v="40000"/>
    <n v="240000"/>
    <n v="168000"/>
    <n v="72000"/>
  </r>
  <r>
    <s v="TRX-202604-1616"/>
    <x v="456"/>
    <s v="CUST006"/>
    <s v="PRD003"/>
    <n v="3"/>
    <n v="130000"/>
    <n v="390000"/>
    <n v="255000"/>
    <n v="135000"/>
  </r>
  <r>
    <s v="TRX-202604-1617"/>
    <x v="457"/>
    <s v="CUST005"/>
    <s v="PRD005"/>
    <n v="2"/>
    <n v="105000"/>
    <n v="210000"/>
    <n v="140000"/>
    <n v="70000"/>
  </r>
  <r>
    <s v="TRX-202604-1618"/>
    <x v="457"/>
    <s v="CUST007"/>
    <s v="PRD010"/>
    <n v="4"/>
    <n v="20000"/>
    <n v="80000"/>
    <n v="48000"/>
    <n v="32000"/>
  </r>
  <r>
    <s v="TRX-202604-1618"/>
    <x v="457"/>
    <s v="CUST007"/>
    <s v="PRD012"/>
    <n v="5"/>
    <n v="48000"/>
    <n v="240000"/>
    <n v="160000"/>
    <n v="80000"/>
  </r>
  <r>
    <s v="TRX-202604-1618"/>
    <x v="457"/>
    <s v="CUST007"/>
    <s v="PRD004"/>
    <n v="5"/>
    <n v="105000"/>
    <n v="525000"/>
    <n v="350000"/>
    <n v="175000"/>
  </r>
  <r>
    <s v="TRX-202604-1619"/>
    <x v="457"/>
    <s v="CUST008"/>
    <s v="PRD004"/>
    <n v="5"/>
    <n v="105000"/>
    <n v="525000"/>
    <n v="350000"/>
    <n v="175000"/>
  </r>
  <r>
    <s v="TRX-202604-1619"/>
    <x v="457"/>
    <s v="CUST008"/>
    <s v="PRD010"/>
    <n v="7"/>
    <n v="20000"/>
    <n v="140000"/>
    <n v="84000"/>
    <n v="56000"/>
  </r>
  <r>
    <s v="TRX-202604-1620"/>
    <x v="457"/>
    <s v="CUST005"/>
    <s v="PRD009"/>
    <n v="3"/>
    <n v="52000"/>
    <n v="156000"/>
    <n v="105000"/>
    <n v="51000"/>
  </r>
  <r>
    <s v="TRX-202604-1621"/>
    <x v="458"/>
    <s v="CUST003"/>
    <s v="PRD008"/>
    <n v="1"/>
    <n v="40000"/>
    <n v="40000"/>
    <n v="28000"/>
    <n v="12000"/>
  </r>
  <r>
    <s v="TRX-202604-1622"/>
    <x v="458"/>
    <s v="CUST008"/>
    <s v="PRD005"/>
    <n v="6"/>
    <n v="105000"/>
    <n v="630000"/>
    <n v="420000"/>
    <n v="210000"/>
  </r>
  <r>
    <s v="TRX-202604-1622"/>
    <x v="458"/>
    <s v="CUST008"/>
    <s v="PRD009"/>
    <n v="4"/>
    <n v="52000"/>
    <n v="208000"/>
    <n v="140000"/>
    <n v="68000"/>
  </r>
  <r>
    <s v="TRX-202604-1623"/>
    <x v="459"/>
    <s v="CUST002"/>
    <s v="PRD002"/>
    <n v="4"/>
    <n v="70000"/>
    <n v="280000"/>
    <n v="180000"/>
    <n v="100000"/>
  </r>
  <r>
    <s v="TRX-202604-1624"/>
    <x v="459"/>
    <s v="CUST008"/>
    <s v="PRD007"/>
    <n v="7"/>
    <n v="225000"/>
    <n v="1575000"/>
    <n v="1260000"/>
    <n v="315000"/>
  </r>
  <r>
    <s v="TRX-202604-1624"/>
    <x v="459"/>
    <s v="CUST008"/>
    <s v="PRD006"/>
    <n v="4"/>
    <n v="110000"/>
    <n v="440000"/>
    <n v="300000"/>
    <n v="140000"/>
  </r>
  <r>
    <s v="TRX-202604-1625"/>
    <x v="459"/>
    <s v="CUST006"/>
    <s v="PRD006"/>
    <n v="1"/>
    <n v="110000"/>
    <n v="110000"/>
    <n v="75000"/>
    <n v="35000"/>
  </r>
  <r>
    <s v="TRX-202604-1625"/>
    <x v="459"/>
    <s v="CUST006"/>
    <s v="PRD011"/>
    <n v="7"/>
    <n v="35000"/>
    <n v="245000"/>
    <n v="154000"/>
    <n v="91000"/>
  </r>
  <r>
    <s v="TRX-202604-1625"/>
    <x v="459"/>
    <s v="CUST006"/>
    <s v="PRD008"/>
    <n v="2"/>
    <n v="40000"/>
    <n v="80000"/>
    <n v="56000"/>
    <n v="24000"/>
  </r>
  <r>
    <s v="TRX-202604-1626"/>
    <x v="459"/>
    <s v="CUST004"/>
    <s v="PRD005"/>
    <n v="6"/>
    <n v="105000"/>
    <n v="630000"/>
    <n v="420000"/>
    <n v="210000"/>
  </r>
  <r>
    <s v="TRX-202604-1627"/>
    <x v="460"/>
    <s v="CUST007"/>
    <s v="PRD011"/>
    <n v="2"/>
    <n v="35000"/>
    <n v="70000"/>
    <n v="44000"/>
    <n v="26000"/>
  </r>
  <r>
    <s v="TRX-202604-1628"/>
    <x v="460"/>
    <s v="CUST001"/>
    <s v="PRD004"/>
    <n v="8"/>
    <n v="105000"/>
    <n v="840000"/>
    <n v="560000"/>
    <n v="280000"/>
  </r>
  <r>
    <s v="TRX-202604-1628"/>
    <x v="460"/>
    <s v="CUST001"/>
    <s v="PRD011"/>
    <n v="7"/>
    <n v="35000"/>
    <n v="245000"/>
    <n v="154000"/>
    <n v="91000"/>
  </r>
  <r>
    <s v="TRX-202604-1629"/>
    <x v="460"/>
    <s v="CUST007"/>
    <s v="PRD001"/>
    <n v="6"/>
    <n v="175000"/>
    <n v="1050000"/>
    <n v="720000"/>
    <n v="330000"/>
  </r>
  <r>
    <s v="TRX-202604-1629"/>
    <x v="460"/>
    <s v="CUST007"/>
    <s v="PRD012"/>
    <n v="3"/>
    <n v="48000"/>
    <n v="144000"/>
    <n v="96000"/>
    <n v="48000"/>
  </r>
  <r>
    <s v="TRX-202604-1629"/>
    <x v="460"/>
    <s v="CUST007"/>
    <s v="PRD009"/>
    <n v="5"/>
    <n v="52000"/>
    <n v="260000"/>
    <n v="175000"/>
    <n v="85000"/>
  </r>
  <r>
    <s v="TRX-202604-1630"/>
    <x v="460"/>
    <s v="CUST007"/>
    <s v="PRD001"/>
    <n v="8"/>
    <n v="175000"/>
    <n v="1400000"/>
    <n v="960000"/>
    <n v="440000"/>
  </r>
  <r>
    <s v="TRX-202604-1630"/>
    <x v="460"/>
    <s v="CUST007"/>
    <s v="PRD003"/>
    <n v="8"/>
    <n v="130000"/>
    <n v="1040000"/>
    <n v="680000"/>
    <n v="360000"/>
  </r>
  <r>
    <s v="TRX-202604-1630"/>
    <x v="460"/>
    <s v="CUST007"/>
    <s v="PRD002"/>
    <n v="5"/>
    <n v="70000"/>
    <n v="350000"/>
    <n v="225000"/>
    <n v="125000"/>
  </r>
  <r>
    <s v="TRX-202604-1631"/>
    <x v="461"/>
    <s v="CUST003"/>
    <s v="PRD004"/>
    <n v="1"/>
    <n v="105000"/>
    <n v="105000"/>
    <n v="70000"/>
    <n v="35000"/>
  </r>
  <r>
    <s v="TRX-202604-1631"/>
    <x v="461"/>
    <s v="CUST003"/>
    <s v="PRD001"/>
    <n v="3"/>
    <n v="175000"/>
    <n v="525000"/>
    <n v="360000"/>
    <n v="165000"/>
  </r>
  <r>
    <s v="TRX-202604-1631"/>
    <x v="461"/>
    <s v="CUST003"/>
    <s v="PRD003"/>
    <n v="6"/>
    <n v="130000"/>
    <n v="780000"/>
    <n v="510000"/>
    <n v="270000"/>
  </r>
  <r>
    <s v="TRX-202604-1632"/>
    <x v="461"/>
    <s v="CUST007"/>
    <s v="PRD002"/>
    <n v="1"/>
    <n v="70000"/>
    <n v="70000"/>
    <n v="45000"/>
    <n v="25000"/>
  </r>
  <r>
    <s v="TRX-202604-1632"/>
    <x v="461"/>
    <s v="CUST007"/>
    <s v="PRD004"/>
    <n v="4"/>
    <n v="105000"/>
    <n v="420000"/>
    <n v="280000"/>
    <n v="140000"/>
  </r>
  <r>
    <s v="TRX-202604-1632"/>
    <x v="461"/>
    <s v="CUST007"/>
    <s v="PRD011"/>
    <n v="1"/>
    <n v="35000"/>
    <n v="35000"/>
    <n v="22000"/>
    <n v="13000"/>
  </r>
  <r>
    <s v="TRX-202604-1633"/>
    <x v="461"/>
    <s v="CUST004"/>
    <s v="PRD005"/>
    <n v="7"/>
    <n v="105000"/>
    <n v="735000"/>
    <n v="490000"/>
    <n v="245000"/>
  </r>
  <r>
    <s v="TRX-202604-1634"/>
    <x v="462"/>
    <s v="CUST004"/>
    <s v="PRD010"/>
    <n v="8"/>
    <n v="20000"/>
    <n v="160000"/>
    <n v="96000"/>
    <n v="64000"/>
  </r>
  <r>
    <s v="TRX-202604-1634"/>
    <x v="462"/>
    <s v="CUST004"/>
    <s v="PRD009"/>
    <n v="3"/>
    <n v="52000"/>
    <n v="156000"/>
    <n v="105000"/>
    <n v="51000"/>
  </r>
  <r>
    <s v="TRX-202604-1634"/>
    <x v="462"/>
    <s v="CUST004"/>
    <s v="PRD005"/>
    <n v="4"/>
    <n v="105000"/>
    <n v="420000"/>
    <n v="280000"/>
    <n v="140000"/>
  </r>
  <r>
    <s v="TRX-202604-1635"/>
    <x v="462"/>
    <s v="CUST001"/>
    <s v="PRD005"/>
    <n v="3"/>
    <n v="105000"/>
    <n v="315000"/>
    <n v="210000"/>
    <n v="105000"/>
  </r>
  <r>
    <s v="TRX-202604-1636"/>
    <x v="462"/>
    <s v="CUST001"/>
    <s v="PRD009"/>
    <n v="5"/>
    <n v="52000"/>
    <n v="260000"/>
    <n v="175000"/>
    <n v="85000"/>
  </r>
  <r>
    <s v="TRX-202604-1637"/>
    <x v="463"/>
    <s v="CUST006"/>
    <s v="PRD007"/>
    <n v="3"/>
    <n v="225000"/>
    <n v="675000"/>
    <n v="540000"/>
    <n v="135000"/>
  </r>
  <r>
    <s v="TRX-202604-1637"/>
    <x v="463"/>
    <s v="CUST006"/>
    <s v="PRD002"/>
    <n v="5"/>
    <n v="70000"/>
    <n v="350000"/>
    <n v="225000"/>
    <n v="125000"/>
  </r>
  <r>
    <s v="TRX-202604-1638"/>
    <x v="463"/>
    <s v="CUST001"/>
    <s v="PRD006"/>
    <n v="4"/>
    <n v="110000"/>
    <n v="440000"/>
    <n v="300000"/>
    <n v="140000"/>
  </r>
  <r>
    <s v="TRX-202604-1638"/>
    <x v="463"/>
    <s v="CUST001"/>
    <s v="PRD011"/>
    <n v="8"/>
    <n v="35000"/>
    <n v="280000"/>
    <n v="176000"/>
    <n v="104000"/>
  </r>
  <r>
    <s v="TRX-202604-1639"/>
    <x v="463"/>
    <s v="CUST003"/>
    <s v="PRD008"/>
    <n v="6"/>
    <n v="40000"/>
    <n v="240000"/>
    <n v="168000"/>
    <n v="72000"/>
  </r>
  <r>
    <s v="TRX-202604-1639"/>
    <x v="463"/>
    <s v="CUST003"/>
    <s v="PRD011"/>
    <n v="2"/>
    <n v="35000"/>
    <n v="70000"/>
    <n v="44000"/>
    <n v="26000"/>
  </r>
  <r>
    <s v="TRX-202604-1639"/>
    <x v="463"/>
    <s v="CUST003"/>
    <s v="PRD003"/>
    <n v="3"/>
    <n v="130000"/>
    <n v="390000"/>
    <n v="255000"/>
    <n v="135000"/>
  </r>
  <r>
    <s v="TRX-202604-1640"/>
    <x v="463"/>
    <s v="CUST003"/>
    <s v="PRD010"/>
    <n v="6"/>
    <n v="20000"/>
    <n v="120000"/>
    <n v="72000"/>
    <n v="48000"/>
  </r>
  <r>
    <s v="TRX-202604-1640"/>
    <x v="463"/>
    <s v="CUST003"/>
    <s v="PRD001"/>
    <n v="7"/>
    <n v="175000"/>
    <n v="1225000"/>
    <n v="840000"/>
    <n v="385000"/>
  </r>
  <r>
    <s v="TRX-202604-1641"/>
    <x v="463"/>
    <s v="CUST007"/>
    <s v="PRD005"/>
    <n v="3"/>
    <n v="105000"/>
    <n v="315000"/>
    <n v="210000"/>
    <n v="105000"/>
  </r>
  <r>
    <s v="TRX-202604-1641"/>
    <x v="463"/>
    <s v="CUST007"/>
    <s v="PRD012"/>
    <n v="4"/>
    <n v="48000"/>
    <n v="192000"/>
    <n v="128000"/>
    <n v="64000"/>
  </r>
  <r>
    <s v="TRX-202604-1641"/>
    <x v="463"/>
    <s v="CUST007"/>
    <s v="PRD009"/>
    <n v="8"/>
    <n v="52000"/>
    <n v="416000"/>
    <n v="280000"/>
    <n v="136000"/>
  </r>
  <r>
    <s v="TRX-202604-1642"/>
    <x v="464"/>
    <s v="CUST008"/>
    <s v="PRD012"/>
    <n v="4"/>
    <n v="48000"/>
    <n v="192000"/>
    <n v="128000"/>
    <n v="64000"/>
  </r>
  <r>
    <s v="TRX-202604-1642"/>
    <x v="464"/>
    <s v="CUST008"/>
    <s v="PRD001"/>
    <n v="3"/>
    <n v="175000"/>
    <n v="525000"/>
    <n v="360000"/>
    <n v="165000"/>
  </r>
  <r>
    <s v="TRX-202604-1643"/>
    <x v="464"/>
    <s v="CUST006"/>
    <s v="PRD010"/>
    <n v="5"/>
    <n v="20000"/>
    <n v="100000"/>
    <n v="60000"/>
    <n v="40000"/>
  </r>
  <r>
    <s v="TRX-202604-1644"/>
    <x v="465"/>
    <s v="CUST007"/>
    <s v="PRD004"/>
    <n v="1"/>
    <n v="105000"/>
    <n v="105000"/>
    <n v="70000"/>
    <n v="35000"/>
  </r>
  <r>
    <s v="TRX-202604-1645"/>
    <x v="465"/>
    <s v="CUST004"/>
    <s v="PRD005"/>
    <n v="5"/>
    <n v="105000"/>
    <n v="525000"/>
    <n v="350000"/>
    <n v="175000"/>
  </r>
  <r>
    <s v="TRX-202604-1646"/>
    <x v="465"/>
    <s v="CUST005"/>
    <s v="PRD001"/>
    <n v="8"/>
    <n v="175000"/>
    <n v="1400000"/>
    <n v="960000"/>
    <n v="440000"/>
  </r>
  <r>
    <s v="TRX-202604-1646"/>
    <x v="465"/>
    <s v="CUST005"/>
    <s v="PRD005"/>
    <n v="6"/>
    <n v="105000"/>
    <n v="630000"/>
    <n v="420000"/>
    <n v="210000"/>
  </r>
  <r>
    <s v="TRX-202604-1647"/>
    <x v="465"/>
    <s v="CUST001"/>
    <s v="PRD008"/>
    <n v="3"/>
    <n v="40000"/>
    <n v="120000"/>
    <n v="84000"/>
    <n v="36000"/>
  </r>
  <r>
    <s v="TRX-202604-1647"/>
    <x v="465"/>
    <s v="CUST001"/>
    <s v="PRD001"/>
    <n v="1"/>
    <n v="175000"/>
    <n v="175000"/>
    <n v="120000"/>
    <n v="55000"/>
  </r>
  <r>
    <s v="TRX-202604-1648"/>
    <x v="466"/>
    <s v="CUST008"/>
    <s v="PRD008"/>
    <n v="3"/>
    <n v="40000"/>
    <n v="120000"/>
    <n v="84000"/>
    <n v="36000"/>
  </r>
  <r>
    <s v="TRX-202604-1648"/>
    <x v="466"/>
    <s v="CUST008"/>
    <s v="PRD006"/>
    <n v="3"/>
    <n v="110000"/>
    <n v="330000"/>
    <n v="225000"/>
    <n v="105000"/>
  </r>
  <r>
    <s v="TRX-202604-1649"/>
    <x v="466"/>
    <s v="CUST006"/>
    <s v="PRD003"/>
    <n v="2"/>
    <n v="130000"/>
    <n v="260000"/>
    <n v="170000"/>
    <n v="90000"/>
  </r>
  <r>
    <s v="TRX-202604-1649"/>
    <x v="466"/>
    <s v="CUST006"/>
    <s v="PRD001"/>
    <n v="7"/>
    <n v="175000"/>
    <n v="1225000"/>
    <n v="840000"/>
    <n v="385000"/>
  </r>
  <r>
    <s v="TRX-202604-1649"/>
    <x v="466"/>
    <s v="CUST006"/>
    <s v="PRD007"/>
    <n v="6"/>
    <n v="225000"/>
    <n v="1350000"/>
    <n v="1080000"/>
    <n v="270000"/>
  </r>
  <r>
    <s v="TRX-202604-1650"/>
    <x v="466"/>
    <s v="CUST002"/>
    <s v="PRD010"/>
    <n v="3"/>
    <n v="20000"/>
    <n v="60000"/>
    <n v="36000"/>
    <n v="24000"/>
  </r>
  <r>
    <s v="TRX-202604-1651"/>
    <x v="467"/>
    <s v="CUST005"/>
    <s v="PRD003"/>
    <n v="7"/>
    <n v="130000"/>
    <n v="910000"/>
    <n v="595000"/>
    <n v="315000"/>
  </r>
  <r>
    <s v="TRX-202604-1651"/>
    <x v="467"/>
    <s v="CUST005"/>
    <s v="PRD001"/>
    <n v="2"/>
    <n v="175000"/>
    <n v="350000"/>
    <n v="240000"/>
    <n v="110000"/>
  </r>
  <r>
    <s v="TRX-202604-1651"/>
    <x v="467"/>
    <s v="CUST005"/>
    <s v="PRD007"/>
    <n v="6"/>
    <n v="225000"/>
    <n v="1350000"/>
    <n v="1080000"/>
    <n v="270000"/>
  </r>
  <r>
    <s v="TRX-202604-1652"/>
    <x v="467"/>
    <s v="CUST005"/>
    <s v="PRD009"/>
    <n v="6"/>
    <n v="52000"/>
    <n v="312000"/>
    <n v="210000"/>
    <n v="102000"/>
  </r>
  <r>
    <s v="TRX-202604-1652"/>
    <x v="467"/>
    <s v="CUST005"/>
    <s v="PRD001"/>
    <n v="2"/>
    <n v="175000"/>
    <n v="350000"/>
    <n v="240000"/>
    <n v="110000"/>
  </r>
  <r>
    <s v="TRX-202604-1652"/>
    <x v="467"/>
    <s v="CUST005"/>
    <s v="PRD012"/>
    <n v="4"/>
    <n v="48000"/>
    <n v="192000"/>
    <n v="128000"/>
    <n v="64000"/>
  </r>
  <r>
    <s v="TRX-202604-1653"/>
    <x v="467"/>
    <s v="CUST004"/>
    <s v="PRD002"/>
    <n v="1"/>
    <n v="70000"/>
    <n v="70000"/>
    <n v="45000"/>
    <n v="25000"/>
  </r>
  <r>
    <s v="TRX-202604-1653"/>
    <x v="467"/>
    <s v="CUST004"/>
    <s v="PRD004"/>
    <n v="1"/>
    <n v="105000"/>
    <n v="105000"/>
    <n v="70000"/>
    <n v="35000"/>
  </r>
  <r>
    <s v="TRX-202604-1653"/>
    <x v="467"/>
    <s v="CUST004"/>
    <s v="PRD009"/>
    <n v="5"/>
    <n v="52000"/>
    <n v="260000"/>
    <n v="175000"/>
    <n v="85000"/>
  </r>
  <r>
    <s v="TRX-202604-1654"/>
    <x v="468"/>
    <s v="CUST005"/>
    <s v="PRD002"/>
    <n v="2"/>
    <n v="70000"/>
    <n v="140000"/>
    <n v="90000"/>
    <n v="50000"/>
  </r>
  <r>
    <s v="TRX-202604-1655"/>
    <x v="468"/>
    <s v="CUST006"/>
    <s v="PRD009"/>
    <n v="1"/>
    <n v="52000"/>
    <n v="52000"/>
    <n v="35000"/>
    <n v="17000"/>
  </r>
  <r>
    <s v="TRX-202604-1655"/>
    <x v="468"/>
    <s v="CUST006"/>
    <s v="PRD012"/>
    <n v="7"/>
    <n v="48000"/>
    <n v="336000"/>
    <n v="224000"/>
    <n v="112000"/>
  </r>
  <r>
    <s v="TRX-202604-1656"/>
    <x v="468"/>
    <s v="CUST005"/>
    <s v="PRD003"/>
    <n v="1"/>
    <n v="130000"/>
    <n v="130000"/>
    <n v="85000"/>
    <n v="45000"/>
  </r>
  <r>
    <s v="TRX-202604-1656"/>
    <x v="468"/>
    <s v="CUST005"/>
    <s v="PRD011"/>
    <n v="1"/>
    <n v="35000"/>
    <n v="35000"/>
    <n v="22000"/>
    <n v="13000"/>
  </r>
  <r>
    <s v="TRX-202604-1657"/>
    <x v="468"/>
    <s v="CUST007"/>
    <s v="PRD010"/>
    <n v="8"/>
    <n v="20000"/>
    <n v="160000"/>
    <n v="96000"/>
    <n v="64000"/>
  </r>
  <r>
    <s v="TRX-202604-1658"/>
    <x v="468"/>
    <s v="CUST008"/>
    <s v="PRD009"/>
    <n v="6"/>
    <n v="52000"/>
    <n v="312000"/>
    <n v="210000"/>
    <n v="102000"/>
  </r>
  <r>
    <s v="TRX-202604-1658"/>
    <x v="468"/>
    <s v="CUST008"/>
    <s v="PRD008"/>
    <n v="6"/>
    <n v="40000"/>
    <n v="240000"/>
    <n v="168000"/>
    <n v="72000"/>
  </r>
  <r>
    <s v="TRX-202604-1658"/>
    <x v="468"/>
    <s v="CUST008"/>
    <s v="PRD004"/>
    <n v="7"/>
    <n v="105000"/>
    <n v="735000"/>
    <n v="490000"/>
    <n v="245000"/>
  </r>
  <r>
    <s v="TRX-202604-1659"/>
    <x v="469"/>
    <s v="CUST002"/>
    <s v="PRD012"/>
    <n v="2"/>
    <n v="48000"/>
    <n v="96000"/>
    <n v="64000"/>
    <n v="32000"/>
  </r>
  <r>
    <s v="TRX-202604-1659"/>
    <x v="469"/>
    <s v="CUST002"/>
    <s v="PRD008"/>
    <n v="2"/>
    <n v="40000"/>
    <n v="80000"/>
    <n v="56000"/>
    <n v="24000"/>
  </r>
  <r>
    <s v="TRX-202604-1660"/>
    <x v="469"/>
    <s v="CUST008"/>
    <s v="PRD008"/>
    <n v="5"/>
    <n v="40000"/>
    <n v="200000"/>
    <n v="140000"/>
    <n v="60000"/>
  </r>
  <r>
    <s v="TRX-202604-1660"/>
    <x v="469"/>
    <s v="CUST008"/>
    <s v="PRD003"/>
    <n v="2"/>
    <n v="130000"/>
    <n v="260000"/>
    <n v="170000"/>
    <n v="90000"/>
  </r>
  <r>
    <s v="TRX-202604-1660"/>
    <x v="469"/>
    <s v="CUST008"/>
    <s v="PRD007"/>
    <n v="3"/>
    <n v="225000"/>
    <n v="675000"/>
    <n v="540000"/>
    <n v="135000"/>
  </r>
  <r>
    <s v="TRX-202604-1661"/>
    <x v="469"/>
    <s v="CUST004"/>
    <s v="PRD012"/>
    <n v="1"/>
    <n v="48000"/>
    <n v="48000"/>
    <n v="32000"/>
    <n v="16000"/>
  </r>
  <r>
    <s v="TRX-202604-1662"/>
    <x v="470"/>
    <s v="CUST001"/>
    <s v="PRD009"/>
    <n v="7"/>
    <n v="52000"/>
    <n v="364000"/>
    <n v="245000"/>
    <n v="119000"/>
  </r>
  <r>
    <s v="TRX-202604-1662"/>
    <x v="470"/>
    <s v="CUST001"/>
    <s v="PRD003"/>
    <n v="3"/>
    <n v="130000"/>
    <n v="390000"/>
    <n v="255000"/>
    <n v="135000"/>
  </r>
  <r>
    <s v="TRX-202604-1663"/>
    <x v="470"/>
    <s v="CUST001"/>
    <s v="PRD008"/>
    <n v="7"/>
    <n v="40000"/>
    <n v="280000"/>
    <n v="196000"/>
    <n v="84000"/>
  </r>
  <r>
    <s v="TRX-202604-1664"/>
    <x v="470"/>
    <s v="CUST007"/>
    <s v="PRD008"/>
    <n v="7"/>
    <n v="40000"/>
    <n v="280000"/>
    <n v="196000"/>
    <n v="84000"/>
  </r>
  <r>
    <s v="TRX-202604-1665"/>
    <x v="471"/>
    <s v="CUST005"/>
    <s v="PRD001"/>
    <n v="2"/>
    <n v="175000"/>
    <n v="350000"/>
    <n v="240000"/>
    <n v="110000"/>
  </r>
  <r>
    <s v="TRX-202604-1666"/>
    <x v="471"/>
    <s v="CUST004"/>
    <s v="PRD011"/>
    <n v="3"/>
    <n v="35000"/>
    <n v="105000"/>
    <n v="66000"/>
    <n v="39000"/>
  </r>
  <r>
    <s v="TRX-202604-1667"/>
    <x v="471"/>
    <s v="CUST004"/>
    <s v="PRD012"/>
    <n v="3"/>
    <n v="48000"/>
    <n v="144000"/>
    <n v="96000"/>
    <n v="48000"/>
  </r>
  <r>
    <s v="TRX-202604-1668"/>
    <x v="471"/>
    <s v="CUST002"/>
    <s v="PRD009"/>
    <n v="6"/>
    <n v="52000"/>
    <n v="312000"/>
    <n v="210000"/>
    <n v="102000"/>
  </r>
  <r>
    <s v="TRX-202604-1668"/>
    <x v="471"/>
    <s v="CUST002"/>
    <s v="PRD012"/>
    <n v="3"/>
    <n v="48000"/>
    <n v="144000"/>
    <n v="96000"/>
    <n v="48000"/>
  </r>
  <r>
    <s v="TRX-202604-1668"/>
    <x v="471"/>
    <s v="CUST002"/>
    <s v="PRD004"/>
    <n v="8"/>
    <n v="105000"/>
    <n v="840000"/>
    <n v="560000"/>
    <n v="280000"/>
  </r>
  <r>
    <s v="TRX-202604-1669"/>
    <x v="471"/>
    <s v="CUST002"/>
    <s v="PRD008"/>
    <n v="7"/>
    <n v="40000"/>
    <n v="280000"/>
    <n v="196000"/>
    <n v="84000"/>
  </r>
  <r>
    <s v="TRX-202604-1669"/>
    <x v="471"/>
    <s v="CUST002"/>
    <s v="PRD006"/>
    <n v="8"/>
    <n v="110000"/>
    <n v="880000"/>
    <n v="600000"/>
    <n v="280000"/>
  </r>
  <r>
    <s v="TRX-202604-1669"/>
    <x v="471"/>
    <s v="CUST002"/>
    <s v="PRD001"/>
    <n v="8"/>
    <n v="175000"/>
    <n v="1400000"/>
    <n v="960000"/>
    <n v="440000"/>
  </r>
  <r>
    <s v="TRX-202604-1670"/>
    <x v="472"/>
    <s v="CUST007"/>
    <s v="PRD009"/>
    <n v="5"/>
    <n v="52000"/>
    <n v="260000"/>
    <n v="175000"/>
    <n v="85000"/>
  </r>
  <r>
    <s v="TRX-202604-1670"/>
    <x v="472"/>
    <s v="CUST007"/>
    <s v="PRD011"/>
    <n v="6"/>
    <n v="35000"/>
    <n v="210000"/>
    <n v="132000"/>
    <n v="78000"/>
  </r>
  <r>
    <s v="TRX-202604-1670"/>
    <x v="472"/>
    <s v="CUST007"/>
    <s v="PRD004"/>
    <n v="8"/>
    <n v="105000"/>
    <n v="840000"/>
    <n v="560000"/>
    <n v="280000"/>
  </r>
  <r>
    <s v="TRX-202604-1671"/>
    <x v="472"/>
    <s v="CUST003"/>
    <s v="PRD011"/>
    <n v="7"/>
    <n v="35000"/>
    <n v="245000"/>
    <n v="154000"/>
    <n v="91000"/>
  </r>
  <r>
    <s v="TRX-202604-1671"/>
    <x v="472"/>
    <s v="CUST003"/>
    <s v="PRD001"/>
    <n v="7"/>
    <n v="175000"/>
    <n v="1225000"/>
    <n v="840000"/>
    <n v="385000"/>
  </r>
  <r>
    <s v="TRX-202604-1671"/>
    <x v="472"/>
    <s v="CUST003"/>
    <s v="PRD003"/>
    <n v="6"/>
    <n v="130000"/>
    <n v="780000"/>
    <n v="510000"/>
    <n v="270000"/>
  </r>
  <r>
    <s v="TRX-202604-1672"/>
    <x v="472"/>
    <s v="CUST007"/>
    <s v="PRD007"/>
    <n v="6"/>
    <n v="225000"/>
    <n v="1350000"/>
    <n v="1080000"/>
    <n v="270000"/>
  </r>
  <r>
    <s v="TRX-202604-1672"/>
    <x v="472"/>
    <s v="CUST007"/>
    <s v="PRD003"/>
    <n v="2"/>
    <n v="130000"/>
    <n v="260000"/>
    <n v="170000"/>
    <n v="90000"/>
  </r>
  <r>
    <s v="TRX-202604-1672"/>
    <x v="472"/>
    <s v="CUST007"/>
    <s v="PRD010"/>
    <n v="3"/>
    <n v="20000"/>
    <n v="60000"/>
    <n v="36000"/>
    <n v="24000"/>
  </r>
  <r>
    <s v="TRX-202604-1673"/>
    <x v="472"/>
    <s v="CUST006"/>
    <s v="PRD004"/>
    <n v="3"/>
    <n v="105000"/>
    <n v="315000"/>
    <n v="210000"/>
    <n v="105000"/>
  </r>
  <r>
    <s v="TRX-202604-1673"/>
    <x v="472"/>
    <s v="CUST006"/>
    <s v="PRD005"/>
    <n v="6"/>
    <n v="105000"/>
    <n v="630000"/>
    <n v="420000"/>
    <n v="210000"/>
  </r>
  <r>
    <s v="TRX-202604-1674"/>
    <x v="473"/>
    <s v="CUST008"/>
    <s v="PRD011"/>
    <n v="8"/>
    <n v="35000"/>
    <n v="280000"/>
    <n v="176000"/>
    <n v="104000"/>
  </r>
  <r>
    <s v="TRX-202604-1674"/>
    <x v="473"/>
    <s v="CUST008"/>
    <s v="PRD012"/>
    <n v="5"/>
    <n v="48000"/>
    <n v="240000"/>
    <n v="160000"/>
    <n v="80000"/>
  </r>
  <r>
    <s v="TRX-202604-1675"/>
    <x v="473"/>
    <s v="CUST006"/>
    <s v="PRD010"/>
    <n v="7"/>
    <n v="20000"/>
    <n v="140000"/>
    <n v="84000"/>
    <n v="56000"/>
  </r>
  <r>
    <s v="TRX-202604-1675"/>
    <x v="473"/>
    <s v="CUST006"/>
    <s v="PRD012"/>
    <n v="5"/>
    <n v="48000"/>
    <n v="240000"/>
    <n v="160000"/>
    <n v="80000"/>
  </r>
  <r>
    <s v="TRX-202604-1675"/>
    <x v="473"/>
    <s v="CUST006"/>
    <s v="PRD005"/>
    <n v="2"/>
    <n v="105000"/>
    <n v="210000"/>
    <n v="140000"/>
    <n v="70000"/>
  </r>
  <r>
    <s v="TRX-202604-1676"/>
    <x v="474"/>
    <s v="CUST007"/>
    <s v="PRD006"/>
    <n v="3"/>
    <n v="110000"/>
    <n v="330000"/>
    <n v="225000"/>
    <n v="105000"/>
  </r>
  <r>
    <s v="TRX-202604-1677"/>
    <x v="474"/>
    <s v="CUST002"/>
    <s v="PRD003"/>
    <n v="7"/>
    <n v="130000"/>
    <n v="910000"/>
    <n v="595000"/>
    <n v="315000"/>
  </r>
  <r>
    <s v="TRX-202604-1678"/>
    <x v="474"/>
    <s v="CUST003"/>
    <s v="PRD001"/>
    <n v="7"/>
    <n v="175000"/>
    <n v="1225000"/>
    <n v="840000"/>
    <n v="385000"/>
  </r>
  <r>
    <s v="TRX-202604-1678"/>
    <x v="474"/>
    <s v="CUST003"/>
    <s v="PRD007"/>
    <n v="5"/>
    <n v="225000"/>
    <n v="1125000"/>
    <n v="900000"/>
    <n v="225000"/>
  </r>
  <r>
    <s v="TRX-202604-1679"/>
    <x v="475"/>
    <s v="CUST005"/>
    <s v="PRD002"/>
    <n v="7"/>
    <n v="70000"/>
    <n v="490000"/>
    <n v="315000"/>
    <n v="175000"/>
  </r>
  <r>
    <s v="TRX-202604-1679"/>
    <x v="475"/>
    <s v="CUST005"/>
    <s v="PRD009"/>
    <n v="4"/>
    <n v="52000"/>
    <n v="208000"/>
    <n v="140000"/>
    <n v="68000"/>
  </r>
  <r>
    <s v="TRX-202604-1679"/>
    <x v="475"/>
    <s v="CUST005"/>
    <s v="PRD006"/>
    <n v="1"/>
    <n v="110000"/>
    <n v="110000"/>
    <n v="75000"/>
    <n v="35000"/>
  </r>
  <r>
    <s v="TRX-202604-1680"/>
    <x v="475"/>
    <s v="CUST003"/>
    <s v="PRD006"/>
    <n v="1"/>
    <n v="110000"/>
    <n v="110000"/>
    <n v="75000"/>
    <n v="35000"/>
  </r>
  <r>
    <s v="TRX-202604-1680"/>
    <x v="475"/>
    <s v="CUST003"/>
    <s v="PRD001"/>
    <n v="1"/>
    <n v="175000"/>
    <n v="175000"/>
    <n v="120000"/>
    <n v="55000"/>
  </r>
  <r>
    <s v="TRX-202604-1681"/>
    <x v="475"/>
    <s v="CUST004"/>
    <s v="PRD011"/>
    <n v="6"/>
    <n v="35000"/>
    <n v="210000"/>
    <n v="132000"/>
    <n v="78000"/>
  </r>
  <r>
    <s v="TRX-202604-1682"/>
    <x v="475"/>
    <s v="CUST007"/>
    <s v="PRD007"/>
    <n v="6"/>
    <n v="225000"/>
    <n v="1350000"/>
    <n v="1080000"/>
    <n v="270000"/>
  </r>
  <r>
    <s v="TRX-202604-1682"/>
    <x v="475"/>
    <s v="CUST007"/>
    <s v="PRD002"/>
    <n v="4"/>
    <n v="70000"/>
    <n v="280000"/>
    <n v="180000"/>
    <n v="100000"/>
  </r>
  <r>
    <s v="TRX-202604-1682"/>
    <x v="475"/>
    <s v="CUST007"/>
    <s v="PRD010"/>
    <n v="1"/>
    <n v="20000"/>
    <n v="20000"/>
    <n v="12000"/>
    <n v="8000"/>
  </r>
  <r>
    <s v="TRX-202604-1683"/>
    <x v="475"/>
    <s v="CUST006"/>
    <s v="PRD005"/>
    <n v="5"/>
    <n v="105000"/>
    <n v="525000"/>
    <n v="350000"/>
    <n v="175000"/>
  </r>
  <r>
    <s v="TRX-202604-1683"/>
    <x v="475"/>
    <s v="CUST006"/>
    <s v="PRD002"/>
    <n v="4"/>
    <n v="70000"/>
    <n v="280000"/>
    <n v="180000"/>
    <n v="100000"/>
  </r>
  <r>
    <s v="TRX-202604-1684"/>
    <x v="476"/>
    <s v="CUST005"/>
    <s v="PRD005"/>
    <n v="3"/>
    <n v="105000"/>
    <n v="315000"/>
    <n v="210000"/>
    <n v="105000"/>
  </r>
  <r>
    <s v="TRX-202604-1684"/>
    <x v="476"/>
    <s v="CUST005"/>
    <s v="PRD012"/>
    <n v="1"/>
    <n v="48000"/>
    <n v="48000"/>
    <n v="32000"/>
    <n v="16000"/>
  </r>
  <r>
    <s v="TRX-202604-1685"/>
    <x v="476"/>
    <s v="CUST007"/>
    <s v="PRD005"/>
    <n v="6"/>
    <n v="105000"/>
    <n v="630000"/>
    <n v="420000"/>
    <n v="210000"/>
  </r>
  <r>
    <s v="TRX-202604-1685"/>
    <x v="476"/>
    <s v="CUST007"/>
    <s v="PRD011"/>
    <n v="7"/>
    <n v="35000"/>
    <n v="245000"/>
    <n v="154000"/>
    <n v="91000"/>
  </r>
  <r>
    <s v="TRX-202604-1686"/>
    <x v="476"/>
    <s v="CUST007"/>
    <s v="PRD003"/>
    <n v="1"/>
    <n v="130000"/>
    <n v="130000"/>
    <n v="85000"/>
    <n v="45000"/>
  </r>
  <r>
    <s v="TRX-202604-1686"/>
    <x v="476"/>
    <s v="CUST007"/>
    <s v="PRD005"/>
    <n v="7"/>
    <n v="105000"/>
    <n v="735000"/>
    <n v="490000"/>
    <n v="245000"/>
  </r>
  <r>
    <s v="TRX-202604-1687"/>
    <x v="477"/>
    <s v="CUST008"/>
    <s v="PRD008"/>
    <n v="5"/>
    <n v="40000"/>
    <n v="200000"/>
    <n v="140000"/>
    <n v="60000"/>
  </r>
  <r>
    <s v="TRX-202604-1687"/>
    <x v="477"/>
    <s v="CUST008"/>
    <s v="PRD007"/>
    <n v="5"/>
    <n v="225000"/>
    <n v="1125000"/>
    <n v="900000"/>
    <n v="225000"/>
  </r>
  <r>
    <s v="TRX-202604-1688"/>
    <x v="477"/>
    <s v="CUST006"/>
    <s v="PRD010"/>
    <n v="7"/>
    <n v="20000"/>
    <n v="140000"/>
    <n v="84000"/>
    <n v="56000"/>
  </r>
  <r>
    <s v="TRX-202604-1688"/>
    <x v="477"/>
    <s v="CUST006"/>
    <s v="PRD004"/>
    <n v="6"/>
    <n v="105000"/>
    <n v="630000"/>
    <n v="420000"/>
    <n v="210000"/>
  </r>
  <r>
    <s v="TRX-202604-1689"/>
    <x v="477"/>
    <s v="CUST003"/>
    <s v="PRD004"/>
    <n v="4"/>
    <n v="105000"/>
    <n v="420000"/>
    <n v="280000"/>
    <n v="140000"/>
  </r>
  <r>
    <s v="TRX-202604-1690"/>
    <x v="477"/>
    <s v="CUST006"/>
    <s v="PRD008"/>
    <n v="2"/>
    <n v="40000"/>
    <n v="80000"/>
    <n v="56000"/>
    <n v="24000"/>
  </r>
  <r>
    <s v="TRX-202604-1691"/>
    <x v="478"/>
    <s v="CUST006"/>
    <s v="PRD006"/>
    <n v="6"/>
    <n v="110000"/>
    <n v="660000"/>
    <n v="450000"/>
    <n v="210000"/>
  </r>
  <r>
    <s v="TRX-202604-1691"/>
    <x v="478"/>
    <s v="CUST006"/>
    <s v="PRD011"/>
    <n v="3"/>
    <n v="35000"/>
    <n v="105000"/>
    <n v="66000"/>
    <n v="39000"/>
  </r>
  <r>
    <s v="TRX-202604-1691"/>
    <x v="478"/>
    <s v="CUST006"/>
    <s v="PRD012"/>
    <n v="3"/>
    <n v="48000"/>
    <n v="144000"/>
    <n v="96000"/>
    <n v="48000"/>
  </r>
  <r>
    <s v="TRX-202604-1692"/>
    <x v="478"/>
    <s v="CUST005"/>
    <s v="PRD011"/>
    <n v="6"/>
    <n v="35000"/>
    <n v="210000"/>
    <n v="132000"/>
    <n v="78000"/>
  </r>
  <r>
    <s v="TRX-202604-1693"/>
    <x v="478"/>
    <s v="CUST003"/>
    <s v="PRD006"/>
    <n v="2"/>
    <n v="110000"/>
    <n v="220000"/>
    <n v="150000"/>
    <n v="70000"/>
  </r>
  <r>
    <s v="TRX-202604-1693"/>
    <x v="478"/>
    <s v="CUST003"/>
    <s v="PRD002"/>
    <n v="6"/>
    <n v="70000"/>
    <n v="420000"/>
    <n v="270000"/>
    <n v="150000"/>
  </r>
  <r>
    <s v="TRX-202604-1693"/>
    <x v="478"/>
    <s v="CUST003"/>
    <s v="PRD007"/>
    <n v="8"/>
    <n v="225000"/>
    <n v="1800000"/>
    <n v="1440000"/>
    <n v="360000"/>
  </r>
  <r>
    <s v="TRX-202604-1694"/>
    <x v="479"/>
    <s v="CUST002"/>
    <s v="PRD002"/>
    <n v="5"/>
    <n v="70000"/>
    <n v="350000"/>
    <n v="225000"/>
    <n v="125000"/>
  </r>
  <r>
    <s v="TRX-202604-1694"/>
    <x v="479"/>
    <s v="CUST002"/>
    <s v="PRD006"/>
    <n v="8"/>
    <n v="110000"/>
    <n v="880000"/>
    <n v="600000"/>
    <n v="280000"/>
  </r>
  <r>
    <s v="TRX-202604-1695"/>
    <x v="479"/>
    <s v="CUST004"/>
    <s v="PRD005"/>
    <n v="4"/>
    <n v="105000"/>
    <n v="420000"/>
    <n v="280000"/>
    <n v="140000"/>
  </r>
  <r>
    <s v="TRX-202604-1695"/>
    <x v="479"/>
    <s v="CUST004"/>
    <s v="PRD010"/>
    <n v="1"/>
    <n v="20000"/>
    <n v="20000"/>
    <n v="12000"/>
    <n v="8000"/>
  </r>
  <r>
    <s v="TRX-202604-1696"/>
    <x v="479"/>
    <s v="CUST006"/>
    <s v="PRD008"/>
    <n v="1"/>
    <n v="40000"/>
    <n v="40000"/>
    <n v="28000"/>
    <n v="12000"/>
  </r>
  <r>
    <s v="TRX-202604-1697"/>
    <x v="479"/>
    <s v="CUST004"/>
    <s v="PRD002"/>
    <n v="4"/>
    <n v="70000"/>
    <n v="280000"/>
    <n v="180000"/>
    <n v="100000"/>
  </r>
  <r>
    <s v="TRX-202604-1698"/>
    <x v="480"/>
    <s v="CUST003"/>
    <s v="PRD011"/>
    <n v="6"/>
    <n v="35000"/>
    <n v="210000"/>
    <n v="132000"/>
    <n v="78000"/>
  </r>
  <r>
    <s v="TRX-202604-1698"/>
    <x v="480"/>
    <s v="CUST003"/>
    <s v="PRD002"/>
    <n v="3"/>
    <n v="70000"/>
    <n v="210000"/>
    <n v="135000"/>
    <n v="75000"/>
  </r>
  <r>
    <s v="TRX-202604-1699"/>
    <x v="480"/>
    <s v="CUST002"/>
    <s v="PRD012"/>
    <n v="7"/>
    <n v="48000"/>
    <n v="336000"/>
    <n v="224000"/>
    <n v="112000"/>
  </r>
  <r>
    <s v="TRX-202604-1699"/>
    <x v="480"/>
    <s v="CUST002"/>
    <s v="PRD005"/>
    <n v="6"/>
    <n v="105000"/>
    <n v="630000"/>
    <n v="420000"/>
    <n v="210000"/>
  </r>
  <r>
    <s v="TRX-202604-1700"/>
    <x v="480"/>
    <s v="CUST004"/>
    <s v="PRD012"/>
    <n v="8"/>
    <n v="48000"/>
    <n v="384000"/>
    <n v="256000"/>
    <n v="128000"/>
  </r>
  <r>
    <s v="TRX-202604-1700"/>
    <x v="480"/>
    <s v="CUST004"/>
    <s v="PRD004"/>
    <n v="1"/>
    <n v="105000"/>
    <n v="105000"/>
    <n v="70000"/>
    <n v="35000"/>
  </r>
  <r>
    <s v="TRX-202604-1701"/>
    <x v="480"/>
    <s v="CUST002"/>
    <s v="PRD010"/>
    <n v="7"/>
    <n v="20000"/>
    <n v="140000"/>
    <n v="84000"/>
    <n v="56000"/>
  </r>
  <r>
    <s v="TRX-202604-1701"/>
    <x v="480"/>
    <s v="CUST002"/>
    <s v="PRD002"/>
    <n v="8"/>
    <n v="70000"/>
    <n v="560000"/>
    <n v="360000"/>
    <n v="200000"/>
  </r>
  <r>
    <s v="TRX-202604-1701"/>
    <x v="480"/>
    <s v="CUST002"/>
    <s v="PRD006"/>
    <n v="4"/>
    <n v="110000"/>
    <n v="440000"/>
    <n v="300000"/>
    <n v="140000"/>
  </r>
  <r>
    <s v="TRX-202604-1702"/>
    <x v="480"/>
    <s v="CUST005"/>
    <s v="PRD007"/>
    <n v="2"/>
    <n v="225000"/>
    <n v="450000"/>
    <n v="360000"/>
    <n v="90000"/>
  </r>
  <r>
    <s v="TRX-202604-1702"/>
    <x v="480"/>
    <s v="CUST005"/>
    <s v="PRD008"/>
    <n v="8"/>
    <n v="40000"/>
    <n v="320000"/>
    <n v="224000"/>
    <n v="96000"/>
  </r>
  <r>
    <s v="TRX-202604-1703"/>
    <x v="481"/>
    <s v="CUST001"/>
    <s v="PRD010"/>
    <n v="8"/>
    <n v="20000"/>
    <n v="160000"/>
    <n v="96000"/>
    <n v="64000"/>
  </r>
  <r>
    <s v="TRX-202604-1703"/>
    <x v="481"/>
    <s v="CUST001"/>
    <s v="PRD009"/>
    <n v="4"/>
    <n v="52000"/>
    <n v="208000"/>
    <n v="140000"/>
    <n v="68000"/>
  </r>
  <r>
    <s v="TRX-202604-1703"/>
    <x v="481"/>
    <s v="CUST001"/>
    <s v="PRD006"/>
    <n v="1"/>
    <n v="110000"/>
    <n v="110000"/>
    <n v="75000"/>
    <n v="35000"/>
  </r>
  <r>
    <s v="TRX-202604-1704"/>
    <x v="481"/>
    <s v="CUST004"/>
    <s v="PRD012"/>
    <n v="2"/>
    <n v="48000"/>
    <n v="96000"/>
    <n v="64000"/>
    <n v="32000"/>
  </r>
  <r>
    <s v="TRX-202604-1704"/>
    <x v="481"/>
    <s v="CUST004"/>
    <s v="PRD006"/>
    <n v="2"/>
    <n v="110000"/>
    <n v="220000"/>
    <n v="150000"/>
    <n v="70000"/>
  </r>
  <r>
    <s v="TRX-202604-1704"/>
    <x v="481"/>
    <s v="CUST004"/>
    <s v="PRD003"/>
    <n v="7"/>
    <n v="130000"/>
    <n v="910000"/>
    <n v="595000"/>
    <n v="315000"/>
  </r>
  <r>
    <s v="TRX-202604-1705"/>
    <x v="482"/>
    <s v="CUST001"/>
    <s v="PRD003"/>
    <n v="2"/>
    <n v="130000"/>
    <n v="260000"/>
    <n v="170000"/>
    <n v="90000"/>
  </r>
  <r>
    <s v="TRX-202604-1706"/>
    <x v="482"/>
    <s v="CUST008"/>
    <s v="PRD010"/>
    <n v="2"/>
    <n v="20000"/>
    <n v="40000"/>
    <n v="24000"/>
    <n v="16000"/>
  </r>
  <r>
    <s v="TRX-202604-1706"/>
    <x v="482"/>
    <s v="CUST008"/>
    <s v="PRD008"/>
    <n v="3"/>
    <n v="40000"/>
    <n v="120000"/>
    <n v="84000"/>
    <n v="36000"/>
  </r>
  <r>
    <s v="TRX-202604-1706"/>
    <x v="482"/>
    <s v="CUST008"/>
    <s v="PRD009"/>
    <n v="5"/>
    <n v="52000"/>
    <n v="260000"/>
    <n v="175000"/>
    <n v="85000"/>
  </r>
  <r>
    <s v="TRX-202604-1707"/>
    <x v="483"/>
    <s v="CUST004"/>
    <s v="PRD009"/>
    <n v="2"/>
    <n v="52000"/>
    <n v="104000"/>
    <n v="70000"/>
    <n v="34000"/>
  </r>
  <r>
    <s v="TRX-202604-1707"/>
    <x v="483"/>
    <s v="CUST004"/>
    <s v="PRD006"/>
    <n v="2"/>
    <n v="110000"/>
    <n v="220000"/>
    <n v="150000"/>
    <n v="70000"/>
  </r>
  <r>
    <s v="TRX-202604-1707"/>
    <x v="483"/>
    <s v="CUST004"/>
    <s v="PRD007"/>
    <n v="4"/>
    <n v="225000"/>
    <n v="900000"/>
    <n v="720000"/>
    <n v="180000"/>
  </r>
  <r>
    <s v="TRX-202604-1708"/>
    <x v="483"/>
    <s v="CUST008"/>
    <s v="PRD002"/>
    <n v="1"/>
    <n v="70000"/>
    <n v="70000"/>
    <n v="45000"/>
    <n v="25000"/>
  </r>
  <r>
    <s v="TRX-202604-1708"/>
    <x v="483"/>
    <s v="CUST008"/>
    <s v="PRD005"/>
    <n v="1"/>
    <n v="105000"/>
    <n v="105000"/>
    <n v="70000"/>
    <n v="35000"/>
  </r>
  <r>
    <s v="TRX-202604-1708"/>
    <x v="483"/>
    <s v="CUST008"/>
    <s v="PRD006"/>
    <n v="3"/>
    <n v="110000"/>
    <n v="330000"/>
    <n v="225000"/>
    <n v="105000"/>
  </r>
  <r>
    <s v="TRX-202604-1709"/>
    <x v="484"/>
    <s v="CUST007"/>
    <s v="PRD012"/>
    <n v="2"/>
    <n v="48000"/>
    <n v="96000"/>
    <n v="64000"/>
    <n v="32000"/>
  </r>
  <r>
    <s v="TRX-202604-1710"/>
    <x v="484"/>
    <s v="CUST002"/>
    <s v="PRD004"/>
    <n v="1"/>
    <n v="105000"/>
    <n v="105000"/>
    <n v="70000"/>
    <n v="35000"/>
  </r>
  <r>
    <s v="TRX-202604-1710"/>
    <x v="484"/>
    <s v="CUST002"/>
    <s v="PRD010"/>
    <n v="4"/>
    <n v="20000"/>
    <n v="80000"/>
    <n v="48000"/>
    <n v="32000"/>
  </r>
  <r>
    <s v="TRX-202604-1710"/>
    <x v="484"/>
    <s v="CUST002"/>
    <s v="PRD002"/>
    <n v="3"/>
    <n v="70000"/>
    <n v="210000"/>
    <n v="135000"/>
    <n v="75000"/>
  </r>
  <r>
    <s v="TRX-202604-1711"/>
    <x v="484"/>
    <s v="CUST008"/>
    <s v="PRD003"/>
    <n v="6"/>
    <n v="130000"/>
    <n v="780000"/>
    <n v="510000"/>
    <n v="270000"/>
  </r>
  <r>
    <s v="TRX-202604-1711"/>
    <x v="484"/>
    <s v="CUST008"/>
    <s v="PRD011"/>
    <n v="6"/>
    <n v="35000"/>
    <n v="210000"/>
    <n v="132000"/>
    <n v="78000"/>
  </r>
  <r>
    <s v="TRX-202605-1712"/>
    <x v="485"/>
    <s v="CUST004"/>
    <s v="PRD007"/>
    <n v="8"/>
    <n v="225000"/>
    <n v="1800000"/>
    <n v="1440000"/>
    <n v="360000"/>
  </r>
  <r>
    <s v="TRX-202605-1712"/>
    <x v="485"/>
    <s v="CUST004"/>
    <s v="PRD003"/>
    <n v="2"/>
    <n v="130000"/>
    <n v="260000"/>
    <n v="170000"/>
    <n v="90000"/>
  </r>
  <r>
    <s v="TRX-202605-1713"/>
    <x v="485"/>
    <s v="CUST004"/>
    <s v="PRD006"/>
    <n v="7"/>
    <n v="110000"/>
    <n v="770000"/>
    <n v="525000"/>
    <n v="245000"/>
  </r>
  <r>
    <s v="TRX-202605-1713"/>
    <x v="485"/>
    <s v="CUST004"/>
    <s v="PRD009"/>
    <n v="4"/>
    <n v="52000"/>
    <n v="208000"/>
    <n v="140000"/>
    <n v="68000"/>
  </r>
  <r>
    <s v="TRX-202605-1713"/>
    <x v="485"/>
    <s v="CUST004"/>
    <s v="PRD010"/>
    <n v="4"/>
    <n v="20000"/>
    <n v="80000"/>
    <n v="48000"/>
    <n v="32000"/>
  </r>
  <r>
    <s v="TRX-202605-1714"/>
    <x v="485"/>
    <s v="CUST006"/>
    <s v="PRD010"/>
    <n v="1"/>
    <n v="20000"/>
    <n v="20000"/>
    <n v="12000"/>
    <n v="8000"/>
  </r>
  <r>
    <s v="TRX-202605-1715"/>
    <x v="485"/>
    <s v="CUST001"/>
    <s v="PRD006"/>
    <n v="7"/>
    <n v="110000"/>
    <n v="770000"/>
    <n v="525000"/>
    <n v="245000"/>
  </r>
  <r>
    <s v="TRX-202605-1715"/>
    <x v="485"/>
    <s v="CUST001"/>
    <s v="PRD009"/>
    <n v="2"/>
    <n v="52000"/>
    <n v="104000"/>
    <n v="70000"/>
    <n v="34000"/>
  </r>
  <r>
    <s v="TRX-202605-1715"/>
    <x v="485"/>
    <s v="CUST001"/>
    <s v="PRD012"/>
    <n v="6"/>
    <n v="48000"/>
    <n v="288000"/>
    <n v="192000"/>
    <n v="96000"/>
  </r>
  <r>
    <s v="TRX-202605-1716"/>
    <x v="485"/>
    <s v="CUST005"/>
    <s v="PRD011"/>
    <n v="2"/>
    <n v="35000"/>
    <n v="70000"/>
    <n v="44000"/>
    <n v="26000"/>
  </r>
  <r>
    <s v="TRX-202605-1716"/>
    <x v="485"/>
    <s v="CUST005"/>
    <s v="PRD004"/>
    <n v="6"/>
    <n v="105000"/>
    <n v="630000"/>
    <n v="420000"/>
    <n v="210000"/>
  </r>
  <r>
    <s v="TRX-202605-1717"/>
    <x v="486"/>
    <s v="CUST007"/>
    <s v="PRD006"/>
    <n v="4"/>
    <n v="110000"/>
    <n v="440000"/>
    <n v="300000"/>
    <n v="140000"/>
  </r>
  <r>
    <s v="TRX-202605-1718"/>
    <x v="486"/>
    <s v="CUST005"/>
    <s v="PRD009"/>
    <n v="2"/>
    <n v="52000"/>
    <n v="104000"/>
    <n v="70000"/>
    <n v="34000"/>
  </r>
  <r>
    <s v="TRX-202605-1719"/>
    <x v="486"/>
    <s v="CUST007"/>
    <s v="PRD005"/>
    <n v="7"/>
    <n v="105000"/>
    <n v="735000"/>
    <n v="490000"/>
    <n v="245000"/>
  </r>
  <r>
    <s v="TRX-202605-1719"/>
    <x v="486"/>
    <s v="CUST007"/>
    <s v="PRD002"/>
    <n v="2"/>
    <n v="70000"/>
    <n v="140000"/>
    <n v="90000"/>
    <n v="50000"/>
  </r>
  <r>
    <s v="TRX-202605-1720"/>
    <x v="486"/>
    <s v="CUST001"/>
    <s v="PRD010"/>
    <n v="8"/>
    <n v="20000"/>
    <n v="160000"/>
    <n v="96000"/>
    <n v="64000"/>
  </r>
  <r>
    <s v="TRX-202605-1721"/>
    <x v="486"/>
    <s v="CUST006"/>
    <s v="PRD004"/>
    <n v="5"/>
    <n v="105000"/>
    <n v="525000"/>
    <n v="350000"/>
    <n v="175000"/>
  </r>
  <r>
    <s v="TRX-202605-1721"/>
    <x v="486"/>
    <s v="CUST006"/>
    <s v="PRD006"/>
    <n v="7"/>
    <n v="110000"/>
    <n v="770000"/>
    <n v="525000"/>
    <n v="245000"/>
  </r>
  <r>
    <s v="TRX-202605-1721"/>
    <x v="486"/>
    <s v="CUST006"/>
    <s v="PRD009"/>
    <n v="5"/>
    <n v="52000"/>
    <n v="260000"/>
    <n v="175000"/>
    <n v="85000"/>
  </r>
  <r>
    <s v="TRX-202605-1722"/>
    <x v="487"/>
    <s v="CUST004"/>
    <s v="PRD010"/>
    <n v="7"/>
    <n v="20000"/>
    <n v="140000"/>
    <n v="84000"/>
    <n v="56000"/>
  </r>
  <r>
    <s v="TRX-202605-1723"/>
    <x v="487"/>
    <s v="CUST001"/>
    <s v="PRD008"/>
    <n v="5"/>
    <n v="40000"/>
    <n v="200000"/>
    <n v="140000"/>
    <n v="60000"/>
  </r>
  <r>
    <s v="TRX-202605-1723"/>
    <x v="487"/>
    <s v="CUST001"/>
    <s v="PRD007"/>
    <n v="1"/>
    <n v="225000"/>
    <n v="225000"/>
    <n v="180000"/>
    <n v="45000"/>
  </r>
  <r>
    <s v="TRX-202605-1724"/>
    <x v="487"/>
    <s v="CUST003"/>
    <s v="PRD009"/>
    <n v="5"/>
    <n v="52000"/>
    <n v="260000"/>
    <n v="175000"/>
    <n v="85000"/>
  </r>
  <r>
    <s v="TRX-202605-1725"/>
    <x v="487"/>
    <s v="CUST008"/>
    <s v="PRD006"/>
    <n v="2"/>
    <n v="110000"/>
    <n v="220000"/>
    <n v="150000"/>
    <n v="70000"/>
  </r>
  <r>
    <s v="TRX-202605-1725"/>
    <x v="487"/>
    <s v="CUST008"/>
    <s v="PRD012"/>
    <n v="4"/>
    <n v="48000"/>
    <n v="192000"/>
    <n v="128000"/>
    <n v="64000"/>
  </r>
  <r>
    <s v="TRX-202605-1726"/>
    <x v="488"/>
    <s v="CUST004"/>
    <s v="PRD008"/>
    <n v="4"/>
    <n v="40000"/>
    <n v="160000"/>
    <n v="112000"/>
    <n v="48000"/>
  </r>
  <r>
    <s v="TRX-202605-1726"/>
    <x v="488"/>
    <s v="CUST004"/>
    <s v="PRD012"/>
    <n v="4"/>
    <n v="48000"/>
    <n v="192000"/>
    <n v="128000"/>
    <n v="64000"/>
  </r>
  <r>
    <s v="TRX-202605-1726"/>
    <x v="488"/>
    <s v="CUST004"/>
    <s v="PRD006"/>
    <n v="4"/>
    <n v="110000"/>
    <n v="440000"/>
    <n v="300000"/>
    <n v="140000"/>
  </r>
  <r>
    <s v="TRX-202605-1727"/>
    <x v="488"/>
    <s v="CUST007"/>
    <s v="PRD008"/>
    <n v="1"/>
    <n v="40000"/>
    <n v="40000"/>
    <n v="28000"/>
    <n v="12000"/>
  </r>
  <r>
    <s v="TRX-202605-1727"/>
    <x v="488"/>
    <s v="CUST007"/>
    <s v="PRD012"/>
    <n v="5"/>
    <n v="48000"/>
    <n v="240000"/>
    <n v="160000"/>
    <n v="80000"/>
  </r>
  <r>
    <s v="TRX-202605-1728"/>
    <x v="488"/>
    <s v="CUST002"/>
    <s v="PRD012"/>
    <n v="1"/>
    <n v="48000"/>
    <n v="48000"/>
    <n v="32000"/>
    <n v="16000"/>
  </r>
  <r>
    <s v="TRX-202605-1729"/>
    <x v="488"/>
    <s v="CUST001"/>
    <s v="PRD002"/>
    <n v="7"/>
    <n v="70000"/>
    <n v="490000"/>
    <n v="315000"/>
    <n v="175000"/>
  </r>
  <r>
    <s v="TRX-202605-1729"/>
    <x v="488"/>
    <s v="CUST001"/>
    <s v="PRD006"/>
    <n v="1"/>
    <n v="110000"/>
    <n v="110000"/>
    <n v="75000"/>
    <n v="35000"/>
  </r>
  <r>
    <s v="TRX-202605-1729"/>
    <x v="488"/>
    <s v="CUST001"/>
    <s v="PRD004"/>
    <n v="3"/>
    <n v="105000"/>
    <n v="315000"/>
    <n v="210000"/>
    <n v="105000"/>
  </r>
  <r>
    <s v="TRX-202605-1730"/>
    <x v="488"/>
    <s v="CUST003"/>
    <s v="PRD003"/>
    <n v="5"/>
    <n v="130000"/>
    <n v="650000"/>
    <n v="425000"/>
    <n v="225000"/>
  </r>
  <r>
    <s v="TRX-202605-1730"/>
    <x v="488"/>
    <s v="CUST003"/>
    <s v="PRD006"/>
    <n v="3"/>
    <n v="110000"/>
    <n v="330000"/>
    <n v="225000"/>
    <n v="105000"/>
  </r>
  <r>
    <s v="TRX-202605-1731"/>
    <x v="489"/>
    <s v="CUST003"/>
    <s v="PRD006"/>
    <n v="2"/>
    <n v="110000"/>
    <n v="220000"/>
    <n v="150000"/>
    <n v="70000"/>
  </r>
  <r>
    <s v="TRX-202605-1731"/>
    <x v="489"/>
    <s v="CUST003"/>
    <s v="PRD004"/>
    <n v="1"/>
    <n v="105000"/>
    <n v="105000"/>
    <n v="70000"/>
    <n v="35000"/>
  </r>
  <r>
    <s v="TRX-202605-1732"/>
    <x v="489"/>
    <s v="CUST008"/>
    <s v="PRD010"/>
    <n v="3"/>
    <n v="20000"/>
    <n v="60000"/>
    <n v="36000"/>
    <n v="24000"/>
  </r>
  <r>
    <s v="TRX-202605-1732"/>
    <x v="489"/>
    <s v="CUST008"/>
    <s v="PRD005"/>
    <n v="3"/>
    <n v="105000"/>
    <n v="315000"/>
    <n v="210000"/>
    <n v="105000"/>
  </r>
  <r>
    <s v="TRX-202605-1732"/>
    <x v="489"/>
    <s v="CUST008"/>
    <s v="PRD002"/>
    <n v="5"/>
    <n v="70000"/>
    <n v="350000"/>
    <n v="225000"/>
    <n v="125000"/>
  </r>
  <r>
    <s v="TRX-202605-1733"/>
    <x v="489"/>
    <s v="CUST008"/>
    <s v="PRD010"/>
    <n v="8"/>
    <n v="20000"/>
    <n v="160000"/>
    <n v="96000"/>
    <n v="64000"/>
  </r>
  <r>
    <s v="TRX-202605-1734"/>
    <x v="490"/>
    <s v="CUST005"/>
    <s v="PRD009"/>
    <n v="2"/>
    <n v="52000"/>
    <n v="104000"/>
    <n v="70000"/>
    <n v="34000"/>
  </r>
  <r>
    <s v="TRX-202605-1734"/>
    <x v="490"/>
    <s v="CUST005"/>
    <s v="PRD007"/>
    <n v="7"/>
    <n v="225000"/>
    <n v="1575000"/>
    <n v="1260000"/>
    <n v="315000"/>
  </r>
  <r>
    <s v="TRX-202605-1735"/>
    <x v="490"/>
    <s v="CUST004"/>
    <s v="PRD008"/>
    <n v="1"/>
    <n v="40000"/>
    <n v="40000"/>
    <n v="28000"/>
    <n v="12000"/>
  </r>
  <r>
    <s v="TRX-202605-1736"/>
    <x v="490"/>
    <s v="CUST003"/>
    <s v="PRD007"/>
    <n v="1"/>
    <n v="225000"/>
    <n v="225000"/>
    <n v="180000"/>
    <n v="45000"/>
  </r>
  <r>
    <s v="TRX-202605-1736"/>
    <x v="490"/>
    <s v="CUST003"/>
    <s v="PRD008"/>
    <n v="3"/>
    <n v="40000"/>
    <n v="120000"/>
    <n v="84000"/>
    <n v="36000"/>
  </r>
  <r>
    <s v="TRX-202605-1736"/>
    <x v="490"/>
    <s v="CUST003"/>
    <s v="PRD003"/>
    <n v="1"/>
    <n v="130000"/>
    <n v="130000"/>
    <n v="85000"/>
    <n v="45000"/>
  </r>
  <r>
    <s v="TRX-202605-1737"/>
    <x v="491"/>
    <s v="CUST008"/>
    <s v="PRD010"/>
    <n v="8"/>
    <n v="20000"/>
    <n v="160000"/>
    <n v="96000"/>
    <n v="64000"/>
  </r>
  <r>
    <s v="TRX-202605-1738"/>
    <x v="491"/>
    <s v="CUST002"/>
    <s v="PRD001"/>
    <n v="8"/>
    <n v="175000"/>
    <n v="1400000"/>
    <n v="960000"/>
    <n v="440000"/>
  </r>
  <r>
    <s v="TRX-202605-1739"/>
    <x v="492"/>
    <s v="CUST008"/>
    <s v="PRD008"/>
    <n v="5"/>
    <n v="40000"/>
    <n v="200000"/>
    <n v="140000"/>
    <n v="60000"/>
  </r>
  <r>
    <s v="TRX-202605-1740"/>
    <x v="492"/>
    <s v="CUST005"/>
    <s v="PRD007"/>
    <n v="1"/>
    <n v="225000"/>
    <n v="225000"/>
    <n v="180000"/>
    <n v="45000"/>
  </r>
  <r>
    <s v="TRX-202605-1741"/>
    <x v="493"/>
    <s v="CUST003"/>
    <s v="PRD010"/>
    <n v="4"/>
    <n v="20000"/>
    <n v="80000"/>
    <n v="48000"/>
    <n v="32000"/>
  </r>
  <r>
    <s v="TRX-202605-1741"/>
    <x v="493"/>
    <s v="CUST003"/>
    <s v="PRD001"/>
    <n v="3"/>
    <n v="175000"/>
    <n v="525000"/>
    <n v="360000"/>
    <n v="165000"/>
  </r>
  <r>
    <s v="TRX-202605-1742"/>
    <x v="493"/>
    <s v="CUST007"/>
    <s v="PRD011"/>
    <n v="2"/>
    <n v="35000"/>
    <n v="70000"/>
    <n v="44000"/>
    <n v="26000"/>
  </r>
  <r>
    <s v="TRX-202605-1742"/>
    <x v="493"/>
    <s v="CUST007"/>
    <s v="PRD006"/>
    <n v="4"/>
    <n v="110000"/>
    <n v="440000"/>
    <n v="300000"/>
    <n v="140000"/>
  </r>
  <r>
    <s v="TRX-202605-1742"/>
    <x v="493"/>
    <s v="CUST007"/>
    <s v="PRD012"/>
    <n v="3"/>
    <n v="48000"/>
    <n v="144000"/>
    <n v="96000"/>
    <n v="48000"/>
  </r>
  <r>
    <s v="TRX-202605-1743"/>
    <x v="493"/>
    <s v="CUST008"/>
    <s v="PRD002"/>
    <n v="8"/>
    <n v="70000"/>
    <n v="560000"/>
    <n v="360000"/>
    <n v="200000"/>
  </r>
  <r>
    <s v="TRX-202605-1743"/>
    <x v="493"/>
    <s v="CUST008"/>
    <s v="PRD011"/>
    <n v="5"/>
    <n v="35000"/>
    <n v="175000"/>
    <n v="110000"/>
    <n v="65000"/>
  </r>
  <r>
    <s v="TRX-202605-1744"/>
    <x v="493"/>
    <s v="CUST001"/>
    <s v="PRD003"/>
    <n v="6"/>
    <n v="130000"/>
    <n v="780000"/>
    <n v="510000"/>
    <n v="270000"/>
  </r>
  <r>
    <s v="TRX-202605-1744"/>
    <x v="493"/>
    <s v="CUST001"/>
    <s v="PRD005"/>
    <n v="6"/>
    <n v="105000"/>
    <n v="630000"/>
    <n v="420000"/>
    <n v="210000"/>
  </r>
  <r>
    <s v="TRX-202605-1744"/>
    <x v="493"/>
    <s v="CUST001"/>
    <s v="PRD006"/>
    <n v="2"/>
    <n v="110000"/>
    <n v="220000"/>
    <n v="150000"/>
    <n v="70000"/>
  </r>
  <r>
    <s v="TRX-202605-1745"/>
    <x v="493"/>
    <s v="CUST007"/>
    <s v="PRD003"/>
    <n v="2"/>
    <n v="130000"/>
    <n v="260000"/>
    <n v="170000"/>
    <n v="90000"/>
  </r>
  <r>
    <s v="TRX-202605-1746"/>
    <x v="494"/>
    <s v="CUST001"/>
    <s v="PRD009"/>
    <n v="5"/>
    <n v="52000"/>
    <n v="260000"/>
    <n v="175000"/>
    <n v="85000"/>
  </r>
  <r>
    <s v="TRX-202605-1747"/>
    <x v="494"/>
    <s v="CUST005"/>
    <s v="PRD005"/>
    <n v="4"/>
    <n v="105000"/>
    <n v="420000"/>
    <n v="280000"/>
    <n v="140000"/>
  </r>
  <r>
    <s v="TRX-202605-1747"/>
    <x v="494"/>
    <s v="CUST005"/>
    <s v="PRD001"/>
    <n v="8"/>
    <n v="175000"/>
    <n v="1400000"/>
    <n v="960000"/>
    <n v="440000"/>
  </r>
  <r>
    <s v="TRX-202605-1748"/>
    <x v="494"/>
    <s v="CUST002"/>
    <s v="PRD002"/>
    <n v="8"/>
    <n v="70000"/>
    <n v="560000"/>
    <n v="360000"/>
    <n v="200000"/>
  </r>
  <r>
    <s v="TRX-202605-1748"/>
    <x v="494"/>
    <s v="CUST002"/>
    <s v="PRD010"/>
    <n v="5"/>
    <n v="20000"/>
    <n v="100000"/>
    <n v="60000"/>
    <n v="40000"/>
  </r>
  <r>
    <s v="TRX-202605-1748"/>
    <x v="494"/>
    <s v="CUST002"/>
    <s v="PRD001"/>
    <n v="3"/>
    <n v="175000"/>
    <n v="525000"/>
    <n v="360000"/>
    <n v="165000"/>
  </r>
  <r>
    <s v="TRX-202605-1749"/>
    <x v="494"/>
    <s v="CUST002"/>
    <s v="PRD005"/>
    <n v="1"/>
    <n v="105000"/>
    <n v="105000"/>
    <n v="70000"/>
    <n v="35000"/>
  </r>
  <r>
    <s v="TRX-202605-1749"/>
    <x v="494"/>
    <s v="CUST002"/>
    <s v="PRD001"/>
    <n v="7"/>
    <n v="175000"/>
    <n v="1225000"/>
    <n v="840000"/>
    <n v="385000"/>
  </r>
  <r>
    <s v="TRX-202605-1750"/>
    <x v="494"/>
    <s v="CUST004"/>
    <s v="PRD010"/>
    <n v="3"/>
    <n v="20000"/>
    <n v="60000"/>
    <n v="36000"/>
    <n v="24000"/>
  </r>
  <r>
    <s v="TRX-202605-1750"/>
    <x v="494"/>
    <s v="CUST004"/>
    <s v="PRD011"/>
    <n v="4"/>
    <n v="35000"/>
    <n v="140000"/>
    <n v="88000"/>
    <n v="52000"/>
  </r>
  <r>
    <s v="TRX-202605-1751"/>
    <x v="495"/>
    <s v="CUST001"/>
    <s v="PRD006"/>
    <n v="4"/>
    <n v="110000"/>
    <n v="440000"/>
    <n v="300000"/>
    <n v="140000"/>
  </r>
  <r>
    <s v="TRX-202605-1751"/>
    <x v="495"/>
    <s v="CUST001"/>
    <s v="PRD001"/>
    <n v="4"/>
    <n v="175000"/>
    <n v="700000"/>
    <n v="480000"/>
    <n v="220000"/>
  </r>
  <r>
    <s v="TRX-202605-1752"/>
    <x v="495"/>
    <s v="CUST001"/>
    <s v="PRD001"/>
    <n v="1"/>
    <n v="175000"/>
    <n v="175000"/>
    <n v="120000"/>
    <n v="55000"/>
  </r>
  <r>
    <s v="TRX-202605-1753"/>
    <x v="495"/>
    <s v="CUST007"/>
    <s v="PRD005"/>
    <n v="7"/>
    <n v="105000"/>
    <n v="735000"/>
    <n v="490000"/>
    <n v="245000"/>
  </r>
  <r>
    <s v="TRX-202605-1754"/>
    <x v="496"/>
    <s v="CUST008"/>
    <s v="PRD012"/>
    <n v="7"/>
    <n v="48000"/>
    <n v="336000"/>
    <n v="224000"/>
    <n v="112000"/>
  </r>
  <r>
    <s v="TRX-202605-1754"/>
    <x v="496"/>
    <s v="CUST008"/>
    <s v="PRD010"/>
    <n v="1"/>
    <n v="20000"/>
    <n v="20000"/>
    <n v="12000"/>
    <n v="8000"/>
  </r>
  <r>
    <s v="TRX-202605-1754"/>
    <x v="496"/>
    <s v="CUST008"/>
    <s v="PRD001"/>
    <n v="6"/>
    <n v="175000"/>
    <n v="1050000"/>
    <n v="720000"/>
    <n v="330000"/>
  </r>
  <r>
    <s v="TRX-202605-1755"/>
    <x v="496"/>
    <s v="CUST005"/>
    <s v="PRD002"/>
    <n v="8"/>
    <n v="70000"/>
    <n v="560000"/>
    <n v="360000"/>
    <n v="200000"/>
  </r>
  <r>
    <s v="TRX-202605-1755"/>
    <x v="496"/>
    <s v="CUST005"/>
    <s v="PRD009"/>
    <n v="5"/>
    <n v="52000"/>
    <n v="260000"/>
    <n v="175000"/>
    <n v="85000"/>
  </r>
  <r>
    <s v="TRX-202605-1755"/>
    <x v="496"/>
    <s v="CUST005"/>
    <s v="PRD007"/>
    <n v="7"/>
    <n v="225000"/>
    <n v="1575000"/>
    <n v="1260000"/>
    <n v="315000"/>
  </r>
  <r>
    <s v="TRX-202605-1756"/>
    <x v="496"/>
    <s v="CUST004"/>
    <s v="PRD001"/>
    <n v="1"/>
    <n v="175000"/>
    <n v="175000"/>
    <n v="120000"/>
    <n v="55000"/>
  </r>
  <r>
    <s v="TRX-202605-1757"/>
    <x v="496"/>
    <s v="CUST005"/>
    <s v="PRD004"/>
    <n v="2"/>
    <n v="105000"/>
    <n v="210000"/>
    <n v="140000"/>
    <n v="70000"/>
  </r>
  <r>
    <s v="TRX-202605-1757"/>
    <x v="496"/>
    <s v="CUST005"/>
    <s v="PRD012"/>
    <n v="2"/>
    <n v="48000"/>
    <n v="96000"/>
    <n v="64000"/>
    <n v="32000"/>
  </r>
  <r>
    <s v="TRX-202605-1757"/>
    <x v="496"/>
    <s v="CUST005"/>
    <s v="PRD007"/>
    <n v="4"/>
    <n v="225000"/>
    <n v="900000"/>
    <n v="720000"/>
    <n v="180000"/>
  </r>
  <r>
    <s v="TRX-202605-1758"/>
    <x v="496"/>
    <s v="CUST008"/>
    <s v="PRD002"/>
    <n v="2"/>
    <n v="70000"/>
    <n v="140000"/>
    <n v="90000"/>
    <n v="50000"/>
  </r>
  <r>
    <s v="TRX-202605-1759"/>
    <x v="497"/>
    <s v="CUST005"/>
    <s v="PRD010"/>
    <n v="7"/>
    <n v="20000"/>
    <n v="140000"/>
    <n v="84000"/>
    <n v="56000"/>
  </r>
  <r>
    <s v="TRX-202605-1759"/>
    <x v="497"/>
    <s v="CUST005"/>
    <s v="PRD005"/>
    <n v="7"/>
    <n v="105000"/>
    <n v="735000"/>
    <n v="490000"/>
    <n v="245000"/>
  </r>
  <r>
    <s v="TRX-202605-1760"/>
    <x v="497"/>
    <s v="CUST008"/>
    <s v="PRD012"/>
    <n v="1"/>
    <n v="48000"/>
    <n v="48000"/>
    <n v="32000"/>
    <n v="16000"/>
  </r>
  <r>
    <s v="TRX-202605-1761"/>
    <x v="497"/>
    <s v="CUST002"/>
    <s v="PRD009"/>
    <n v="3"/>
    <n v="52000"/>
    <n v="156000"/>
    <n v="105000"/>
    <n v="51000"/>
  </r>
  <r>
    <s v="TRX-202605-1762"/>
    <x v="497"/>
    <s v="CUST005"/>
    <s v="PRD012"/>
    <n v="2"/>
    <n v="48000"/>
    <n v="96000"/>
    <n v="64000"/>
    <n v="32000"/>
  </r>
  <r>
    <s v="TRX-202605-1762"/>
    <x v="497"/>
    <s v="CUST005"/>
    <s v="PRD001"/>
    <n v="3"/>
    <n v="175000"/>
    <n v="525000"/>
    <n v="360000"/>
    <n v="165000"/>
  </r>
  <r>
    <s v="TRX-202605-1762"/>
    <x v="497"/>
    <s v="CUST005"/>
    <s v="PRD003"/>
    <n v="3"/>
    <n v="130000"/>
    <n v="390000"/>
    <n v="255000"/>
    <n v="135000"/>
  </r>
  <r>
    <s v="TRX-202605-1763"/>
    <x v="497"/>
    <s v="CUST004"/>
    <s v="PRD008"/>
    <n v="1"/>
    <n v="40000"/>
    <n v="40000"/>
    <n v="28000"/>
    <n v="12000"/>
  </r>
  <r>
    <s v="TRX-202605-1763"/>
    <x v="497"/>
    <s v="CUST004"/>
    <s v="PRD010"/>
    <n v="3"/>
    <n v="20000"/>
    <n v="60000"/>
    <n v="36000"/>
    <n v="24000"/>
  </r>
  <r>
    <s v="TRX-202605-1763"/>
    <x v="497"/>
    <s v="CUST004"/>
    <s v="PRD005"/>
    <n v="7"/>
    <n v="105000"/>
    <n v="735000"/>
    <n v="490000"/>
    <n v="245000"/>
  </r>
  <r>
    <s v="TRX-202605-1764"/>
    <x v="498"/>
    <s v="CUST006"/>
    <s v="PRD009"/>
    <n v="2"/>
    <n v="52000"/>
    <n v="104000"/>
    <n v="70000"/>
    <n v="34000"/>
  </r>
  <r>
    <s v="TRX-202605-1765"/>
    <x v="498"/>
    <s v="CUST007"/>
    <s v="PRD011"/>
    <n v="3"/>
    <n v="35000"/>
    <n v="105000"/>
    <n v="66000"/>
    <n v="39000"/>
  </r>
  <r>
    <s v="TRX-202605-1766"/>
    <x v="498"/>
    <s v="CUST006"/>
    <s v="PRD010"/>
    <n v="5"/>
    <n v="20000"/>
    <n v="100000"/>
    <n v="60000"/>
    <n v="40000"/>
  </r>
  <r>
    <s v="TRX-202605-1766"/>
    <x v="498"/>
    <s v="CUST006"/>
    <s v="PRD001"/>
    <n v="7"/>
    <n v="175000"/>
    <n v="1225000"/>
    <n v="840000"/>
    <n v="385000"/>
  </r>
  <r>
    <s v="TRX-202605-1767"/>
    <x v="499"/>
    <s v="CUST002"/>
    <s v="PRD001"/>
    <n v="5"/>
    <n v="175000"/>
    <n v="875000"/>
    <n v="600000"/>
    <n v="275000"/>
  </r>
  <r>
    <s v="TRX-202605-1768"/>
    <x v="499"/>
    <s v="CUST006"/>
    <s v="PRD008"/>
    <n v="7"/>
    <n v="40000"/>
    <n v="280000"/>
    <n v="196000"/>
    <n v="84000"/>
  </r>
  <r>
    <s v="TRX-202605-1769"/>
    <x v="499"/>
    <s v="CUST007"/>
    <s v="PRD004"/>
    <n v="5"/>
    <n v="105000"/>
    <n v="525000"/>
    <n v="350000"/>
    <n v="175000"/>
  </r>
  <r>
    <s v="TRX-202605-1769"/>
    <x v="499"/>
    <s v="CUST007"/>
    <s v="PRD005"/>
    <n v="7"/>
    <n v="105000"/>
    <n v="735000"/>
    <n v="490000"/>
    <n v="245000"/>
  </r>
  <r>
    <s v="TRX-202605-1770"/>
    <x v="499"/>
    <s v="CUST001"/>
    <s v="PRD011"/>
    <n v="3"/>
    <n v="35000"/>
    <n v="105000"/>
    <n v="66000"/>
    <n v="39000"/>
  </r>
  <r>
    <s v="TRX-202605-1770"/>
    <x v="499"/>
    <s v="CUST001"/>
    <s v="PRD003"/>
    <n v="8"/>
    <n v="130000"/>
    <n v="1040000"/>
    <n v="680000"/>
    <n v="360000"/>
  </r>
  <r>
    <s v="TRX-202605-1771"/>
    <x v="500"/>
    <s v="CUST006"/>
    <s v="PRD012"/>
    <n v="3"/>
    <n v="48000"/>
    <n v="144000"/>
    <n v="96000"/>
    <n v="48000"/>
  </r>
  <r>
    <s v="TRX-202605-1772"/>
    <x v="500"/>
    <s v="CUST008"/>
    <s v="PRD003"/>
    <n v="1"/>
    <n v="130000"/>
    <n v="130000"/>
    <n v="85000"/>
    <n v="45000"/>
  </r>
  <r>
    <s v="TRX-202605-1772"/>
    <x v="500"/>
    <s v="CUST008"/>
    <s v="PRD007"/>
    <n v="7"/>
    <n v="225000"/>
    <n v="1575000"/>
    <n v="1260000"/>
    <n v="315000"/>
  </r>
  <r>
    <s v="TRX-202605-1772"/>
    <x v="500"/>
    <s v="CUST008"/>
    <s v="PRD008"/>
    <n v="7"/>
    <n v="40000"/>
    <n v="280000"/>
    <n v="196000"/>
    <n v="84000"/>
  </r>
  <r>
    <s v="TRX-202605-1773"/>
    <x v="500"/>
    <s v="CUST007"/>
    <s v="PRD012"/>
    <n v="3"/>
    <n v="48000"/>
    <n v="144000"/>
    <n v="96000"/>
    <n v="48000"/>
  </r>
  <r>
    <s v="TRX-202605-1773"/>
    <x v="500"/>
    <s v="CUST007"/>
    <s v="PRD007"/>
    <n v="3"/>
    <n v="225000"/>
    <n v="675000"/>
    <n v="540000"/>
    <n v="135000"/>
  </r>
  <r>
    <s v="TRX-202605-1774"/>
    <x v="501"/>
    <s v="CUST005"/>
    <s v="PRD003"/>
    <n v="4"/>
    <n v="130000"/>
    <n v="520000"/>
    <n v="340000"/>
    <n v="180000"/>
  </r>
  <r>
    <s v="TRX-202605-1775"/>
    <x v="501"/>
    <s v="CUST006"/>
    <s v="PRD004"/>
    <n v="1"/>
    <n v="105000"/>
    <n v="105000"/>
    <n v="70000"/>
    <n v="35000"/>
  </r>
  <r>
    <s v="TRX-202605-1775"/>
    <x v="501"/>
    <s v="CUST006"/>
    <s v="PRD005"/>
    <n v="5"/>
    <n v="105000"/>
    <n v="525000"/>
    <n v="350000"/>
    <n v="175000"/>
  </r>
  <r>
    <s v="TRX-202605-1776"/>
    <x v="501"/>
    <s v="CUST007"/>
    <s v="PRD007"/>
    <n v="2"/>
    <n v="225000"/>
    <n v="450000"/>
    <n v="360000"/>
    <n v="90000"/>
  </r>
  <r>
    <s v="TRX-202605-1776"/>
    <x v="501"/>
    <s v="CUST007"/>
    <s v="PRD009"/>
    <n v="3"/>
    <n v="52000"/>
    <n v="156000"/>
    <n v="105000"/>
    <n v="51000"/>
  </r>
  <r>
    <s v="TRX-202605-1776"/>
    <x v="501"/>
    <s v="CUST007"/>
    <s v="PRD003"/>
    <n v="2"/>
    <n v="130000"/>
    <n v="260000"/>
    <n v="170000"/>
    <n v="90000"/>
  </r>
  <r>
    <s v="TRX-202605-1777"/>
    <x v="501"/>
    <s v="CUST006"/>
    <s v="PRD007"/>
    <n v="6"/>
    <n v="225000"/>
    <n v="1350000"/>
    <n v="1080000"/>
    <n v="270000"/>
  </r>
  <r>
    <s v="TRX-202605-1777"/>
    <x v="501"/>
    <s v="CUST006"/>
    <s v="PRD005"/>
    <n v="3"/>
    <n v="105000"/>
    <n v="315000"/>
    <n v="210000"/>
    <n v="105000"/>
  </r>
  <r>
    <s v="TRX-202605-1777"/>
    <x v="501"/>
    <s v="CUST006"/>
    <s v="PRD010"/>
    <n v="6"/>
    <n v="20000"/>
    <n v="120000"/>
    <n v="72000"/>
    <n v="48000"/>
  </r>
  <r>
    <s v="TRX-202605-1778"/>
    <x v="501"/>
    <s v="CUST005"/>
    <s v="PRD003"/>
    <n v="5"/>
    <n v="130000"/>
    <n v="650000"/>
    <n v="425000"/>
    <n v="225000"/>
  </r>
  <r>
    <s v="TRX-202605-1778"/>
    <x v="501"/>
    <s v="CUST005"/>
    <s v="PRD001"/>
    <n v="5"/>
    <n v="175000"/>
    <n v="875000"/>
    <n v="600000"/>
    <n v="275000"/>
  </r>
  <r>
    <s v="TRX-202605-1778"/>
    <x v="501"/>
    <s v="CUST005"/>
    <s v="PRD007"/>
    <n v="2"/>
    <n v="225000"/>
    <n v="450000"/>
    <n v="360000"/>
    <n v="90000"/>
  </r>
  <r>
    <s v="TRX-202605-1779"/>
    <x v="502"/>
    <s v="CUST007"/>
    <s v="PRD001"/>
    <n v="5"/>
    <n v="175000"/>
    <n v="875000"/>
    <n v="600000"/>
    <n v="275000"/>
  </r>
  <r>
    <s v="TRX-202605-1779"/>
    <x v="502"/>
    <s v="CUST007"/>
    <s v="PRD007"/>
    <n v="1"/>
    <n v="225000"/>
    <n v="225000"/>
    <n v="180000"/>
    <n v="45000"/>
  </r>
  <r>
    <s v="TRX-202605-1779"/>
    <x v="502"/>
    <s v="CUST007"/>
    <s v="PRD011"/>
    <n v="6"/>
    <n v="35000"/>
    <n v="210000"/>
    <n v="132000"/>
    <n v="78000"/>
  </r>
  <r>
    <s v="TRX-202605-1780"/>
    <x v="502"/>
    <s v="CUST002"/>
    <s v="PRD001"/>
    <n v="3"/>
    <n v="175000"/>
    <n v="525000"/>
    <n v="360000"/>
    <n v="165000"/>
  </r>
  <r>
    <s v="TRX-202605-1781"/>
    <x v="502"/>
    <s v="CUST002"/>
    <s v="PRD006"/>
    <n v="5"/>
    <n v="110000"/>
    <n v="550000"/>
    <n v="375000"/>
    <n v="175000"/>
  </r>
  <r>
    <s v="TRX-202605-1782"/>
    <x v="502"/>
    <s v="CUST004"/>
    <s v="PRD012"/>
    <n v="3"/>
    <n v="48000"/>
    <n v="144000"/>
    <n v="96000"/>
    <n v="48000"/>
  </r>
  <r>
    <s v="TRX-202605-1782"/>
    <x v="502"/>
    <s v="CUST004"/>
    <s v="PRD005"/>
    <n v="4"/>
    <n v="105000"/>
    <n v="420000"/>
    <n v="280000"/>
    <n v="140000"/>
  </r>
  <r>
    <s v="TRX-202605-1782"/>
    <x v="502"/>
    <s v="CUST004"/>
    <s v="PRD002"/>
    <n v="1"/>
    <n v="70000"/>
    <n v="70000"/>
    <n v="45000"/>
    <n v="25000"/>
  </r>
  <r>
    <s v="TRX-202605-1783"/>
    <x v="503"/>
    <s v="CUST002"/>
    <s v="PRD005"/>
    <n v="1"/>
    <n v="105000"/>
    <n v="105000"/>
    <n v="70000"/>
    <n v="35000"/>
  </r>
  <r>
    <s v="TRX-202605-1784"/>
    <x v="503"/>
    <s v="CUST001"/>
    <s v="PRD005"/>
    <n v="8"/>
    <n v="105000"/>
    <n v="840000"/>
    <n v="560000"/>
    <n v="280000"/>
  </r>
  <r>
    <s v="TRX-202605-1785"/>
    <x v="504"/>
    <s v="CUST008"/>
    <s v="PRD006"/>
    <n v="2"/>
    <n v="110000"/>
    <n v="220000"/>
    <n v="150000"/>
    <n v="70000"/>
  </r>
  <r>
    <s v="TRX-202605-1785"/>
    <x v="504"/>
    <s v="CUST008"/>
    <s v="PRD012"/>
    <n v="2"/>
    <n v="48000"/>
    <n v="96000"/>
    <n v="64000"/>
    <n v="32000"/>
  </r>
  <r>
    <s v="TRX-202605-1785"/>
    <x v="504"/>
    <s v="CUST008"/>
    <s v="PRD001"/>
    <n v="4"/>
    <n v="175000"/>
    <n v="700000"/>
    <n v="480000"/>
    <n v="220000"/>
  </r>
  <r>
    <s v="TRX-202605-1786"/>
    <x v="504"/>
    <s v="CUST008"/>
    <s v="PRD004"/>
    <n v="3"/>
    <n v="105000"/>
    <n v="315000"/>
    <n v="210000"/>
    <n v="105000"/>
  </r>
  <r>
    <s v="TRX-202605-1786"/>
    <x v="504"/>
    <s v="CUST008"/>
    <s v="PRD006"/>
    <n v="2"/>
    <n v="110000"/>
    <n v="220000"/>
    <n v="150000"/>
    <n v="70000"/>
  </r>
  <r>
    <s v="TRX-202605-1787"/>
    <x v="504"/>
    <s v="CUST001"/>
    <s v="PRD003"/>
    <n v="8"/>
    <n v="130000"/>
    <n v="1040000"/>
    <n v="680000"/>
    <n v="360000"/>
  </r>
  <r>
    <s v="TRX-202605-1787"/>
    <x v="504"/>
    <s v="CUST001"/>
    <s v="PRD009"/>
    <n v="1"/>
    <n v="52000"/>
    <n v="52000"/>
    <n v="35000"/>
    <n v="17000"/>
  </r>
  <r>
    <s v="TRX-202605-1788"/>
    <x v="504"/>
    <s v="CUST008"/>
    <s v="PRD008"/>
    <n v="1"/>
    <n v="40000"/>
    <n v="40000"/>
    <n v="28000"/>
    <n v="12000"/>
  </r>
  <r>
    <s v="TRX-202605-1789"/>
    <x v="505"/>
    <s v="CUST004"/>
    <s v="PRD008"/>
    <n v="7"/>
    <n v="40000"/>
    <n v="280000"/>
    <n v="196000"/>
    <n v="84000"/>
  </r>
  <r>
    <s v="TRX-202605-1790"/>
    <x v="505"/>
    <s v="CUST002"/>
    <s v="PRD003"/>
    <n v="5"/>
    <n v="130000"/>
    <n v="650000"/>
    <n v="425000"/>
    <n v="225000"/>
  </r>
  <r>
    <s v="TRX-202605-1791"/>
    <x v="505"/>
    <s v="CUST001"/>
    <s v="PRD012"/>
    <n v="6"/>
    <n v="48000"/>
    <n v="288000"/>
    <n v="192000"/>
    <n v="96000"/>
  </r>
  <r>
    <s v="TRX-202605-1791"/>
    <x v="505"/>
    <s v="CUST001"/>
    <s v="PRD009"/>
    <n v="8"/>
    <n v="52000"/>
    <n v="416000"/>
    <n v="280000"/>
    <n v="136000"/>
  </r>
  <r>
    <s v="TRX-202605-1791"/>
    <x v="505"/>
    <s v="CUST001"/>
    <s v="PRD006"/>
    <n v="1"/>
    <n v="110000"/>
    <n v="110000"/>
    <n v="75000"/>
    <n v="35000"/>
  </r>
  <r>
    <s v="TRX-202605-1792"/>
    <x v="505"/>
    <s v="CUST001"/>
    <s v="PRD011"/>
    <n v="5"/>
    <n v="35000"/>
    <n v="175000"/>
    <n v="110000"/>
    <n v="65000"/>
  </r>
  <r>
    <s v="TRX-202605-1793"/>
    <x v="506"/>
    <s v="CUST002"/>
    <s v="PRD010"/>
    <n v="4"/>
    <n v="20000"/>
    <n v="80000"/>
    <n v="48000"/>
    <n v="32000"/>
  </r>
  <r>
    <s v="TRX-202605-1793"/>
    <x v="506"/>
    <s v="CUST002"/>
    <s v="PRD002"/>
    <n v="6"/>
    <n v="70000"/>
    <n v="420000"/>
    <n v="270000"/>
    <n v="150000"/>
  </r>
  <r>
    <s v="TRX-202605-1794"/>
    <x v="506"/>
    <s v="CUST003"/>
    <s v="PRD006"/>
    <n v="1"/>
    <n v="110000"/>
    <n v="110000"/>
    <n v="75000"/>
    <n v="35000"/>
  </r>
  <r>
    <s v="TRX-202605-1795"/>
    <x v="506"/>
    <s v="CUST002"/>
    <s v="PRD005"/>
    <n v="7"/>
    <n v="105000"/>
    <n v="735000"/>
    <n v="490000"/>
    <n v="245000"/>
  </r>
  <r>
    <s v="TRX-202605-1795"/>
    <x v="506"/>
    <s v="CUST002"/>
    <s v="PRD003"/>
    <n v="2"/>
    <n v="130000"/>
    <n v="260000"/>
    <n v="170000"/>
    <n v="90000"/>
  </r>
  <r>
    <s v="TRX-202605-1796"/>
    <x v="506"/>
    <s v="CUST001"/>
    <s v="PRD001"/>
    <n v="4"/>
    <n v="175000"/>
    <n v="700000"/>
    <n v="480000"/>
    <n v="220000"/>
  </r>
  <r>
    <s v="TRX-202605-1796"/>
    <x v="506"/>
    <s v="CUST001"/>
    <s v="PRD004"/>
    <n v="6"/>
    <n v="105000"/>
    <n v="630000"/>
    <n v="420000"/>
    <n v="210000"/>
  </r>
  <r>
    <s v="TRX-202605-1797"/>
    <x v="507"/>
    <s v="CUST001"/>
    <s v="PRD004"/>
    <n v="3"/>
    <n v="105000"/>
    <n v="315000"/>
    <n v="210000"/>
    <n v="105000"/>
  </r>
  <r>
    <s v="TRX-202605-1797"/>
    <x v="507"/>
    <s v="CUST001"/>
    <s v="PRD001"/>
    <n v="2"/>
    <n v="175000"/>
    <n v="350000"/>
    <n v="240000"/>
    <n v="110000"/>
  </r>
  <r>
    <s v="TRX-202605-1798"/>
    <x v="507"/>
    <s v="CUST006"/>
    <s v="PRD007"/>
    <n v="8"/>
    <n v="225000"/>
    <n v="1800000"/>
    <n v="1440000"/>
    <n v="360000"/>
  </r>
  <r>
    <s v="TRX-202605-1799"/>
    <x v="508"/>
    <s v="CUST002"/>
    <s v="PRD008"/>
    <n v="6"/>
    <n v="40000"/>
    <n v="240000"/>
    <n v="168000"/>
    <n v="72000"/>
  </r>
  <r>
    <s v="TRX-202605-1799"/>
    <x v="508"/>
    <s v="CUST002"/>
    <s v="PRD004"/>
    <n v="6"/>
    <n v="105000"/>
    <n v="630000"/>
    <n v="420000"/>
    <n v="210000"/>
  </r>
  <r>
    <s v="TRX-202605-1800"/>
    <x v="508"/>
    <s v="CUST002"/>
    <s v="PRD009"/>
    <n v="2"/>
    <n v="52000"/>
    <n v="104000"/>
    <n v="70000"/>
    <n v="34000"/>
  </r>
  <r>
    <s v="TRX-202605-1801"/>
    <x v="508"/>
    <s v="CUST008"/>
    <s v="PRD006"/>
    <n v="3"/>
    <n v="110000"/>
    <n v="330000"/>
    <n v="225000"/>
    <n v="105000"/>
  </r>
  <r>
    <s v="TRX-202605-1801"/>
    <x v="508"/>
    <s v="CUST008"/>
    <s v="PRD002"/>
    <n v="4"/>
    <n v="70000"/>
    <n v="280000"/>
    <n v="180000"/>
    <n v="100000"/>
  </r>
  <r>
    <s v="TRX-202605-1802"/>
    <x v="508"/>
    <s v="CUST006"/>
    <s v="PRD008"/>
    <n v="6"/>
    <n v="40000"/>
    <n v="240000"/>
    <n v="168000"/>
    <n v="72000"/>
  </r>
  <r>
    <s v="TRX-202605-1802"/>
    <x v="508"/>
    <s v="CUST006"/>
    <s v="PRD009"/>
    <n v="6"/>
    <n v="52000"/>
    <n v="312000"/>
    <n v="210000"/>
    <n v="102000"/>
  </r>
  <r>
    <s v="TRX-202605-1802"/>
    <x v="508"/>
    <s v="CUST006"/>
    <s v="PRD002"/>
    <n v="5"/>
    <n v="70000"/>
    <n v="350000"/>
    <n v="225000"/>
    <n v="125000"/>
  </r>
  <r>
    <s v="TRX-202605-1803"/>
    <x v="508"/>
    <s v="CUST003"/>
    <s v="PRD011"/>
    <n v="8"/>
    <n v="35000"/>
    <n v="280000"/>
    <n v="176000"/>
    <n v="104000"/>
  </r>
  <r>
    <s v="TRX-202605-1803"/>
    <x v="508"/>
    <s v="CUST003"/>
    <s v="PRD001"/>
    <n v="3"/>
    <n v="175000"/>
    <n v="525000"/>
    <n v="360000"/>
    <n v="165000"/>
  </r>
  <r>
    <s v="TRX-202605-1804"/>
    <x v="509"/>
    <s v="CUST004"/>
    <s v="PRD011"/>
    <n v="4"/>
    <n v="35000"/>
    <n v="140000"/>
    <n v="88000"/>
    <n v="52000"/>
  </r>
  <r>
    <s v="TRX-202605-1804"/>
    <x v="509"/>
    <s v="CUST004"/>
    <s v="PRD001"/>
    <n v="2"/>
    <n v="175000"/>
    <n v="350000"/>
    <n v="240000"/>
    <n v="110000"/>
  </r>
  <r>
    <s v="TRX-202605-1805"/>
    <x v="509"/>
    <s v="CUST008"/>
    <s v="PRD005"/>
    <n v="1"/>
    <n v="105000"/>
    <n v="105000"/>
    <n v="70000"/>
    <n v="35000"/>
  </r>
  <r>
    <s v="TRX-202605-1805"/>
    <x v="509"/>
    <s v="CUST008"/>
    <s v="PRD004"/>
    <n v="3"/>
    <n v="105000"/>
    <n v="315000"/>
    <n v="210000"/>
    <n v="105000"/>
  </r>
  <r>
    <s v="TRX-202605-1806"/>
    <x v="509"/>
    <s v="CUST008"/>
    <s v="PRD002"/>
    <n v="6"/>
    <n v="70000"/>
    <n v="420000"/>
    <n v="270000"/>
    <n v="150000"/>
  </r>
  <r>
    <s v="TRX-202605-1806"/>
    <x v="509"/>
    <s v="CUST008"/>
    <s v="PRD005"/>
    <n v="8"/>
    <n v="105000"/>
    <n v="840000"/>
    <n v="560000"/>
    <n v="280000"/>
  </r>
  <r>
    <s v="TRX-202605-1807"/>
    <x v="509"/>
    <s v="CUST003"/>
    <s v="PRD001"/>
    <n v="3"/>
    <n v="175000"/>
    <n v="525000"/>
    <n v="360000"/>
    <n v="165000"/>
  </r>
  <r>
    <s v="TRX-202605-1807"/>
    <x v="509"/>
    <s v="CUST003"/>
    <s v="PRD003"/>
    <n v="6"/>
    <n v="130000"/>
    <n v="780000"/>
    <n v="510000"/>
    <n v="270000"/>
  </r>
  <r>
    <s v="TRX-202605-1808"/>
    <x v="509"/>
    <s v="CUST005"/>
    <s v="PRD011"/>
    <n v="7"/>
    <n v="35000"/>
    <n v="245000"/>
    <n v="154000"/>
    <n v="91000"/>
  </r>
  <r>
    <s v="TRX-202605-1808"/>
    <x v="509"/>
    <s v="CUST005"/>
    <s v="PRD009"/>
    <n v="3"/>
    <n v="52000"/>
    <n v="156000"/>
    <n v="105000"/>
    <n v="51000"/>
  </r>
  <r>
    <s v="TRX-202605-1809"/>
    <x v="510"/>
    <s v="CUST006"/>
    <s v="PRD003"/>
    <n v="7"/>
    <n v="130000"/>
    <n v="910000"/>
    <n v="595000"/>
    <n v="315000"/>
  </r>
  <r>
    <s v="TRX-202605-1809"/>
    <x v="510"/>
    <s v="CUST006"/>
    <s v="PRD004"/>
    <n v="8"/>
    <n v="105000"/>
    <n v="840000"/>
    <n v="560000"/>
    <n v="280000"/>
  </r>
  <r>
    <s v="TRX-202605-1809"/>
    <x v="510"/>
    <s v="CUST006"/>
    <s v="PRD009"/>
    <n v="1"/>
    <n v="52000"/>
    <n v="52000"/>
    <n v="35000"/>
    <n v="17000"/>
  </r>
  <r>
    <s v="TRX-202605-1810"/>
    <x v="510"/>
    <s v="CUST007"/>
    <s v="PRD012"/>
    <n v="7"/>
    <n v="48000"/>
    <n v="336000"/>
    <n v="224000"/>
    <n v="112000"/>
  </r>
  <r>
    <s v="TRX-202605-1810"/>
    <x v="510"/>
    <s v="CUST007"/>
    <s v="PRD001"/>
    <n v="4"/>
    <n v="175000"/>
    <n v="700000"/>
    <n v="480000"/>
    <n v="220000"/>
  </r>
  <r>
    <s v="TRX-202605-1810"/>
    <x v="510"/>
    <s v="CUST007"/>
    <s v="PRD005"/>
    <n v="3"/>
    <n v="105000"/>
    <n v="315000"/>
    <n v="210000"/>
    <n v="105000"/>
  </r>
  <r>
    <s v="TRX-202605-1811"/>
    <x v="510"/>
    <s v="CUST001"/>
    <s v="PRD006"/>
    <n v="5"/>
    <n v="110000"/>
    <n v="550000"/>
    <n v="375000"/>
    <n v="175000"/>
  </r>
  <r>
    <s v="TRX-202605-1811"/>
    <x v="510"/>
    <s v="CUST001"/>
    <s v="PRD012"/>
    <n v="1"/>
    <n v="48000"/>
    <n v="48000"/>
    <n v="32000"/>
    <n v="16000"/>
  </r>
  <r>
    <s v="TRX-202605-1811"/>
    <x v="510"/>
    <s v="CUST001"/>
    <s v="PRD004"/>
    <n v="6"/>
    <n v="105000"/>
    <n v="630000"/>
    <n v="420000"/>
    <n v="210000"/>
  </r>
  <r>
    <s v="TRX-202605-1812"/>
    <x v="511"/>
    <s v="CUST006"/>
    <s v="PRD005"/>
    <n v="7"/>
    <n v="105000"/>
    <n v="735000"/>
    <n v="490000"/>
    <n v="245000"/>
  </r>
  <r>
    <s v="TRX-202605-1812"/>
    <x v="511"/>
    <s v="CUST006"/>
    <s v="PRD003"/>
    <n v="2"/>
    <n v="130000"/>
    <n v="260000"/>
    <n v="170000"/>
    <n v="90000"/>
  </r>
  <r>
    <s v="TRX-202605-1813"/>
    <x v="511"/>
    <s v="CUST001"/>
    <s v="PRD009"/>
    <n v="5"/>
    <n v="52000"/>
    <n v="260000"/>
    <n v="175000"/>
    <n v="85000"/>
  </r>
  <r>
    <s v="TRX-202605-1814"/>
    <x v="511"/>
    <s v="CUST003"/>
    <s v="PRD008"/>
    <n v="4"/>
    <n v="40000"/>
    <n v="160000"/>
    <n v="112000"/>
    <n v="48000"/>
  </r>
  <r>
    <s v="TRX-202605-1815"/>
    <x v="511"/>
    <s v="CUST007"/>
    <s v="PRD003"/>
    <n v="3"/>
    <n v="130000"/>
    <n v="390000"/>
    <n v="255000"/>
    <n v="135000"/>
  </r>
  <r>
    <s v="TRX-202605-1815"/>
    <x v="511"/>
    <s v="CUST007"/>
    <s v="PRD008"/>
    <n v="1"/>
    <n v="40000"/>
    <n v="40000"/>
    <n v="28000"/>
    <n v="12000"/>
  </r>
  <r>
    <s v="TRX-202605-1815"/>
    <x v="511"/>
    <s v="CUST007"/>
    <s v="PRD004"/>
    <n v="3"/>
    <n v="105000"/>
    <n v="315000"/>
    <n v="210000"/>
    <n v="105000"/>
  </r>
  <r>
    <s v="TRX-202605-1816"/>
    <x v="511"/>
    <s v="CUST003"/>
    <s v="PRD003"/>
    <n v="2"/>
    <n v="130000"/>
    <n v="260000"/>
    <n v="170000"/>
    <n v="90000"/>
  </r>
  <r>
    <s v="TRX-202605-1816"/>
    <x v="511"/>
    <s v="CUST003"/>
    <s v="PRD008"/>
    <n v="2"/>
    <n v="40000"/>
    <n v="80000"/>
    <n v="56000"/>
    <n v="24000"/>
  </r>
  <r>
    <s v="TRX-202605-1816"/>
    <x v="511"/>
    <s v="CUST003"/>
    <s v="PRD002"/>
    <n v="8"/>
    <n v="70000"/>
    <n v="560000"/>
    <n v="360000"/>
    <n v="200000"/>
  </r>
  <r>
    <s v="TRX-202605-1817"/>
    <x v="512"/>
    <s v="CUST004"/>
    <s v="PRD003"/>
    <n v="3"/>
    <n v="130000"/>
    <n v="390000"/>
    <n v="255000"/>
    <n v="135000"/>
  </r>
  <r>
    <s v="TRX-202605-1817"/>
    <x v="512"/>
    <s v="CUST004"/>
    <s v="PRD012"/>
    <n v="7"/>
    <n v="48000"/>
    <n v="336000"/>
    <n v="224000"/>
    <n v="112000"/>
  </r>
  <r>
    <s v="TRX-202605-1817"/>
    <x v="512"/>
    <s v="CUST004"/>
    <s v="PRD001"/>
    <n v="1"/>
    <n v="175000"/>
    <n v="175000"/>
    <n v="120000"/>
    <n v="55000"/>
  </r>
  <r>
    <s v="TRX-202605-1818"/>
    <x v="512"/>
    <s v="CUST002"/>
    <s v="PRD003"/>
    <n v="7"/>
    <n v="130000"/>
    <n v="910000"/>
    <n v="595000"/>
    <n v="315000"/>
  </r>
  <r>
    <s v="TRX-202605-1818"/>
    <x v="512"/>
    <s v="CUST002"/>
    <s v="PRD011"/>
    <n v="5"/>
    <n v="35000"/>
    <n v="175000"/>
    <n v="110000"/>
    <n v="65000"/>
  </r>
  <r>
    <s v="TRX-202605-1819"/>
    <x v="513"/>
    <s v="CUST007"/>
    <s v="PRD004"/>
    <n v="3"/>
    <n v="105000"/>
    <n v="315000"/>
    <n v="210000"/>
    <n v="105000"/>
  </r>
  <r>
    <s v="TRX-202605-1819"/>
    <x v="513"/>
    <s v="CUST007"/>
    <s v="PRD002"/>
    <n v="5"/>
    <n v="70000"/>
    <n v="350000"/>
    <n v="225000"/>
    <n v="125000"/>
  </r>
  <r>
    <s v="TRX-202605-1819"/>
    <x v="513"/>
    <s v="CUST007"/>
    <s v="PRD008"/>
    <n v="8"/>
    <n v="40000"/>
    <n v="320000"/>
    <n v="224000"/>
    <n v="96000"/>
  </r>
  <r>
    <s v="TRX-202605-1820"/>
    <x v="513"/>
    <s v="CUST007"/>
    <s v="PRD009"/>
    <n v="1"/>
    <n v="52000"/>
    <n v="52000"/>
    <n v="35000"/>
    <n v="17000"/>
  </r>
  <r>
    <s v="TRX-202605-1821"/>
    <x v="513"/>
    <s v="CUST004"/>
    <s v="PRD001"/>
    <n v="5"/>
    <n v="175000"/>
    <n v="875000"/>
    <n v="600000"/>
    <n v="275000"/>
  </r>
  <r>
    <s v="TRX-202605-1821"/>
    <x v="513"/>
    <s v="CUST004"/>
    <s v="PRD007"/>
    <n v="1"/>
    <n v="225000"/>
    <n v="225000"/>
    <n v="180000"/>
    <n v="45000"/>
  </r>
  <r>
    <s v="TRX-202605-1821"/>
    <x v="513"/>
    <s v="CUST004"/>
    <s v="PRD006"/>
    <n v="3"/>
    <n v="110000"/>
    <n v="330000"/>
    <n v="225000"/>
    <n v="105000"/>
  </r>
  <r>
    <s v="TRX-202605-1822"/>
    <x v="513"/>
    <s v="CUST006"/>
    <s v="PRD012"/>
    <n v="6"/>
    <n v="48000"/>
    <n v="288000"/>
    <n v="192000"/>
    <n v="96000"/>
  </r>
  <r>
    <s v="TRX-202605-1822"/>
    <x v="513"/>
    <s v="CUST006"/>
    <s v="PRD010"/>
    <n v="2"/>
    <n v="20000"/>
    <n v="40000"/>
    <n v="24000"/>
    <n v="16000"/>
  </r>
  <r>
    <s v="TRX-202605-1822"/>
    <x v="513"/>
    <s v="CUST006"/>
    <s v="PRD009"/>
    <n v="4"/>
    <n v="52000"/>
    <n v="208000"/>
    <n v="140000"/>
    <n v="68000"/>
  </r>
  <r>
    <s v="TRX-202605-1823"/>
    <x v="514"/>
    <s v="CUST003"/>
    <s v="PRD003"/>
    <n v="5"/>
    <n v="130000"/>
    <n v="650000"/>
    <n v="425000"/>
    <n v="225000"/>
  </r>
  <r>
    <s v="TRX-202605-1823"/>
    <x v="514"/>
    <s v="CUST003"/>
    <s v="PRD009"/>
    <n v="6"/>
    <n v="52000"/>
    <n v="312000"/>
    <n v="210000"/>
    <n v="102000"/>
  </r>
  <r>
    <s v="TRX-202605-1824"/>
    <x v="514"/>
    <s v="CUST004"/>
    <s v="PRD008"/>
    <n v="6"/>
    <n v="40000"/>
    <n v="240000"/>
    <n v="168000"/>
    <n v="72000"/>
  </r>
  <r>
    <s v="TRX-202605-1824"/>
    <x v="514"/>
    <s v="CUST004"/>
    <s v="PRD005"/>
    <n v="1"/>
    <n v="105000"/>
    <n v="105000"/>
    <n v="70000"/>
    <n v="35000"/>
  </r>
  <r>
    <s v="TRX-202605-1824"/>
    <x v="514"/>
    <s v="CUST004"/>
    <s v="PRD010"/>
    <n v="8"/>
    <n v="20000"/>
    <n v="160000"/>
    <n v="96000"/>
    <n v="64000"/>
  </r>
  <r>
    <s v="TRX-202605-1825"/>
    <x v="514"/>
    <s v="CUST001"/>
    <s v="PRD009"/>
    <n v="1"/>
    <n v="52000"/>
    <n v="52000"/>
    <n v="35000"/>
    <n v="17000"/>
  </r>
  <r>
    <s v="TRX-202605-1825"/>
    <x v="514"/>
    <s v="CUST001"/>
    <s v="PRD007"/>
    <n v="7"/>
    <n v="225000"/>
    <n v="1575000"/>
    <n v="1260000"/>
    <n v="315000"/>
  </r>
  <r>
    <s v="TRX-202605-1825"/>
    <x v="514"/>
    <s v="CUST001"/>
    <s v="PRD005"/>
    <n v="8"/>
    <n v="105000"/>
    <n v="840000"/>
    <n v="560000"/>
    <n v="280000"/>
  </r>
  <r>
    <s v="TRX-202605-1826"/>
    <x v="514"/>
    <s v="CUST006"/>
    <s v="PRD001"/>
    <n v="1"/>
    <n v="175000"/>
    <n v="175000"/>
    <n v="120000"/>
    <n v="55000"/>
  </r>
  <r>
    <s v="TRX-202605-1826"/>
    <x v="514"/>
    <s v="CUST006"/>
    <s v="PRD003"/>
    <n v="1"/>
    <n v="130000"/>
    <n v="130000"/>
    <n v="85000"/>
    <n v="45000"/>
  </r>
  <r>
    <s v="TRX-202605-1827"/>
    <x v="515"/>
    <s v="CUST001"/>
    <s v="PRD004"/>
    <n v="6"/>
    <n v="105000"/>
    <n v="630000"/>
    <n v="420000"/>
    <n v="210000"/>
  </r>
  <r>
    <s v="TRX-202605-1828"/>
    <x v="515"/>
    <s v="CUST002"/>
    <s v="PRD003"/>
    <n v="6"/>
    <n v="130000"/>
    <n v="780000"/>
    <n v="510000"/>
    <n v="270000"/>
  </r>
  <r>
    <s v="TRX-202605-1829"/>
    <x v="515"/>
    <s v="CUST006"/>
    <s v="PRD001"/>
    <n v="4"/>
    <n v="175000"/>
    <n v="700000"/>
    <n v="480000"/>
    <n v="220000"/>
  </r>
  <r>
    <s v="TRX-202605-1829"/>
    <x v="515"/>
    <s v="CUST006"/>
    <s v="PRD002"/>
    <n v="6"/>
    <n v="70000"/>
    <n v="420000"/>
    <n v="270000"/>
    <n v="150000"/>
  </r>
  <r>
    <s v="TRX-202606-1830"/>
    <x v="516"/>
    <s v="CUST006"/>
    <s v="PRD012"/>
    <n v="2"/>
    <n v="48000"/>
    <n v="96000"/>
    <n v="64000"/>
    <n v="32000"/>
  </r>
  <r>
    <s v="TRX-202606-1830"/>
    <x v="516"/>
    <s v="CUST006"/>
    <s v="PRD009"/>
    <n v="3"/>
    <n v="52000"/>
    <n v="156000"/>
    <n v="105000"/>
    <n v="51000"/>
  </r>
  <r>
    <s v="TRX-202606-1830"/>
    <x v="516"/>
    <s v="CUST006"/>
    <s v="PRD004"/>
    <n v="5"/>
    <n v="105000"/>
    <n v="525000"/>
    <n v="350000"/>
    <n v="175000"/>
  </r>
  <r>
    <s v="TRX-202606-1831"/>
    <x v="516"/>
    <s v="CUST005"/>
    <s v="PRD003"/>
    <n v="1"/>
    <n v="130000"/>
    <n v="130000"/>
    <n v="85000"/>
    <n v="45000"/>
  </r>
  <r>
    <s v="TRX-202606-1832"/>
    <x v="517"/>
    <s v="CUST002"/>
    <s v="PRD004"/>
    <n v="2"/>
    <n v="105000"/>
    <n v="210000"/>
    <n v="140000"/>
    <n v="70000"/>
  </r>
  <r>
    <s v="TRX-202606-1832"/>
    <x v="517"/>
    <s v="CUST002"/>
    <s v="PRD008"/>
    <n v="3"/>
    <n v="40000"/>
    <n v="120000"/>
    <n v="84000"/>
    <n v="36000"/>
  </r>
  <r>
    <s v="TRX-202606-1832"/>
    <x v="517"/>
    <s v="CUST002"/>
    <s v="PRD006"/>
    <n v="3"/>
    <n v="110000"/>
    <n v="330000"/>
    <n v="225000"/>
    <n v="105000"/>
  </r>
  <r>
    <s v="TRX-202606-1833"/>
    <x v="517"/>
    <s v="CUST007"/>
    <s v="PRD002"/>
    <n v="2"/>
    <n v="70000"/>
    <n v="140000"/>
    <n v="90000"/>
    <n v="50000"/>
  </r>
  <r>
    <s v="TRX-202606-1833"/>
    <x v="517"/>
    <s v="CUST007"/>
    <s v="PRD004"/>
    <n v="8"/>
    <n v="105000"/>
    <n v="840000"/>
    <n v="560000"/>
    <n v="280000"/>
  </r>
  <r>
    <s v="TRX-202606-1834"/>
    <x v="517"/>
    <s v="CUST006"/>
    <s v="PRD012"/>
    <n v="7"/>
    <n v="48000"/>
    <n v="336000"/>
    <n v="224000"/>
    <n v="112000"/>
  </r>
  <r>
    <s v="TRX-202606-1835"/>
    <x v="517"/>
    <s v="CUST003"/>
    <s v="PRD005"/>
    <n v="6"/>
    <n v="105000"/>
    <n v="630000"/>
    <n v="420000"/>
    <n v="210000"/>
  </r>
  <r>
    <s v="TRX-202606-1835"/>
    <x v="517"/>
    <s v="CUST003"/>
    <s v="PRD008"/>
    <n v="3"/>
    <n v="40000"/>
    <n v="120000"/>
    <n v="84000"/>
    <n v="36000"/>
  </r>
  <r>
    <s v="TRX-202606-1836"/>
    <x v="518"/>
    <s v="CUST002"/>
    <s v="PRD012"/>
    <n v="6"/>
    <n v="48000"/>
    <n v="288000"/>
    <n v="192000"/>
    <n v="96000"/>
  </r>
  <r>
    <s v="TRX-202606-1836"/>
    <x v="518"/>
    <s v="CUST002"/>
    <s v="PRD004"/>
    <n v="6"/>
    <n v="105000"/>
    <n v="630000"/>
    <n v="420000"/>
    <n v="210000"/>
  </r>
  <r>
    <s v="TRX-202606-1837"/>
    <x v="518"/>
    <s v="CUST001"/>
    <s v="PRD002"/>
    <n v="4"/>
    <n v="70000"/>
    <n v="280000"/>
    <n v="180000"/>
    <n v="100000"/>
  </r>
  <r>
    <s v="TRX-202606-1837"/>
    <x v="518"/>
    <s v="CUST001"/>
    <s v="PRD005"/>
    <n v="3"/>
    <n v="105000"/>
    <n v="315000"/>
    <n v="210000"/>
    <n v="105000"/>
  </r>
  <r>
    <s v="TRX-202606-1838"/>
    <x v="519"/>
    <s v="CUST006"/>
    <s v="PRD009"/>
    <n v="3"/>
    <n v="52000"/>
    <n v="156000"/>
    <n v="105000"/>
    <n v="51000"/>
  </r>
  <r>
    <s v="TRX-202606-1838"/>
    <x v="519"/>
    <s v="CUST006"/>
    <s v="PRD002"/>
    <n v="1"/>
    <n v="70000"/>
    <n v="70000"/>
    <n v="45000"/>
    <n v="25000"/>
  </r>
  <r>
    <s v="TRX-202606-1838"/>
    <x v="519"/>
    <s v="CUST006"/>
    <s v="PRD010"/>
    <n v="5"/>
    <n v="20000"/>
    <n v="100000"/>
    <n v="60000"/>
    <n v="40000"/>
  </r>
  <r>
    <s v="TRX-202606-1839"/>
    <x v="519"/>
    <s v="CUST008"/>
    <s v="PRD001"/>
    <n v="8"/>
    <n v="175000"/>
    <n v="1400000"/>
    <n v="960000"/>
    <n v="440000"/>
  </r>
  <r>
    <s v="TRX-202606-1839"/>
    <x v="519"/>
    <s v="CUST008"/>
    <s v="PRD007"/>
    <n v="7"/>
    <n v="225000"/>
    <n v="1575000"/>
    <n v="1260000"/>
    <n v="315000"/>
  </r>
  <r>
    <s v="TRX-202606-1840"/>
    <x v="519"/>
    <s v="CUST004"/>
    <s v="PRD004"/>
    <n v="3"/>
    <n v="105000"/>
    <n v="315000"/>
    <n v="210000"/>
    <n v="105000"/>
  </r>
  <r>
    <s v="TRX-202606-1841"/>
    <x v="519"/>
    <s v="CUST007"/>
    <s v="PRD002"/>
    <n v="1"/>
    <n v="70000"/>
    <n v="70000"/>
    <n v="45000"/>
    <n v="25000"/>
  </r>
  <r>
    <s v="TRX-202606-1841"/>
    <x v="519"/>
    <s v="CUST007"/>
    <s v="PRD006"/>
    <n v="3"/>
    <n v="110000"/>
    <n v="330000"/>
    <n v="225000"/>
    <n v="105000"/>
  </r>
  <r>
    <s v="TRX-202606-1842"/>
    <x v="520"/>
    <s v="CUST007"/>
    <s v="PRD003"/>
    <n v="3"/>
    <n v="130000"/>
    <n v="390000"/>
    <n v="255000"/>
    <n v="135000"/>
  </r>
  <r>
    <s v="TRX-202606-1842"/>
    <x v="520"/>
    <s v="CUST007"/>
    <s v="PRD011"/>
    <n v="6"/>
    <n v="35000"/>
    <n v="210000"/>
    <n v="132000"/>
    <n v="78000"/>
  </r>
  <r>
    <s v="TRX-202606-1843"/>
    <x v="520"/>
    <s v="CUST005"/>
    <s v="PRD011"/>
    <n v="6"/>
    <n v="35000"/>
    <n v="210000"/>
    <n v="132000"/>
    <n v="78000"/>
  </r>
  <r>
    <s v="TRX-202606-1844"/>
    <x v="520"/>
    <s v="CUST006"/>
    <s v="PRD010"/>
    <n v="7"/>
    <n v="20000"/>
    <n v="140000"/>
    <n v="84000"/>
    <n v="56000"/>
  </r>
  <r>
    <s v="TRX-202606-1845"/>
    <x v="520"/>
    <s v="CUST003"/>
    <s v="PRD003"/>
    <n v="6"/>
    <n v="130000"/>
    <n v="780000"/>
    <n v="510000"/>
    <n v="270000"/>
  </r>
  <r>
    <s v="TRX-202606-1845"/>
    <x v="520"/>
    <s v="CUST003"/>
    <s v="PRD012"/>
    <n v="1"/>
    <n v="48000"/>
    <n v="48000"/>
    <n v="32000"/>
    <n v="16000"/>
  </r>
  <r>
    <s v="TRX-202606-1845"/>
    <x v="520"/>
    <s v="CUST003"/>
    <s v="PRD011"/>
    <n v="2"/>
    <n v="35000"/>
    <n v="70000"/>
    <n v="44000"/>
    <n v="26000"/>
  </r>
  <r>
    <s v="TRX-202606-1846"/>
    <x v="521"/>
    <s v="CUST001"/>
    <s v="PRD012"/>
    <n v="7"/>
    <n v="48000"/>
    <n v="336000"/>
    <n v="224000"/>
    <n v="112000"/>
  </r>
  <r>
    <s v="TRX-202606-1846"/>
    <x v="521"/>
    <s v="CUST001"/>
    <s v="PRD011"/>
    <n v="3"/>
    <n v="35000"/>
    <n v="105000"/>
    <n v="66000"/>
    <n v="39000"/>
  </r>
  <r>
    <s v="TRX-202606-1846"/>
    <x v="521"/>
    <s v="CUST001"/>
    <s v="PRD007"/>
    <n v="8"/>
    <n v="225000"/>
    <n v="1800000"/>
    <n v="1440000"/>
    <n v="360000"/>
  </r>
  <r>
    <s v="TRX-202606-1847"/>
    <x v="521"/>
    <s v="CUST001"/>
    <s v="PRD007"/>
    <n v="7"/>
    <n v="225000"/>
    <n v="1575000"/>
    <n v="1260000"/>
    <n v="315000"/>
  </r>
  <r>
    <s v="TRX-202606-1848"/>
    <x v="522"/>
    <s v="CUST003"/>
    <s v="PRD008"/>
    <n v="2"/>
    <n v="40000"/>
    <n v="80000"/>
    <n v="56000"/>
    <n v="24000"/>
  </r>
  <r>
    <s v="TRX-202606-1848"/>
    <x v="522"/>
    <s v="CUST003"/>
    <s v="PRD002"/>
    <n v="4"/>
    <n v="70000"/>
    <n v="280000"/>
    <n v="180000"/>
    <n v="100000"/>
  </r>
  <r>
    <s v="TRX-202606-1849"/>
    <x v="522"/>
    <s v="CUST007"/>
    <s v="PRD012"/>
    <n v="1"/>
    <n v="48000"/>
    <n v="48000"/>
    <n v="32000"/>
    <n v="16000"/>
  </r>
  <r>
    <s v="TRX-202606-1850"/>
    <x v="522"/>
    <s v="CUST007"/>
    <s v="PRD009"/>
    <n v="3"/>
    <n v="52000"/>
    <n v="156000"/>
    <n v="105000"/>
    <n v="51000"/>
  </r>
  <r>
    <s v="TRX-202606-1851"/>
    <x v="523"/>
    <s v="CUST003"/>
    <s v="PRD011"/>
    <n v="2"/>
    <n v="35000"/>
    <n v="70000"/>
    <n v="44000"/>
    <n v="26000"/>
  </r>
  <r>
    <s v="TRX-202606-1852"/>
    <x v="523"/>
    <s v="CUST004"/>
    <s v="PRD007"/>
    <n v="2"/>
    <n v="225000"/>
    <n v="450000"/>
    <n v="360000"/>
    <n v="90000"/>
  </r>
  <r>
    <s v="TRX-202606-1853"/>
    <x v="523"/>
    <s v="CUST001"/>
    <s v="PRD010"/>
    <n v="2"/>
    <n v="20000"/>
    <n v="40000"/>
    <n v="24000"/>
    <n v="16000"/>
  </r>
  <r>
    <s v="TRX-202606-1853"/>
    <x v="523"/>
    <s v="CUST001"/>
    <s v="PRD005"/>
    <n v="7"/>
    <n v="105000"/>
    <n v="735000"/>
    <n v="490000"/>
    <n v="245000"/>
  </r>
  <r>
    <s v="TRX-202606-1853"/>
    <x v="523"/>
    <s v="CUST001"/>
    <s v="PRD011"/>
    <n v="5"/>
    <n v="35000"/>
    <n v="175000"/>
    <n v="110000"/>
    <n v="65000"/>
  </r>
  <r>
    <s v="TRX-202606-1854"/>
    <x v="523"/>
    <s v="CUST003"/>
    <s v="PRD012"/>
    <n v="2"/>
    <n v="48000"/>
    <n v="96000"/>
    <n v="64000"/>
    <n v="32000"/>
  </r>
  <r>
    <s v="TRX-202606-1855"/>
    <x v="523"/>
    <s v="CUST007"/>
    <s v="PRD005"/>
    <n v="2"/>
    <n v="105000"/>
    <n v="210000"/>
    <n v="140000"/>
    <n v="70000"/>
  </r>
  <r>
    <s v="TRX-202606-1855"/>
    <x v="523"/>
    <s v="CUST007"/>
    <s v="PRD012"/>
    <n v="4"/>
    <n v="48000"/>
    <n v="192000"/>
    <n v="128000"/>
    <n v="64000"/>
  </r>
  <r>
    <s v="TRX-202606-1856"/>
    <x v="524"/>
    <s v="CUST001"/>
    <s v="PRD008"/>
    <n v="4"/>
    <n v="40000"/>
    <n v="160000"/>
    <n v="112000"/>
    <n v="48000"/>
  </r>
  <r>
    <s v="TRX-202606-1857"/>
    <x v="524"/>
    <s v="CUST003"/>
    <s v="PRD012"/>
    <n v="1"/>
    <n v="48000"/>
    <n v="48000"/>
    <n v="32000"/>
    <n v="16000"/>
  </r>
  <r>
    <s v="TRX-202606-1857"/>
    <x v="524"/>
    <s v="CUST003"/>
    <s v="PRD003"/>
    <n v="3"/>
    <n v="130000"/>
    <n v="390000"/>
    <n v="255000"/>
    <n v="135000"/>
  </r>
  <r>
    <s v="TRX-202606-1858"/>
    <x v="524"/>
    <s v="CUST005"/>
    <s v="PRD004"/>
    <n v="5"/>
    <n v="105000"/>
    <n v="525000"/>
    <n v="350000"/>
    <n v="175000"/>
  </r>
  <r>
    <s v="TRX-202606-1858"/>
    <x v="524"/>
    <s v="CUST005"/>
    <s v="PRD008"/>
    <n v="5"/>
    <n v="40000"/>
    <n v="200000"/>
    <n v="140000"/>
    <n v="60000"/>
  </r>
  <r>
    <s v="TRX-202606-1858"/>
    <x v="524"/>
    <s v="CUST005"/>
    <s v="PRD005"/>
    <n v="2"/>
    <n v="105000"/>
    <n v="210000"/>
    <n v="140000"/>
    <n v="70000"/>
  </r>
  <r>
    <s v="TRX-202606-1859"/>
    <x v="524"/>
    <s v="CUST008"/>
    <s v="PRD004"/>
    <n v="5"/>
    <n v="105000"/>
    <n v="525000"/>
    <n v="350000"/>
    <n v="175000"/>
  </r>
  <r>
    <s v="TRX-202606-1860"/>
    <x v="524"/>
    <s v="CUST006"/>
    <s v="PRD006"/>
    <n v="7"/>
    <n v="110000"/>
    <n v="770000"/>
    <n v="525000"/>
    <n v="245000"/>
  </r>
  <r>
    <s v="TRX-202606-1860"/>
    <x v="524"/>
    <s v="CUST006"/>
    <s v="PRD004"/>
    <n v="5"/>
    <n v="105000"/>
    <n v="525000"/>
    <n v="350000"/>
    <n v="175000"/>
  </r>
  <r>
    <s v="TRX-202606-1861"/>
    <x v="525"/>
    <s v="CUST006"/>
    <s v="PRD006"/>
    <n v="3"/>
    <n v="110000"/>
    <n v="330000"/>
    <n v="225000"/>
    <n v="105000"/>
  </r>
  <r>
    <s v="TRX-202606-1861"/>
    <x v="525"/>
    <s v="CUST006"/>
    <s v="PRD008"/>
    <n v="2"/>
    <n v="40000"/>
    <n v="80000"/>
    <n v="56000"/>
    <n v="24000"/>
  </r>
  <r>
    <s v="TRX-202606-1861"/>
    <x v="525"/>
    <s v="CUST006"/>
    <s v="PRD005"/>
    <n v="7"/>
    <n v="105000"/>
    <n v="735000"/>
    <n v="490000"/>
    <n v="245000"/>
  </r>
  <r>
    <s v="TRX-202606-1862"/>
    <x v="525"/>
    <s v="CUST005"/>
    <s v="PRD006"/>
    <n v="1"/>
    <n v="110000"/>
    <n v="110000"/>
    <n v="75000"/>
    <n v="35000"/>
  </r>
  <r>
    <s v="TRX-202606-1863"/>
    <x v="525"/>
    <s v="CUST001"/>
    <s v="PRD004"/>
    <n v="2"/>
    <n v="105000"/>
    <n v="210000"/>
    <n v="140000"/>
    <n v="70000"/>
  </r>
  <r>
    <s v="TRX-202606-1863"/>
    <x v="525"/>
    <s v="CUST001"/>
    <s v="PRD008"/>
    <n v="5"/>
    <n v="40000"/>
    <n v="200000"/>
    <n v="140000"/>
    <n v="60000"/>
  </r>
  <r>
    <s v="TRX-202606-1863"/>
    <x v="525"/>
    <s v="CUST001"/>
    <s v="PRD009"/>
    <n v="7"/>
    <n v="52000"/>
    <n v="364000"/>
    <n v="245000"/>
    <n v="119000"/>
  </r>
  <r>
    <s v="TRX-202606-1864"/>
    <x v="526"/>
    <s v="CUST004"/>
    <s v="PRD009"/>
    <n v="6"/>
    <n v="52000"/>
    <n v="312000"/>
    <n v="210000"/>
    <n v="102000"/>
  </r>
  <r>
    <s v="TRX-202606-1864"/>
    <x v="526"/>
    <s v="CUST004"/>
    <s v="PRD002"/>
    <n v="5"/>
    <n v="70000"/>
    <n v="350000"/>
    <n v="225000"/>
    <n v="125000"/>
  </r>
  <r>
    <s v="TRX-202606-1865"/>
    <x v="526"/>
    <s v="CUST002"/>
    <s v="PRD006"/>
    <n v="1"/>
    <n v="110000"/>
    <n v="110000"/>
    <n v="75000"/>
    <n v="35000"/>
  </r>
  <r>
    <s v="TRX-202606-1865"/>
    <x v="526"/>
    <s v="CUST002"/>
    <s v="PRD009"/>
    <n v="1"/>
    <n v="52000"/>
    <n v="52000"/>
    <n v="35000"/>
    <n v="17000"/>
  </r>
  <r>
    <s v="TRX-202606-1865"/>
    <x v="526"/>
    <s v="CUST002"/>
    <s v="PRD010"/>
    <n v="3"/>
    <n v="20000"/>
    <n v="60000"/>
    <n v="36000"/>
    <n v="24000"/>
  </r>
  <r>
    <s v="TRX-202606-1866"/>
    <x v="526"/>
    <s v="CUST008"/>
    <s v="PRD012"/>
    <n v="2"/>
    <n v="48000"/>
    <n v="96000"/>
    <n v="64000"/>
    <n v="32000"/>
  </r>
  <r>
    <s v="TRX-202606-1866"/>
    <x v="526"/>
    <s v="CUST008"/>
    <s v="PRD003"/>
    <n v="1"/>
    <n v="130000"/>
    <n v="130000"/>
    <n v="85000"/>
    <n v="45000"/>
  </r>
  <r>
    <s v="TRX-202606-1867"/>
    <x v="526"/>
    <s v="CUST005"/>
    <s v="PRD001"/>
    <n v="7"/>
    <n v="175000"/>
    <n v="1225000"/>
    <n v="840000"/>
    <n v="385000"/>
  </r>
  <r>
    <s v="TRX-202606-1867"/>
    <x v="526"/>
    <s v="CUST005"/>
    <s v="PRD008"/>
    <n v="1"/>
    <n v="40000"/>
    <n v="40000"/>
    <n v="28000"/>
    <n v="12000"/>
  </r>
  <r>
    <s v="TRX-202606-1868"/>
    <x v="526"/>
    <s v="CUST005"/>
    <s v="PRD006"/>
    <n v="7"/>
    <n v="110000"/>
    <n v="770000"/>
    <n v="525000"/>
    <n v="245000"/>
  </r>
  <r>
    <s v="TRX-202606-1869"/>
    <x v="527"/>
    <s v="CUST005"/>
    <s v="PRD010"/>
    <n v="1"/>
    <n v="20000"/>
    <n v="20000"/>
    <n v="12000"/>
    <n v="8000"/>
  </r>
  <r>
    <s v="TRX-202606-1870"/>
    <x v="527"/>
    <s v="CUST008"/>
    <s v="PRD011"/>
    <n v="6"/>
    <n v="35000"/>
    <n v="210000"/>
    <n v="132000"/>
    <n v="78000"/>
  </r>
  <r>
    <s v="TRX-202606-1870"/>
    <x v="527"/>
    <s v="CUST008"/>
    <s v="PRD009"/>
    <n v="4"/>
    <n v="52000"/>
    <n v="208000"/>
    <n v="140000"/>
    <n v="68000"/>
  </r>
  <r>
    <s v="TRX-202606-1870"/>
    <x v="527"/>
    <s v="CUST008"/>
    <s v="PRD007"/>
    <n v="6"/>
    <n v="225000"/>
    <n v="1350000"/>
    <n v="1080000"/>
    <n v="270000"/>
  </r>
  <r>
    <s v="TRX-202606-1871"/>
    <x v="527"/>
    <s v="CUST001"/>
    <s v="PRD008"/>
    <n v="7"/>
    <n v="40000"/>
    <n v="280000"/>
    <n v="196000"/>
    <n v="84000"/>
  </r>
  <r>
    <s v="TRX-202606-1871"/>
    <x v="527"/>
    <s v="CUST001"/>
    <s v="PRD004"/>
    <n v="4"/>
    <n v="105000"/>
    <n v="420000"/>
    <n v="280000"/>
    <n v="140000"/>
  </r>
  <r>
    <s v="TRX-202606-1872"/>
    <x v="527"/>
    <s v="CUST005"/>
    <s v="PRD003"/>
    <n v="8"/>
    <n v="130000"/>
    <n v="1040000"/>
    <n v="680000"/>
    <n v="360000"/>
  </r>
  <r>
    <s v="TRX-202606-1872"/>
    <x v="527"/>
    <s v="CUST005"/>
    <s v="PRD009"/>
    <n v="7"/>
    <n v="52000"/>
    <n v="364000"/>
    <n v="245000"/>
    <n v="119000"/>
  </r>
  <r>
    <s v="TRX-202606-1872"/>
    <x v="527"/>
    <s v="CUST005"/>
    <s v="PRD010"/>
    <n v="1"/>
    <n v="20000"/>
    <n v="20000"/>
    <n v="12000"/>
    <n v="8000"/>
  </r>
  <r>
    <s v="TRX-202606-1873"/>
    <x v="527"/>
    <s v="CUST006"/>
    <s v="PRD006"/>
    <n v="3"/>
    <n v="110000"/>
    <n v="330000"/>
    <n v="225000"/>
    <n v="105000"/>
  </r>
  <r>
    <s v="TRX-202606-1873"/>
    <x v="527"/>
    <s v="CUST006"/>
    <s v="PRD001"/>
    <n v="3"/>
    <n v="175000"/>
    <n v="525000"/>
    <n v="360000"/>
    <n v="165000"/>
  </r>
  <r>
    <s v="TRX-202606-1873"/>
    <x v="527"/>
    <s v="CUST006"/>
    <s v="PRD005"/>
    <n v="2"/>
    <n v="105000"/>
    <n v="210000"/>
    <n v="140000"/>
    <n v="70000"/>
  </r>
  <r>
    <s v="TRX-202606-1874"/>
    <x v="528"/>
    <s v="CUST008"/>
    <s v="PRD010"/>
    <n v="3"/>
    <n v="20000"/>
    <n v="60000"/>
    <n v="36000"/>
    <n v="24000"/>
  </r>
  <r>
    <s v="TRX-202606-1875"/>
    <x v="528"/>
    <s v="CUST002"/>
    <s v="PRD010"/>
    <n v="8"/>
    <n v="20000"/>
    <n v="160000"/>
    <n v="96000"/>
    <n v="64000"/>
  </r>
  <r>
    <s v="TRX-202606-1875"/>
    <x v="528"/>
    <s v="CUST002"/>
    <s v="PRD009"/>
    <n v="2"/>
    <n v="52000"/>
    <n v="104000"/>
    <n v="70000"/>
    <n v="34000"/>
  </r>
  <r>
    <s v="TRX-202606-1875"/>
    <x v="528"/>
    <s v="CUST002"/>
    <s v="PRD003"/>
    <n v="3"/>
    <n v="130000"/>
    <n v="390000"/>
    <n v="255000"/>
    <n v="135000"/>
  </r>
  <r>
    <s v="TRX-202606-1876"/>
    <x v="529"/>
    <s v="CUST006"/>
    <s v="PRD011"/>
    <n v="1"/>
    <n v="35000"/>
    <n v="35000"/>
    <n v="22000"/>
    <n v="13000"/>
  </r>
  <r>
    <s v="TRX-202606-1876"/>
    <x v="529"/>
    <s v="CUST006"/>
    <s v="PRD012"/>
    <n v="2"/>
    <n v="48000"/>
    <n v="96000"/>
    <n v="64000"/>
    <n v="32000"/>
  </r>
  <r>
    <s v="TRX-202606-1877"/>
    <x v="529"/>
    <s v="CUST005"/>
    <s v="PRD010"/>
    <n v="7"/>
    <n v="20000"/>
    <n v="140000"/>
    <n v="84000"/>
    <n v="56000"/>
  </r>
  <r>
    <s v="TRX-202606-1877"/>
    <x v="529"/>
    <s v="CUST005"/>
    <s v="PRD012"/>
    <n v="8"/>
    <n v="48000"/>
    <n v="384000"/>
    <n v="256000"/>
    <n v="128000"/>
  </r>
  <r>
    <s v="TRX-202606-1878"/>
    <x v="529"/>
    <s v="CUST001"/>
    <s v="PRD010"/>
    <n v="2"/>
    <n v="20000"/>
    <n v="40000"/>
    <n v="24000"/>
    <n v="16000"/>
  </r>
  <r>
    <s v="TRX-202606-1878"/>
    <x v="529"/>
    <s v="CUST001"/>
    <s v="PRD003"/>
    <n v="6"/>
    <n v="130000"/>
    <n v="780000"/>
    <n v="510000"/>
    <n v="270000"/>
  </r>
  <r>
    <s v="TRX-202606-1879"/>
    <x v="530"/>
    <s v="CUST007"/>
    <s v="PRD007"/>
    <n v="4"/>
    <n v="225000"/>
    <n v="900000"/>
    <n v="720000"/>
    <n v="180000"/>
  </r>
  <r>
    <s v="TRX-202606-1879"/>
    <x v="530"/>
    <s v="CUST007"/>
    <s v="PRD011"/>
    <n v="2"/>
    <n v="35000"/>
    <n v="70000"/>
    <n v="44000"/>
    <n v="26000"/>
  </r>
  <r>
    <s v="TRX-202606-1879"/>
    <x v="530"/>
    <s v="CUST007"/>
    <s v="PRD005"/>
    <n v="6"/>
    <n v="105000"/>
    <n v="630000"/>
    <n v="420000"/>
    <n v="210000"/>
  </r>
  <r>
    <s v="TRX-202606-1880"/>
    <x v="530"/>
    <s v="CUST001"/>
    <s v="PRD007"/>
    <n v="5"/>
    <n v="225000"/>
    <n v="1125000"/>
    <n v="900000"/>
    <n v="225000"/>
  </r>
  <r>
    <s v="TRX-202606-1881"/>
    <x v="531"/>
    <s v="CUST003"/>
    <s v="PRD003"/>
    <n v="3"/>
    <n v="130000"/>
    <n v="390000"/>
    <n v="255000"/>
    <n v="135000"/>
  </r>
  <r>
    <s v="TRX-202606-1881"/>
    <x v="531"/>
    <s v="CUST003"/>
    <s v="PRD010"/>
    <n v="5"/>
    <n v="20000"/>
    <n v="100000"/>
    <n v="60000"/>
    <n v="40000"/>
  </r>
  <r>
    <s v="TRX-202606-1881"/>
    <x v="531"/>
    <s v="CUST003"/>
    <s v="PRD007"/>
    <n v="5"/>
    <n v="225000"/>
    <n v="1125000"/>
    <n v="900000"/>
    <n v="225000"/>
  </r>
  <r>
    <s v="TRX-202606-1882"/>
    <x v="531"/>
    <s v="CUST006"/>
    <s v="PRD011"/>
    <n v="1"/>
    <n v="35000"/>
    <n v="35000"/>
    <n v="22000"/>
    <n v="13000"/>
  </r>
  <r>
    <s v="TRX-202606-1883"/>
    <x v="531"/>
    <s v="CUST008"/>
    <s v="PRD009"/>
    <n v="6"/>
    <n v="52000"/>
    <n v="312000"/>
    <n v="210000"/>
    <n v="102000"/>
  </r>
  <r>
    <s v="TRX-202606-1884"/>
    <x v="531"/>
    <s v="CUST003"/>
    <s v="PRD011"/>
    <n v="2"/>
    <n v="35000"/>
    <n v="70000"/>
    <n v="44000"/>
    <n v="26000"/>
  </r>
  <r>
    <s v="TRX-202606-1884"/>
    <x v="531"/>
    <s v="CUST003"/>
    <s v="PRD008"/>
    <n v="2"/>
    <n v="40000"/>
    <n v="80000"/>
    <n v="56000"/>
    <n v="24000"/>
  </r>
  <r>
    <s v="TRX-202606-1884"/>
    <x v="531"/>
    <s v="CUST003"/>
    <s v="PRD005"/>
    <n v="7"/>
    <n v="105000"/>
    <n v="735000"/>
    <n v="490000"/>
    <n v="245000"/>
  </r>
  <r>
    <s v="TRX-202606-1885"/>
    <x v="531"/>
    <s v="CUST001"/>
    <s v="PRD010"/>
    <n v="2"/>
    <n v="20000"/>
    <n v="40000"/>
    <n v="24000"/>
    <n v="16000"/>
  </r>
  <r>
    <s v="TRX-202606-1885"/>
    <x v="531"/>
    <s v="CUST001"/>
    <s v="PRD011"/>
    <n v="7"/>
    <n v="35000"/>
    <n v="245000"/>
    <n v="154000"/>
    <n v="91000"/>
  </r>
  <r>
    <s v="TRX-202606-1886"/>
    <x v="532"/>
    <s v="CUST005"/>
    <s v="PRD009"/>
    <n v="8"/>
    <n v="52000"/>
    <n v="416000"/>
    <n v="280000"/>
    <n v="136000"/>
  </r>
  <r>
    <s v="TRX-202606-1886"/>
    <x v="532"/>
    <s v="CUST005"/>
    <s v="PRD011"/>
    <n v="1"/>
    <n v="35000"/>
    <n v="35000"/>
    <n v="22000"/>
    <n v="13000"/>
  </r>
  <r>
    <s v="TRX-202606-1887"/>
    <x v="532"/>
    <s v="CUST002"/>
    <s v="PRD001"/>
    <n v="5"/>
    <n v="175000"/>
    <n v="875000"/>
    <n v="600000"/>
    <n v="275000"/>
  </r>
  <r>
    <s v="TRX-202606-1888"/>
    <x v="532"/>
    <s v="CUST003"/>
    <s v="PRD003"/>
    <n v="6"/>
    <n v="130000"/>
    <n v="780000"/>
    <n v="510000"/>
    <n v="270000"/>
  </r>
  <r>
    <s v="TRX-202606-1888"/>
    <x v="532"/>
    <s v="CUST003"/>
    <s v="PRD011"/>
    <n v="4"/>
    <n v="35000"/>
    <n v="140000"/>
    <n v="88000"/>
    <n v="52000"/>
  </r>
  <r>
    <s v="TRX-202606-1889"/>
    <x v="533"/>
    <s v="CUST001"/>
    <s v="PRD006"/>
    <n v="7"/>
    <n v="110000"/>
    <n v="770000"/>
    <n v="525000"/>
    <n v="245000"/>
  </r>
  <r>
    <s v="TRX-202606-1889"/>
    <x v="533"/>
    <s v="CUST001"/>
    <s v="PRD004"/>
    <n v="5"/>
    <n v="105000"/>
    <n v="525000"/>
    <n v="350000"/>
    <n v="175000"/>
  </r>
  <r>
    <s v="TRX-202606-1890"/>
    <x v="533"/>
    <s v="CUST002"/>
    <s v="PRD009"/>
    <n v="5"/>
    <n v="52000"/>
    <n v="260000"/>
    <n v="175000"/>
    <n v="85000"/>
  </r>
  <r>
    <s v="TRX-202606-1890"/>
    <x v="533"/>
    <s v="CUST002"/>
    <s v="PRD008"/>
    <n v="1"/>
    <n v="40000"/>
    <n v="40000"/>
    <n v="28000"/>
    <n v="12000"/>
  </r>
  <r>
    <s v="TRX-202606-1890"/>
    <x v="533"/>
    <s v="CUST002"/>
    <s v="PRD006"/>
    <n v="4"/>
    <n v="110000"/>
    <n v="440000"/>
    <n v="300000"/>
    <n v="140000"/>
  </r>
  <r>
    <s v="TRX-202606-1891"/>
    <x v="533"/>
    <s v="CUST007"/>
    <s v="PRD005"/>
    <n v="3"/>
    <n v="105000"/>
    <n v="315000"/>
    <n v="210000"/>
    <n v="105000"/>
  </r>
  <r>
    <s v="TRX-202606-1891"/>
    <x v="533"/>
    <s v="CUST007"/>
    <s v="PRD009"/>
    <n v="2"/>
    <n v="52000"/>
    <n v="104000"/>
    <n v="70000"/>
    <n v="34000"/>
  </r>
  <r>
    <s v="TRX-202606-1891"/>
    <x v="533"/>
    <s v="CUST007"/>
    <s v="PRD011"/>
    <n v="6"/>
    <n v="35000"/>
    <n v="210000"/>
    <n v="132000"/>
    <n v="78000"/>
  </r>
  <r>
    <s v="TRX-202606-1892"/>
    <x v="533"/>
    <s v="CUST008"/>
    <s v="PRD004"/>
    <n v="6"/>
    <n v="105000"/>
    <n v="630000"/>
    <n v="420000"/>
    <n v="210000"/>
  </r>
  <r>
    <s v="TRX-202606-1892"/>
    <x v="533"/>
    <s v="CUST008"/>
    <s v="PRD009"/>
    <n v="5"/>
    <n v="52000"/>
    <n v="260000"/>
    <n v="175000"/>
    <n v="85000"/>
  </r>
  <r>
    <s v="TRX-202606-1893"/>
    <x v="534"/>
    <s v="CUST003"/>
    <s v="PRD009"/>
    <n v="3"/>
    <n v="52000"/>
    <n v="156000"/>
    <n v="105000"/>
    <n v="51000"/>
  </r>
  <r>
    <s v="TRX-202606-1893"/>
    <x v="534"/>
    <s v="CUST003"/>
    <s v="PRD007"/>
    <n v="7"/>
    <n v="225000"/>
    <n v="1575000"/>
    <n v="1260000"/>
    <n v="315000"/>
  </r>
  <r>
    <s v="TRX-202606-1893"/>
    <x v="534"/>
    <s v="CUST003"/>
    <s v="PRD003"/>
    <n v="3"/>
    <n v="130000"/>
    <n v="390000"/>
    <n v="255000"/>
    <n v="135000"/>
  </r>
  <r>
    <s v="TRX-202606-1894"/>
    <x v="534"/>
    <s v="CUST001"/>
    <s v="PRD007"/>
    <n v="2"/>
    <n v="225000"/>
    <n v="450000"/>
    <n v="360000"/>
    <n v="90000"/>
  </r>
  <r>
    <s v="TRX-202606-1894"/>
    <x v="534"/>
    <s v="CUST001"/>
    <s v="PRD012"/>
    <n v="8"/>
    <n v="48000"/>
    <n v="384000"/>
    <n v="256000"/>
    <n v="128000"/>
  </r>
  <r>
    <s v="TRX-202606-1895"/>
    <x v="534"/>
    <s v="CUST007"/>
    <s v="PRD004"/>
    <n v="6"/>
    <n v="105000"/>
    <n v="630000"/>
    <n v="420000"/>
    <n v="210000"/>
  </r>
  <r>
    <s v="TRX-202606-1896"/>
    <x v="534"/>
    <s v="CUST007"/>
    <s v="PRD010"/>
    <n v="4"/>
    <n v="20000"/>
    <n v="80000"/>
    <n v="48000"/>
    <n v="32000"/>
  </r>
  <r>
    <s v="TRX-202606-1896"/>
    <x v="534"/>
    <s v="CUST007"/>
    <s v="PRD012"/>
    <n v="4"/>
    <n v="48000"/>
    <n v="192000"/>
    <n v="128000"/>
    <n v="64000"/>
  </r>
  <r>
    <s v="TRX-202606-1896"/>
    <x v="534"/>
    <s v="CUST007"/>
    <s v="PRD003"/>
    <n v="6"/>
    <n v="130000"/>
    <n v="780000"/>
    <n v="510000"/>
    <n v="270000"/>
  </r>
  <r>
    <s v="TRX-202606-1897"/>
    <x v="535"/>
    <s v="CUST003"/>
    <s v="PRD007"/>
    <n v="1"/>
    <n v="225000"/>
    <n v="225000"/>
    <n v="180000"/>
    <n v="45000"/>
  </r>
  <r>
    <s v="TRX-202606-1898"/>
    <x v="535"/>
    <s v="CUST001"/>
    <s v="PRD002"/>
    <n v="5"/>
    <n v="70000"/>
    <n v="350000"/>
    <n v="225000"/>
    <n v="125000"/>
  </r>
  <r>
    <s v="TRX-202606-1899"/>
    <x v="536"/>
    <s v="CUST008"/>
    <s v="PRD001"/>
    <n v="7"/>
    <n v="175000"/>
    <n v="1225000"/>
    <n v="840000"/>
    <n v="385000"/>
  </r>
  <r>
    <s v="TRX-202606-1900"/>
    <x v="536"/>
    <s v="CUST006"/>
    <s v="PRD007"/>
    <n v="3"/>
    <n v="225000"/>
    <n v="675000"/>
    <n v="540000"/>
    <n v="135000"/>
  </r>
  <r>
    <s v="TRX-202606-1900"/>
    <x v="536"/>
    <s v="CUST006"/>
    <s v="PRD005"/>
    <n v="5"/>
    <n v="105000"/>
    <n v="525000"/>
    <n v="350000"/>
    <n v="175000"/>
  </r>
  <r>
    <s v="TRX-202606-1900"/>
    <x v="536"/>
    <s v="CUST006"/>
    <s v="PRD003"/>
    <n v="1"/>
    <n v="130000"/>
    <n v="130000"/>
    <n v="85000"/>
    <n v="45000"/>
  </r>
  <r>
    <s v="TRX-202606-1901"/>
    <x v="536"/>
    <s v="CUST006"/>
    <s v="PRD012"/>
    <n v="1"/>
    <n v="48000"/>
    <n v="48000"/>
    <n v="32000"/>
    <n v="16000"/>
  </r>
  <r>
    <s v="TRX-202606-1901"/>
    <x v="536"/>
    <s v="CUST006"/>
    <s v="PRD011"/>
    <n v="3"/>
    <n v="35000"/>
    <n v="105000"/>
    <n v="66000"/>
    <n v="39000"/>
  </r>
  <r>
    <s v="TRX-202606-1901"/>
    <x v="536"/>
    <s v="CUST006"/>
    <s v="PRD003"/>
    <n v="4"/>
    <n v="130000"/>
    <n v="520000"/>
    <n v="340000"/>
    <n v="180000"/>
  </r>
  <r>
    <s v="TRX-202606-1902"/>
    <x v="537"/>
    <s v="CUST008"/>
    <s v="PRD006"/>
    <n v="8"/>
    <n v="110000"/>
    <n v="880000"/>
    <n v="600000"/>
    <n v="280000"/>
  </r>
  <r>
    <s v="TRX-202606-1902"/>
    <x v="537"/>
    <s v="CUST008"/>
    <s v="PRD004"/>
    <n v="7"/>
    <n v="105000"/>
    <n v="735000"/>
    <n v="490000"/>
    <n v="245000"/>
  </r>
  <r>
    <s v="TRX-202606-1902"/>
    <x v="537"/>
    <s v="CUST008"/>
    <s v="PRD001"/>
    <n v="7"/>
    <n v="175000"/>
    <n v="1225000"/>
    <n v="840000"/>
    <n v="385000"/>
  </r>
  <r>
    <s v="TRX-202606-1903"/>
    <x v="537"/>
    <s v="CUST002"/>
    <s v="PRD007"/>
    <n v="8"/>
    <n v="225000"/>
    <n v="1800000"/>
    <n v="1440000"/>
    <n v="360000"/>
  </r>
  <r>
    <s v="TRX-202606-1903"/>
    <x v="537"/>
    <s v="CUST002"/>
    <s v="PRD010"/>
    <n v="3"/>
    <n v="20000"/>
    <n v="60000"/>
    <n v="36000"/>
    <n v="24000"/>
  </r>
  <r>
    <s v="TRX-202606-1903"/>
    <x v="537"/>
    <s v="CUST002"/>
    <s v="PRD006"/>
    <n v="5"/>
    <n v="110000"/>
    <n v="550000"/>
    <n v="375000"/>
    <n v="175000"/>
  </r>
  <r>
    <s v="TRX-202606-1904"/>
    <x v="538"/>
    <s v="CUST002"/>
    <s v="PRD011"/>
    <n v="3"/>
    <n v="35000"/>
    <n v="105000"/>
    <n v="66000"/>
    <n v="39000"/>
  </r>
  <r>
    <s v="TRX-202606-1904"/>
    <x v="538"/>
    <s v="CUST002"/>
    <s v="PRD003"/>
    <n v="6"/>
    <n v="130000"/>
    <n v="780000"/>
    <n v="510000"/>
    <n v="270000"/>
  </r>
  <r>
    <s v="TRX-202606-1904"/>
    <x v="538"/>
    <s v="CUST002"/>
    <s v="PRD001"/>
    <n v="2"/>
    <n v="175000"/>
    <n v="350000"/>
    <n v="240000"/>
    <n v="110000"/>
  </r>
  <r>
    <s v="TRX-202606-1905"/>
    <x v="538"/>
    <s v="CUST004"/>
    <s v="PRD008"/>
    <n v="8"/>
    <n v="40000"/>
    <n v="320000"/>
    <n v="224000"/>
    <n v="96000"/>
  </r>
  <r>
    <s v="TRX-202606-1905"/>
    <x v="538"/>
    <s v="CUST004"/>
    <s v="PRD004"/>
    <n v="1"/>
    <n v="105000"/>
    <n v="105000"/>
    <n v="70000"/>
    <n v="35000"/>
  </r>
  <r>
    <s v="TRX-202606-1905"/>
    <x v="538"/>
    <s v="CUST004"/>
    <s v="PRD011"/>
    <n v="4"/>
    <n v="35000"/>
    <n v="140000"/>
    <n v="88000"/>
    <n v="52000"/>
  </r>
  <r>
    <s v="TRX-202606-1906"/>
    <x v="538"/>
    <s v="CUST005"/>
    <s v="PRD003"/>
    <n v="5"/>
    <n v="130000"/>
    <n v="650000"/>
    <n v="425000"/>
    <n v="225000"/>
  </r>
  <r>
    <s v="TRX-202606-1906"/>
    <x v="538"/>
    <s v="CUST005"/>
    <s v="PRD005"/>
    <n v="8"/>
    <n v="105000"/>
    <n v="840000"/>
    <n v="560000"/>
    <n v="280000"/>
  </r>
  <r>
    <s v="TRX-202606-1906"/>
    <x v="538"/>
    <s v="CUST005"/>
    <s v="PRD011"/>
    <n v="5"/>
    <n v="35000"/>
    <n v="175000"/>
    <n v="110000"/>
    <n v="65000"/>
  </r>
  <r>
    <s v="TRX-202606-1907"/>
    <x v="538"/>
    <s v="CUST001"/>
    <s v="PRD008"/>
    <n v="1"/>
    <n v="40000"/>
    <n v="40000"/>
    <n v="28000"/>
    <n v="12000"/>
  </r>
  <r>
    <s v="TRX-202606-1907"/>
    <x v="538"/>
    <s v="CUST001"/>
    <s v="PRD007"/>
    <n v="8"/>
    <n v="225000"/>
    <n v="1800000"/>
    <n v="1440000"/>
    <n v="360000"/>
  </r>
  <r>
    <s v="TRX-202606-1908"/>
    <x v="538"/>
    <s v="CUST007"/>
    <s v="PRD004"/>
    <n v="6"/>
    <n v="105000"/>
    <n v="630000"/>
    <n v="420000"/>
    <n v="210000"/>
  </r>
  <r>
    <s v="TRX-202606-1909"/>
    <x v="539"/>
    <s v="CUST004"/>
    <s v="PRD001"/>
    <n v="2"/>
    <n v="175000"/>
    <n v="350000"/>
    <n v="240000"/>
    <n v="110000"/>
  </r>
  <r>
    <s v="TRX-202606-1909"/>
    <x v="539"/>
    <s v="CUST004"/>
    <s v="PRD010"/>
    <n v="6"/>
    <n v="20000"/>
    <n v="120000"/>
    <n v="72000"/>
    <n v="48000"/>
  </r>
  <r>
    <s v="TRX-202606-1910"/>
    <x v="539"/>
    <s v="CUST001"/>
    <s v="PRD006"/>
    <n v="2"/>
    <n v="110000"/>
    <n v="220000"/>
    <n v="150000"/>
    <n v="70000"/>
  </r>
  <r>
    <s v="TRX-202606-1910"/>
    <x v="539"/>
    <s v="CUST001"/>
    <s v="PRD009"/>
    <n v="2"/>
    <n v="52000"/>
    <n v="104000"/>
    <n v="70000"/>
    <n v="34000"/>
  </r>
  <r>
    <s v="TRX-202606-1911"/>
    <x v="539"/>
    <s v="CUST006"/>
    <s v="PRD005"/>
    <n v="7"/>
    <n v="105000"/>
    <n v="735000"/>
    <n v="490000"/>
    <n v="245000"/>
  </r>
  <r>
    <s v="TRX-202606-1911"/>
    <x v="539"/>
    <s v="CUST006"/>
    <s v="PRD012"/>
    <n v="6"/>
    <n v="48000"/>
    <n v="288000"/>
    <n v="192000"/>
    <n v="96000"/>
  </r>
  <r>
    <s v="TRX-202606-1912"/>
    <x v="539"/>
    <s v="CUST004"/>
    <s v="PRD011"/>
    <n v="1"/>
    <n v="35000"/>
    <n v="35000"/>
    <n v="22000"/>
    <n v="13000"/>
  </r>
  <r>
    <s v="TRX-202606-1912"/>
    <x v="539"/>
    <s v="CUST004"/>
    <s v="PRD002"/>
    <n v="8"/>
    <n v="70000"/>
    <n v="560000"/>
    <n v="360000"/>
    <n v="200000"/>
  </r>
  <r>
    <s v="TRX-202606-1912"/>
    <x v="539"/>
    <s v="CUST004"/>
    <s v="PRD007"/>
    <n v="8"/>
    <n v="225000"/>
    <n v="1800000"/>
    <n v="1440000"/>
    <n v="360000"/>
  </r>
  <r>
    <s v="TRX-202606-1913"/>
    <x v="539"/>
    <s v="CUST001"/>
    <s v="PRD005"/>
    <n v="1"/>
    <n v="105000"/>
    <n v="105000"/>
    <n v="70000"/>
    <n v="35000"/>
  </r>
  <r>
    <s v="TRX-202606-1914"/>
    <x v="540"/>
    <s v="CUST006"/>
    <s v="PRD009"/>
    <n v="1"/>
    <n v="52000"/>
    <n v="52000"/>
    <n v="35000"/>
    <n v="17000"/>
  </r>
  <r>
    <s v="TRX-202606-1914"/>
    <x v="540"/>
    <s v="CUST006"/>
    <s v="PRD007"/>
    <n v="8"/>
    <n v="225000"/>
    <n v="1800000"/>
    <n v="1440000"/>
    <n v="360000"/>
  </r>
  <r>
    <s v="TRX-202606-1914"/>
    <x v="540"/>
    <s v="CUST006"/>
    <s v="PRD005"/>
    <n v="1"/>
    <n v="105000"/>
    <n v="105000"/>
    <n v="70000"/>
    <n v="35000"/>
  </r>
  <r>
    <s v="TRX-202606-1915"/>
    <x v="540"/>
    <s v="CUST003"/>
    <s v="PRD006"/>
    <n v="6"/>
    <n v="110000"/>
    <n v="660000"/>
    <n v="450000"/>
    <n v="210000"/>
  </r>
  <r>
    <s v="TRX-202606-1915"/>
    <x v="540"/>
    <s v="CUST003"/>
    <s v="PRD003"/>
    <n v="2"/>
    <n v="130000"/>
    <n v="260000"/>
    <n v="170000"/>
    <n v="90000"/>
  </r>
  <r>
    <s v="TRX-202606-1916"/>
    <x v="540"/>
    <s v="CUST007"/>
    <s v="PRD012"/>
    <n v="4"/>
    <n v="48000"/>
    <n v="192000"/>
    <n v="128000"/>
    <n v="64000"/>
  </r>
  <r>
    <s v="TRX-202606-1916"/>
    <x v="540"/>
    <s v="CUST007"/>
    <s v="PRD007"/>
    <n v="4"/>
    <n v="225000"/>
    <n v="900000"/>
    <n v="720000"/>
    <n v="180000"/>
  </r>
  <r>
    <s v="TRX-202606-1917"/>
    <x v="541"/>
    <s v="CUST002"/>
    <s v="PRD012"/>
    <n v="4"/>
    <n v="48000"/>
    <n v="192000"/>
    <n v="128000"/>
    <n v="64000"/>
  </r>
  <r>
    <s v="TRX-202606-1917"/>
    <x v="541"/>
    <s v="CUST002"/>
    <s v="PRD011"/>
    <n v="2"/>
    <n v="35000"/>
    <n v="70000"/>
    <n v="44000"/>
    <n v="26000"/>
  </r>
  <r>
    <s v="TRX-202606-1917"/>
    <x v="541"/>
    <s v="CUST002"/>
    <s v="PRD005"/>
    <n v="2"/>
    <n v="105000"/>
    <n v="210000"/>
    <n v="140000"/>
    <n v="70000"/>
  </r>
  <r>
    <s v="TRX-202606-1918"/>
    <x v="541"/>
    <s v="CUST004"/>
    <s v="PRD003"/>
    <n v="2"/>
    <n v="130000"/>
    <n v="260000"/>
    <n v="170000"/>
    <n v="90000"/>
  </r>
  <r>
    <s v="TRX-202606-1918"/>
    <x v="541"/>
    <s v="CUST004"/>
    <s v="PRD007"/>
    <n v="2"/>
    <n v="225000"/>
    <n v="450000"/>
    <n v="360000"/>
    <n v="90000"/>
  </r>
  <r>
    <s v="TRX-202606-1918"/>
    <x v="541"/>
    <s v="CUST004"/>
    <s v="PRD011"/>
    <n v="6"/>
    <n v="35000"/>
    <n v="210000"/>
    <n v="132000"/>
    <n v="78000"/>
  </r>
  <r>
    <s v="TRX-202606-1919"/>
    <x v="542"/>
    <s v="CUST006"/>
    <s v="PRD005"/>
    <n v="1"/>
    <n v="105000"/>
    <n v="105000"/>
    <n v="70000"/>
    <n v="35000"/>
  </r>
  <r>
    <s v="TRX-202606-1919"/>
    <x v="542"/>
    <s v="CUST006"/>
    <s v="PRD012"/>
    <n v="3"/>
    <n v="48000"/>
    <n v="144000"/>
    <n v="96000"/>
    <n v="48000"/>
  </r>
  <r>
    <s v="TRX-202606-1919"/>
    <x v="542"/>
    <s v="CUST006"/>
    <s v="PRD008"/>
    <n v="4"/>
    <n v="40000"/>
    <n v="160000"/>
    <n v="112000"/>
    <n v="48000"/>
  </r>
  <r>
    <s v="TRX-202606-1920"/>
    <x v="542"/>
    <s v="CUST002"/>
    <s v="PRD002"/>
    <n v="7"/>
    <n v="70000"/>
    <n v="490000"/>
    <n v="315000"/>
    <n v="175000"/>
  </r>
  <r>
    <s v="TRX-202606-1920"/>
    <x v="542"/>
    <s v="CUST002"/>
    <s v="PRD005"/>
    <n v="2"/>
    <n v="105000"/>
    <n v="210000"/>
    <n v="140000"/>
    <n v="70000"/>
  </r>
  <r>
    <s v="TRX-202606-1921"/>
    <x v="542"/>
    <s v="CUST006"/>
    <s v="PRD004"/>
    <n v="7"/>
    <n v="105000"/>
    <n v="735000"/>
    <n v="490000"/>
    <n v="245000"/>
  </r>
  <r>
    <s v="TRX-202606-1921"/>
    <x v="542"/>
    <s v="CUST006"/>
    <s v="PRD010"/>
    <n v="8"/>
    <n v="20000"/>
    <n v="160000"/>
    <n v="96000"/>
    <n v="64000"/>
  </r>
  <r>
    <s v="TRX-202606-1921"/>
    <x v="542"/>
    <s v="CUST006"/>
    <s v="PRD005"/>
    <n v="7"/>
    <n v="105000"/>
    <n v="735000"/>
    <n v="490000"/>
    <n v="245000"/>
  </r>
  <r>
    <s v="TRX-202606-1922"/>
    <x v="542"/>
    <s v="CUST007"/>
    <s v="PRD007"/>
    <n v="3"/>
    <n v="225000"/>
    <n v="675000"/>
    <n v="540000"/>
    <n v="135000"/>
  </r>
  <r>
    <s v="TRX-202606-1923"/>
    <x v="543"/>
    <s v="CUST007"/>
    <s v="PRD004"/>
    <n v="1"/>
    <n v="105000"/>
    <n v="105000"/>
    <n v="70000"/>
    <n v="35000"/>
  </r>
  <r>
    <s v="TRX-202606-1923"/>
    <x v="543"/>
    <s v="CUST007"/>
    <s v="PRD007"/>
    <n v="6"/>
    <n v="225000"/>
    <n v="1350000"/>
    <n v="1080000"/>
    <n v="270000"/>
  </r>
  <r>
    <s v="TRX-202606-1924"/>
    <x v="543"/>
    <s v="CUST001"/>
    <s v="PRD012"/>
    <n v="2"/>
    <n v="48000"/>
    <n v="96000"/>
    <n v="64000"/>
    <n v="32000"/>
  </r>
  <r>
    <s v="TRX-202606-1925"/>
    <x v="544"/>
    <s v="CUST006"/>
    <s v="PRD008"/>
    <n v="4"/>
    <n v="40000"/>
    <n v="160000"/>
    <n v="112000"/>
    <n v="48000"/>
  </r>
  <r>
    <s v="TRX-202606-1925"/>
    <x v="544"/>
    <s v="CUST006"/>
    <s v="PRD010"/>
    <n v="2"/>
    <n v="20000"/>
    <n v="40000"/>
    <n v="24000"/>
    <n v="16000"/>
  </r>
  <r>
    <s v="TRX-202606-1925"/>
    <x v="544"/>
    <s v="CUST006"/>
    <s v="PRD006"/>
    <n v="3"/>
    <n v="110000"/>
    <n v="330000"/>
    <n v="225000"/>
    <n v="105000"/>
  </r>
  <r>
    <s v="TRX-202606-1926"/>
    <x v="544"/>
    <s v="CUST007"/>
    <s v="PRD001"/>
    <n v="7"/>
    <n v="175000"/>
    <n v="1225000"/>
    <n v="840000"/>
    <n v="385000"/>
  </r>
  <r>
    <s v="TRX-202606-1927"/>
    <x v="544"/>
    <s v="CUST001"/>
    <s v="PRD008"/>
    <n v="6"/>
    <n v="40000"/>
    <n v="240000"/>
    <n v="168000"/>
    <n v="72000"/>
  </r>
  <r>
    <s v="TRX-202606-1928"/>
    <x v="544"/>
    <s v="CUST008"/>
    <s v="PRD011"/>
    <n v="5"/>
    <n v="35000"/>
    <n v="175000"/>
    <n v="110000"/>
    <n v="65000"/>
  </r>
  <r>
    <s v="TRX-202606-1928"/>
    <x v="544"/>
    <s v="CUST008"/>
    <s v="PRD006"/>
    <n v="5"/>
    <n v="110000"/>
    <n v="550000"/>
    <n v="375000"/>
    <n v="175000"/>
  </r>
  <r>
    <s v="TRX-202606-1929"/>
    <x v="544"/>
    <s v="CUST003"/>
    <s v="PRD006"/>
    <n v="5"/>
    <n v="110000"/>
    <n v="550000"/>
    <n v="375000"/>
    <n v="175000"/>
  </r>
  <r>
    <s v="TRX-202606-1930"/>
    <x v="545"/>
    <s v="CUST003"/>
    <s v="PRD011"/>
    <n v="2"/>
    <n v="35000"/>
    <n v="70000"/>
    <n v="44000"/>
    <n v="26000"/>
  </r>
  <r>
    <s v="TRX-202606-1930"/>
    <x v="545"/>
    <s v="CUST003"/>
    <s v="PRD006"/>
    <n v="8"/>
    <n v="110000"/>
    <n v="880000"/>
    <n v="600000"/>
    <n v="280000"/>
  </r>
  <r>
    <s v="TRX-202606-1930"/>
    <x v="545"/>
    <s v="CUST003"/>
    <s v="PRD003"/>
    <n v="8"/>
    <n v="130000"/>
    <n v="1040000"/>
    <n v="680000"/>
    <n v="360000"/>
  </r>
  <r>
    <s v="TRX-202606-1931"/>
    <x v="545"/>
    <s v="CUST001"/>
    <s v="PRD012"/>
    <n v="7"/>
    <n v="48000"/>
    <n v="336000"/>
    <n v="224000"/>
    <n v="112000"/>
  </r>
  <r>
    <s v="TRX-202606-1931"/>
    <x v="545"/>
    <s v="CUST001"/>
    <s v="PRD007"/>
    <n v="1"/>
    <n v="225000"/>
    <n v="225000"/>
    <n v="180000"/>
    <n v="45000"/>
  </r>
  <r>
    <s v="TRX-202606-1932"/>
    <x v="545"/>
    <s v="CUST004"/>
    <s v="PRD002"/>
    <n v="3"/>
    <n v="70000"/>
    <n v="210000"/>
    <n v="135000"/>
    <n v="75000"/>
  </r>
  <r>
    <s v="TRX-202606-1932"/>
    <x v="545"/>
    <s v="CUST004"/>
    <s v="PRD007"/>
    <n v="5"/>
    <n v="225000"/>
    <n v="1125000"/>
    <n v="900000"/>
    <n v="225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4963A4-3ACB-4580-842D-9ABD382737C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C7" firstHeaderRow="0" firstDataRow="1" firstDataCol="1"/>
  <pivotFields count="12">
    <pivotField showAll="0"/>
    <pivotField axis="axisRow" numFmtId="14" showAll="0">
      <items count="5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t="default"/>
      </items>
    </pivotField>
    <pivotField showAll="0"/>
    <pivotField showAll="0"/>
    <pivotField showAll="0"/>
    <pivotField showAll="0"/>
    <pivotField dataField="1"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sd="0" x="1"/>
        <item sd="0" x="2"/>
        <item sd="0" x="3"/>
        <item t="default"/>
      </items>
    </pivotField>
  </pivotFields>
  <rowFields count="3">
    <field x="11"/>
    <field x="9"/>
    <field x="1"/>
  </rowFields>
  <rowItems count="3"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profit" fld="8" baseField="11" baseItem="1" numFmtId="164"/>
    <dataField name="Sum of total_revenue" fld="6" baseField="11" baseItem="1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71F5A25-40B7-435C-B066-A13300141677}" name="tbMaster_Product" displayName="tbMaster_Product" ref="A1:I101" totalsRowShown="0" headerRowDxfId="0">
  <tableColumns count="9">
    <tableColumn id="1" xr3:uid="{9F183722-0D8C-4615-8AA7-DAC7C7239BEB}" name="product_id"/>
    <tableColumn id="2" xr3:uid="{8BA9AACE-CC52-4021-8C57-446FA30D9367}" name="product_name"/>
    <tableColumn id="3" xr3:uid="{9F9C1E61-84E3-4B5B-B66B-51011886B63C}" name="category_id"/>
    <tableColumn id="4" xr3:uid="{BC3B34C2-1FCE-4DC0-BC4F-5DFDFA050B35}" name="supplier_id"/>
    <tableColumn id="5" xr3:uid="{1BBD400D-6E0F-4AC4-B600-78E1E8FF46E7}" name="buy_price"/>
    <tableColumn id="6" xr3:uid="{69525E78-CAB3-4307-90BC-B4D0A8B77EE3}" name="sell_price"/>
    <tableColumn id="7" xr3:uid="{2DF32E08-3F24-4E2F-89D9-B39240809A40}" name="min_stock"/>
    <tableColumn id="8" xr3:uid="{C2EF1B77-01A9-493F-BB4F-C67321223B91}" name="initial_stock"/>
    <tableColumn id="9" xr3:uid="{90AAC532-BF5C-44E2-B45C-5539F6D24949}" name="current_stoc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7B4BC68-A1F3-4795-98A7-5BB7C21C0EC8}" name="tbMaster_Supplier" displayName="tbMaster_Supplier" ref="A1:E26" totalsRowShown="0" headerRowDxfId="1" headerRowCellStyle="Accent1">
  <autoFilter ref="A1:E26" xr:uid="{47B4BC68-A1F3-4795-98A7-5BB7C21C0EC8}"/>
  <tableColumns count="5">
    <tableColumn id="1" xr3:uid="{FCD5E58D-4DAC-4B0F-9031-72E2F481BB1D}" name="supplier_id"/>
    <tableColumn id="2" xr3:uid="{ACF86C43-1C88-4255-BB3B-32CA7DAFE14E}" name="supplier_name"/>
    <tableColumn id="3" xr3:uid="{CAC7948D-BC0A-4613-B72D-E8F951E78CD5}" name="contact_person"/>
    <tableColumn id="4" xr3:uid="{AB6C455B-DCE1-45EF-BF61-C8CC3DB9C660}" name="phone"/>
    <tableColumn id="5" xr3:uid="{63C60B46-15FB-4765-8F46-CC020BDC58BB}" name="ci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F287289-4171-48D1-8B5F-B58BD6EBF814}" name="tbMaster_Customer" displayName="tbMaster_Customer" ref="A1:F119" totalsRowShown="0" headerRowDxfId="2" headerRowCellStyle="Accent1">
  <tableColumns count="6">
    <tableColumn id="1" xr3:uid="{1A965FF1-5C25-4BCD-BD5E-59C10171D9F4}" name="customer_id"/>
    <tableColumn id="2" xr3:uid="{D432260C-4AE9-404F-8914-3648CFEBE9FD}" name="customer_name"/>
    <tableColumn id="3" xr3:uid="{B1E60715-23E1-4CA1-BCC4-12FD7FFAC2DC}" name="customer_type"/>
    <tableColumn id="4" xr3:uid="{BE6C3FAD-D24A-459B-BB6F-8A6F00BB92BD}" name="contact_person"/>
    <tableColumn id="5" xr3:uid="{B6A93587-6A4F-46CB-953B-29CD1A4DE12D}" name="phone"/>
    <tableColumn id="6" xr3:uid="{5C7183F8-9E28-48BA-90E9-6FA0516F88CE}" name="cit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60F4CA-378B-41F8-B51E-9823037B5C56}" name="tbMaster_Category" displayName="tbMaster_Category" ref="A1:B11" totalsRowShown="0" headerRowDxfId="3" headerRowCellStyle="Accent6">
  <tableColumns count="2">
    <tableColumn id="1" xr3:uid="{B358B54A-7DB8-475C-ACB3-A33D52F2FE2E}" name="category_id"/>
    <tableColumn id="2" xr3:uid="{6AEBD885-E64B-436C-BBC0-3B78A6307C43}" name="category_nam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240FD12-D71C-441D-BF48-4A3482455AB7}" name="Table_StockIn" displayName="Table_StockIn" ref="A1:L349" totalsRowShown="0">
  <tableColumns count="12">
    <tableColumn id="1" xr3:uid="{B57405BA-CC0D-4BD0-800F-0910E48D3B82}" name="purchase_id">
      <calculatedColumnFormula>"PUR"&amp;TEXT(ROW()-1,"0000")</calculatedColumnFormula>
    </tableColumn>
    <tableColumn id="2" xr3:uid="{7FBE4DD8-D035-4678-B94C-414E3BE67E07}" name="purchase_date" dataDxfId="14">
      <calculatedColumnFormula>DATE(2025,1,1)+RANDBETWEEN(0,364)</calculatedColumnFormula>
    </tableColumn>
    <tableColumn id="4" xr3:uid="{85AA7005-F64F-4499-A0AA-E292BDC7E4F9}" name="product_id">
      <calculatedColumnFormula array="1">INDEX(Master_Product!$A$2:$A$101,RANDBETWEEN(1,100))</calculatedColumnFormula>
    </tableColumn>
    <tableColumn id="16" xr3:uid="{1282FD19-7ACF-47A0-B8D9-D1097C31A0BE}" name="supplier_id" dataDxfId="12">
      <calculatedColumnFormula>_xlfn.XLOOKUP(C2,Master_Product!A:A,Master_Product!D:D)</calculatedColumnFormula>
    </tableColumn>
    <tableColumn id="8" xr3:uid="{3D3E8358-AEE3-4767-ABC1-89EB8454F45A}" name="product_name" dataDxfId="11">
      <calculatedColumnFormula>_xlfn.XLOOKUP(C2,Master_Product!A:A,Master_Product!B:B)</calculatedColumnFormula>
    </tableColumn>
    <tableColumn id="9" xr3:uid="{947FC85E-0DC4-49B2-BEFF-2C4588AB79E8}" name="category_id" dataDxfId="9">
      <calculatedColumnFormula>_xlfn.XLOOKUP(C3,Master_Product!A:A,Master_Product!C:C)</calculatedColumnFormula>
    </tableColumn>
    <tableColumn id="10" xr3:uid="{ECFEDBF9-5C2F-4913-96CB-C99E7F769563}" name="category_name" dataDxfId="10">
      <calculatedColumnFormula>VLOOKUP(F2,Master_Category!A:B,2,FALSE)</calculatedColumnFormula>
    </tableColumn>
    <tableColumn id="11" xr3:uid="{10974193-0B37-479E-B7BA-5BC53C14E07C}" name="supplier_name" dataDxfId="6">
      <calculatedColumnFormula>_xlfn.XLOOKUP(D2,Master_Supplier!A:A,Master_Supplier!B:B)</calculatedColumnFormula>
    </tableColumn>
    <tableColumn id="12" xr3:uid="{AF3D576A-7B79-4F94-9E55-BB0BA0CF859B}" name="city" dataDxfId="5">
      <calculatedColumnFormula>_xlfn.XLOOKUP(D2,Master_Supplier!A:A,Master_Supplier!E:E)</calculatedColumnFormula>
    </tableColumn>
    <tableColumn id="13" xr3:uid="{A8379394-A5E5-4365-87D0-8EA3CD79C404}" name="buy_price" dataDxfId="4">
      <calculatedColumnFormula>_xlfn.XLOOKUP(C2,Master_Product!A:A,Master_Product!E:E)</calculatedColumnFormula>
    </tableColumn>
    <tableColumn id="5" xr3:uid="{5C2F3F07-F293-4BB3-9299-42F85F61E152}" name="quantity"/>
    <tableColumn id="14" xr3:uid="{059E0BAB-A9DC-44D0-BDC0-231E0F4B8CE0}" name="total_cost">
      <calculatedColumnFormula>Table_StockIn[[#This Row],[buy_price]]*Table_StockIn[[#This Row],[quantity]]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E691E5C-89EB-44D1-A8BC-636BEF7D4467}" name="Table_StockOut" displayName="Table_StockOut" ref="A1:P2" insertRow="1" totalsRowShown="0">
  <tableColumns count="16">
    <tableColumn id="1" xr3:uid="{2B432513-1A33-4782-B125-713B622F82D4}" name="sales_id"/>
    <tableColumn id="2" xr3:uid="{314312C2-98C1-4D62-BBA6-526CF796AB15}" name="sales_date" dataDxfId="13"/>
    <tableColumn id="3" xr3:uid="{310EA098-434D-471C-8AFB-F52319A3F030}" name="customer_id"/>
    <tableColumn id="10" xr3:uid="{C451C8AF-9302-4EC7-8E98-A479C554BC0A}" name="customer_name"/>
    <tableColumn id="11" xr3:uid="{BB33AE8F-DD35-49D0-ACC9-E687523C7DE4}" name="customer_type"/>
    <tableColumn id="12" xr3:uid="{18187DA7-8493-47F3-986A-CFFAC4DFD6F9}" name="city"/>
    <tableColumn id="4" xr3:uid="{FD14D0FB-460E-4AF2-AF2B-02ECE26A8576}" name="product_id"/>
    <tableColumn id="13" xr3:uid="{E51C3FB8-FF8A-47B7-B77E-45A0A8DD4CA9}" name="product_name"/>
    <tableColumn id="15" xr3:uid="{4796F45E-613B-4E16-879B-CF83AA082C1D}" name="category"/>
    <tableColumn id="16" xr3:uid="{D8FDDF57-0693-4DCD-815D-25B675C63F6D}" name="sell_price"/>
    <tableColumn id="14" xr3:uid="{ACCBAFD5-D47B-41FA-9179-BDEFF52E720C}" name="buy_price"/>
    <tableColumn id="5" xr3:uid="{516F23D3-8FE2-49ED-846F-215F6CD2BBCE}" name="quantity"/>
    <tableColumn id="6" xr3:uid="{34B9AADF-393B-4D53-A8DF-142968994E5B}" name="unit_price"/>
    <tableColumn id="7" xr3:uid="{CC5D9A38-3156-481B-B840-476B5ED8F1DF}" name="total_revenue"/>
    <tableColumn id="8" xr3:uid="{9992698D-B170-4EE0-BFBC-CC0DA31D853B}" name="cogs"/>
    <tableColumn id="9" xr3:uid="{5609E255-FD4B-4BD5-BA87-6E59DDE0CE25}" name="prof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showGridLines="0" workbookViewId="0">
      <selection activeCell="H9" sqref="H9"/>
    </sheetView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7C77C-A603-49CF-8E94-D7D3DD0D394B}">
  <dimension ref="A1:I101"/>
  <sheetViews>
    <sheetView workbookViewId="0">
      <selection activeCell="E4" sqref="E4"/>
    </sheetView>
  </sheetViews>
  <sheetFormatPr defaultRowHeight="14.4" x14ac:dyDescent="0.3"/>
  <cols>
    <col min="1" max="1" width="12.109375" customWidth="1"/>
    <col min="2" max="2" width="15.33203125" customWidth="1"/>
    <col min="3" max="3" width="12.77734375" customWidth="1"/>
    <col min="4" max="4" width="12.109375" customWidth="1"/>
    <col min="5" max="5" width="11.21875" customWidth="1"/>
    <col min="6" max="6" width="10.6640625" customWidth="1"/>
    <col min="7" max="7" width="11.5546875" customWidth="1"/>
    <col min="8" max="8" width="12.88671875" customWidth="1"/>
    <col min="9" max="9" width="14.44140625" customWidth="1"/>
    <col min="10" max="10" width="13.77734375" customWidth="1"/>
    <col min="11" max="11" width="16" customWidth="1"/>
    <col min="12" max="12" width="13.109375" customWidth="1"/>
    <col min="13" max="13" width="15.33203125" customWidth="1"/>
    <col min="14" max="14" width="16" customWidth="1"/>
    <col min="15" max="15" width="12" bestFit="1" customWidth="1"/>
  </cols>
  <sheetData>
    <row r="1" spans="1:9" x14ac:dyDescent="0.3">
      <c r="A1" s="8" t="s">
        <v>3</v>
      </c>
      <c r="B1" s="8" t="s">
        <v>30</v>
      </c>
      <c r="C1" s="8" t="s">
        <v>31</v>
      </c>
      <c r="D1" s="8" t="s">
        <v>23</v>
      </c>
      <c r="E1" s="8" t="s">
        <v>32</v>
      </c>
      <c r="F1" s="8" t="s">
        <v>33</v>
      </c>
      <c r="G1" s="8" t="s">
        <v>34</v>
      </c>
      <c r="H1" s="8" t="s">
        <v>35</v>
      </c>
      <c r="I1" s="8" t="s">
        <v>36</v>
      </c>
    </row>
    <row r="2" spans="1:9" x14ac:dyDescent="0.3">
      <c r="A2" t="s">
        <v>15</v>
      </c>
      <c r="B2" t="s">
        <v>447</v>
      </c>
      <c r="C2" t="s">
        <v>61</v>
      </c>
      <c r="D2" t="s">
        <v>448</v>
      </c>
      <c r="E2">
        <v>13609</v>
      </c>
      <c r="F2">
        <v>19237</v>
      </c>
      <c r="G2">
        <v>30</v>
      </c>
      <c r="H2">
        <v>399</v>
      </c>
      <c r="I2">
        <v>399</v>
      </c>
    </row>
    <row r="3" spans="1:9" x14ac:dyDescent="0.3">
      <c r="A3" t="s">
        <v>20</v>
      </c>
      <c r="B3" t="s">
        <v>449</v>
      </c>
      <c r="C3" t="s">
        <v>61</v>
      </c>
      <c r="D3" t="s">
        <v>450</v>
      </c>
      <c r="E3">
        <v>76874</v>
      </c>
      <c r="F3">
        <v>149207</v>
      </c>
      <c r="G3">
        <v>29</v>
      </c>
      <c r="H3">
        <v>371</v>
      </c>
      <c r="I3">
        <v>371</v>
      </c>
    </row>
    <row r="4" spans="1:9" x14ac:dyDescent="0.3">
      <c r="A4" t="s">
        <v>13</v>
      </c>
      <c r="B4" t="s">
        <v>451</v>
      </c>
      <c r="C4" t="s">
        <v>61</v>
      </c>
      <c r="D4" t="s">
        <v>448</v>
      </c>
      <c r="E4">
        <v>43652</v>
      </c>
      <c r="F4">
        <v>74572</v>
      </c>
      <c r="G4">
        <v>23</v>
      </c>
      <c r="H4">
        <v>150</v>
      </c>
      <c r="I4">
        <v>150</v>
      </c>
    </row>
    <row r="5" spans="1:9" x14ac:dyDescent="0.3">
      <c r="A5" t="s">
        <v>16</v>
      </c>
      <c r="B5" t="s">
        <v>452</v>
      </c>
      <c r="C5" t="s">
        <v>61</v>
      </c>
      <c r="D5" t="s">
        <v>453</v>
      </c>
      <c r="E5">
        <v>19996</v>
      </c>
      <c r="F5">
        <v>41341</v>
      </c>
      <c r="G5">
        <v>38</v>
      </c>
      <c r="H5">
        <v>382</v>
      </c>
      <c r="I5">
        <v>382</v>
      </c>
    </row>
    <row r="6" spans="1:9" x14ac:dyDescent="0.3">
      <c r="A6" t="s">
        <v>11</v>
      </c>
      <c r="B6" t="s">
        <v>454</v>
      </c>
      <c r="C6" t="s">
        <v>61</v>
      </c>
      <c r="D6" t="s">
        <v>455</v>
      </c>
      <c r="E6">
        <v>33183</v>
      </c>
      <c r="F6">
        <v>55981</v>
      </c>
      <c r="G6">
        <v>17</v>
      </c>
      <c r="H6">
        <v>311</v>
      </c>
      <c r="I6">
        <v>311</v>
      </c>
    </row>
    <row r="7" spans="1:9" x14ac:dyDescent="0.3">
      <c r="A7" t="s">
        <v>10</v>
      </c>
      <c r="B7" t="s">
        <v>456</v>
      </c>
      <c r="C7" t="s">
        <v>63</v>
      </c>
      <c r="D7" t="s">
        <v>450</v>
      </c>
      <c r="E7">
        <v>49424</v>
      </c>
      <c r="F7">
        <v>101056</v>
      </c>
      <c r="G7">
        <v>23</v>
      </c>
      <c r="H7">
        <v>148</v>
      </c>
      <c r="I7">
        <v>148</v>
      </c>
    </row>
    <row r="8" spans="1:9" x14ac:dyDescent="0.3">
      <c r="A8" t="s">
        <v>9</v>
      </c>
      <c r="B8" t="s">
        <v>457</v>
      </c>
      <c r="C8" t="s">
        <v>63</v>
      </c>
      <c r="D8" t="s">
        <v>458</v>
      </c>
      <c r="E8">
        <v>45966</v>
      </c>
      <c r="F8">
        <v>77410</v>
      </c>
      <c r="G8">
        <v>18</v>
      </c>
      <c r="H8">
        <v>291</v>
      </c>
      <c r="I8">
        <v>291</v>
      </c>
    </row>
    <row r="9" spans="1:9" x14ac:dyDescent="0.3">
      <c r="A9" t="s">
        <v>19</v>
      </c>
      <c r="B9" t="s">
        <v>459</v>
      </c>
      <c r="C9" t="s">
        <v>63</v>
      </c>
      <c r="D9" t="s">
        <v>460</v>
      </c>
      <c r="E9">
        <v>25006</v>
      </c>
      <c r="F9">
        <v>47964</v>
      </c>
      <c r="G9">
        <v>12</v>
      </c>
      <c r="H9">
        <v>146</v>
      </c>
      <c r="I9">
        <v>146</v>
      </c>
    </row>
    <row r="10" spans="1:9" x14ac:dyDescent="0.3">
      <c r="A10" t="s">
        <v>14</v>
      </c>
      <c r="B10" t="s">
        <v>461</v>
      </c>
      <c r="C10" t="s">
        <v>65</v>
      </c>
      <c r="D10" t="s">
        <v>27</v>
      </c>
      <c r="E10">
        <v>16188</v>
      </c>
      <c r="F10">
        <v>22402</v>
      </c>
      <c r="G10">
        <v>33</v>
      </c>
      <c r="H10">
        <v>290</v>
      </c>
      <c r="I10">
        <v>290</v>
      </c>
    </row>
    <row r="11" spans="1:9" x14ac:dyDescent="0.3">
      <c r="A11" t="s">
        <v>18</v>
      </c>
      <c r="B11" t="s">
        <v>462</v>
      </c>
      <c r="C11" t="s">
        <v>65</v>
      </c>
      <c r="D11" t="s">
        <v>463</v>
      </c>
      <c r="E11">
        <v>22054</v>
      </c>
      <c r="F11">
        <v>39713</v>
      </c>
      <c r="G11">
        <v>40</v>
      </c>
      <c r="H11">
        <v>387</v>
      </c>
      <c r="I11">
        <v>387</v>
      </c>
    </row>
    <row r="12" spans="1:9" x14ac:dyDescent="0.3">
      <c r="A12" t="s">
        <v>12</v>
      </c>
      <c r="B12" t="s">
        <v>464</v>
      </c>
      <c r="C12" t="s">
        <v>65</v>
      </c>
      <c r="D12" t="s">
        <v>27</v>
      </c>
      <c r="E12">
        <v>78620</v>
      </c>
      <c r="F12">
        <v>125531</v>
      </c>
      <c r="G12">
        <v>23</v>
      </c>
      <c r="H12">
        <v>281</v>
      </c>
      <c r="I12">
        <v>281</v>
      </c>
    </row>
    <row r="13" spans="1:9" x14ac:dyDescent="0.3">
      <c r="A13" t="s">
        <v>17</v>
      </c>
      <c r="B13" t="s">
        <v>465</v>
      </c>
      <c r="C13" t="s">
        <v>67</v>
      </c>
      <c r="D13" t="s">
        <v>466</v>
      </c>
      <c r="E13">
        <v>60435</v>
      </c>
      <c r="F13">
        <v>125782</v>
      </c>
      <c r="G13">
        <v>11</v>
      </c>
      <c r="H13">
        <v>247</v>
      </c>
      <c r="I13">
        <v>247</v>
      </c>
    </row>
    <row r="14" spans="1:9" x14ac:dyDescent="0.3">
      <c r="A14" t="s">
        <v>467</v>
      </c>
      <c r="B14" t="s">
        <v>468</v>
      </c>
      <c r="C14" t="s">
        <v>67</v>
      </c>
      <c r="D14" t="s">
        <v>463</v>
      </c>
      <c r="E14">
        <v>45953</v>
      </c>
      <c r="F14">
        <v>74282</v>
      </c>
      <c r="G14">
        <v>26</v>
      </c>
      <c r="H14">
        <v>208</v>
      </c>
      <c r="I14">
        <v>208</v>
      </c>
    </row>
    <row r="15" spans="1:9" x14ac:dyDescent="0.3">
      <c r="A15" t="s">
        <v>469</v>
      </c>
      <c r="B15" t="s">
        <v>470</v>
      </c>
      <c r="C15" t="s">
        <v>67</v>
      </c>
      <c r="D15" t="s">
        <v>471</v>
      </c>
      <c r="E15">
        <v>25280</v>
      </c>
      <c r="F15">
        <v>47806</v>
      </c>
      <c r="G15">
        <v>37</v>
      </c>
      <c r="H15">
        <v>155</v>
      </c>
      <c r="I15">
        <v>155</v>
      </c>
    </row>
    <row r="16" spans="1:9" x14ac:dyDescent="0.3">
      <c r="A16" t="s">
        <v>472</v>
      </c>
      <c r="B16" t="s">
        <v>473</v>
      </c>
      <c r="C16" t="s">
        <v>67</v>
      </c>
      <c r="D16" t="s">
        <v>474</v>
      </c>
      <c r="E16">
        <v>50890</v>
      </c>
      <c r="F16">
        <v>104875</v>
      </c>
      <c r="G16">
        <v>13</v>
      </c>
      <c r="H16">
        <v>242</v>
      </c>
      <c r="I16">
        <v>242</v>
      </c>
    </row>
    <row r="17" spans="1:9" x14ac:dyDescent="0.3">
      <c r="A17" t="s">
        <v>475</v>
      </c>
      <c r="B17" t="s">
        <v>476</v>
      </c>
      <c r="C17" t="s">
        <v>69</v>
      </c>
      <c r="D17" t="s">
        <v>477</v>
      </c>
      <c r="E17">
        <v>34643</v>
      </c>
      <c r="F17">
        <v>70204</v>
      </c>
      <c r="G17">
        <v>27</v>
      </c>
      <c r="H17">
        <v>385</v>
      </c>
      <c r="I17">
        <v>385</v>
      </c>
    </row>
    <row r="18" spans="1:9" x14ac:dyDescent="0.3">
      <c r="A18" t="s">
        <v>478</v>
      </c>
      <c r="B18" t="s">
        <v>479</v>
      </c>
      <c r="C18" t="s">
        <v>69</v>
      </c>
      <c r="D18" t="s">
        <v>458</v>
      </c>
      <c r="E18">
        <v>8441</v>
      </c>
      <c r="F18">
        <v>15599</v>
      </c>
      <c r="G18">
        <v>36</v>
      </c>
      <c r="H18">
        <v>236</v>
      </c>
      <c r="I18">
        <v>236</v>
      </c>
    </row>
    <row r="19" spans="1:9" x14ac:dyDescent="0.3">
      <c r="A19" t="s">
        <v>480</v>
      </c>
      <c r="B19" t="s">
        <v>481</v>
      </c>
      <c r="C19" t="s">
        <v>69</v>
      </c>
      <c r="D19" t="s">
        <v>482</v>
      </c>
      <c r="E19">
        <v>8794</v>
      </c>
      <c r="F19">
        <v>12860</v>
      </c>
      <c r="G19">
        <v>34</v>
      </c>
      <c r="H19">
        <v>258</v>
      </c>
      <c r="I19">
        <v>258</v>
      </c>
    </row>
    <row r="20" spans="1:9" x14ac:dyDescent="0.3">
      <c r="A20" t="s">
        <v>483</v>
      </c>
      <c r="B20" t="s">
        <v>484</v>
      </c>
      <c r="C20" t="s">
        <v>69</v>
      </c>
      <c r="D20" t="s">
        <v>485</v>
      </c>
      <c r="E20">
        <v>49541</v>
      </c>
      <c r="F20">
        <v>80054</v>
      </c>
      <c r="G20">
        <v>37</v>
      </c>
      <c r="H20">
        <v>173</v>
      </c>
      <c r="I20">
        <v>173</v>
      </c>
    </row>
    <row r="21" spans="1:9" x14ac:dyDescent="0.3">
      <c r="A21" t="s">
        <v>486</v>
      </c>
      <c r="B21" t="s">
        <v>487</v>
      </c>
      <c r="C21" t="s">
        <v>71</v>
      </c>
      <c r="D21" t="s">
        <v>29</v>
      </c>
      <c r="E21">
        <v>79228</v>
      </c>
      <c r="F21">
        <v>149868</v>
      </c>
      <c r="G21">
        <v>14</v>
      </c>
      <c r="H21">
        <v>115</v>
      </c>
      <c r="I21">
        <v>115</v>
      </c>
    </row>
    <row r="22" spans="1:9" x14ac:dyDescent="0.3">
      <c r="A22" t="s">
        <v>488</v>
      </c>
      <c r="B22" t="s">
        <v>489</v>
      </c>
      <c r="C22" t="s">
        <v>71</v>
      </c>
      <c r="D22" t="s">
        <v>490</v>
      </c>
      <c r="E22">
        <v>17026</v>
      </c>
      <c r="F22">
        <v>33566</v>
      </c>
      <c r="G22">
        <v>22</v>
      </c>
      <c r="H22">
        <v>314</v>
      </c>
      <c r="I22">
        <v>314</v>
      </c>
    </row>
    <row r="23" spans="1:9" x14ac:dyDescent="0.3">
      <c r="A23" t="s">
        <v>491</v>
      </c>
      <c r="B23" t="s">
        <v>492</v>
      </c>
      <c r="C23" t="s">
        <v>71</v>
      </c>
      <c r="D23" t="s">
        <v>474</v>
      </c>
      <c r="E23">
        <v>64460</v>
      </c>
      <c r="F23">
        <v>103574</v>
      </c>
      <c r="G23">
        <v>19</v>
      </c>
      <c r="H23">
        <v>266</v>
      </c>
      <c r="I23">
        <v>266</v>
      </c>
    </row>
    <row r="24" spans="1:9" x14ac:dyDescent="0.3">
      <c r="A24" t="s">
        <v>493</v>
      </c>
      <c r="B24" t="s">
        <v>494</v>
      </c>
      <c r="C24" t="s">
        <v>73</v>
      </c>
      <c r="D24" t="s">
        <v>455</v>
      </c>
      <c r="E24">
        <v>79395</v>
      </c>
      <c r="F24">
        <v>145816</v>
      </c>
      <c r="G24">
        <v>11</v>
      </c>
      <c r="H24">
        <v>179</v>
      </c>
      <c r="I24">
        <v>179</v>
      </c>
    </row>
    <row r="25" spans="1:9" x14ac:dyDescent="0.3">
      <c r="A25" t="s">
        <v>495</v>
      </c>
      <c r="B25" t="s">
        <v>496</v>
      </c>
      <c r="C25" t="s">
        <v>73</v>
      </c>
      <c r="D25" t="s">
        <v>25</v>
      </c>
      <c r="E25">
        <v>25632</v>
      </c>
      <c r="F25">
        <v>50725</v>
      </c>
      <c r="G25">
        <v>31</v>
      </c>
      <c r="H25">
        <v>141</v>
      </c>
      <c r="I25">
        <v>141</v>
      </c>
    </row>
    <row r="26" spans="1:9" x14ac:dyDescent="0.3">
      <c r="A26" t="s">
        <v>497</v>
      </c>
      <c r="B26" t="s">
        <v>498</v>
      </c>
      <c r="C26" t="s">
        <v>73</v>
      </c>
      <c r="D26" t="s">
        <v>499</v>
      </c>
      <c r="E26">
        <v>40665</v>
      </c>
      <c r="F26">
        <v>69081</v>
      </c>
      <c r="G26">
        <v>25</v>
      </c>
      <c r="H26">
        <v>326</v>
      </c>
      <c r="I26">
        <v>326</v>
      </c>
    </row>
    <row r="27" spans="1:9" x14ac:dyDescent="0.3">
      <c r="A27" t="s">
        <v>500</v>
      </c>
      <c r="B27" t="s">
        <v>501</v>
      </c>
      <c r="C27" t="s">
        <v>73</v>
      </c>
      <c r="D27" t="s">
        <v>502</v>
      </c>
      <c r="E27">
        <v>59287</v>
      </c>
      <c r="F27">
        <v>91648</v>
      </c>
      <c r="G27">
        <v>26</v>
      </c>
      <c r="H27">
        <v>158</v>
      </c>
      <c r="I27">
        <v>158</v>
      </c>
    </row>
    <row r="28" spans="1:9" x14ac:dyDescent="0.3">
      <c r="A28" t="s">
        <v>503</v>
      </c>
      <c r="B28" t="s">
        <v>504</v>
      </c>
      <c r="C28" t="s">
        <v>75</v>
      </c>
      <c r="D28" t="s">
        <v>505</v>
      </c>
      <c r="E28">
        <v>50242</v>
      </c>
      <c r="F28">
        <v>84754</v>
      </c>
      <c r="G28">
        <v>31</v>
      </c>
      <c r="H28">
        <v>349</v>
      </c>
      <c r="I28">
        <v>349</v>
      </c>
    </row>
    <row r="29" spans="1:9" x14ac:dyDescent="0.3">
      <c r="A29" t="s">
        <v>506</v>
      </c>
      <c r="B29" t="s">
        <v>507</v>
      </c>
      <c r="C29" t="s">
        <v>75</v>
      </c>
      <c r="D29" t="s">
        <v>25</v>
      </c>
      <c r="E29">
        <v>74066</v>
      </c>
      <c r="F29">
        <v>140756</v>
      </c>
      <c r="G29">
        <v>17</v>
      </c>
      <c r="H29">
        <v>302</v>
      </c>
      <c r="I29">
        <v>302</v>
      </c>
    </row>
    <row r="30" spans="1:9" x14ac:dyDescent="0.3">
      <c r="A30" t="s">
        <v>508</v>
      </c>
      <c r="B30" t="s">
        <v>509</v>
      </c>
      <c r="C30" t="s">
        <v>75</v>
      </c>
      <c r="D30" t="s">
        <v>505</v>
      </c>
      <c r="E30">
        <v>12180</v>
      </c>
      <c r="F30">
        <v>15918</v>
      </c>
      <c r="G30">
        <v>40</v>
      </c>
      <c r="H30">
        <v>208</v>
      </c>
      <c r="I30">
        <v>208</v>
      </c>
    </row>
    <row r="31" spans="1:9" x14ac:dyDescent="0.3">
      <c r="A31" t="s">
        <v>510</v>
      </c>
      <c r="B31" t="s">
        <v>511</v>
      </c>
      <c r="C31" t="s">
        <v>75</v>
      </c>
      <c r="D31" t="s">
        <v>505</v>
      </c>
      <c r="E31">
        <v>22987</v>
      </c>
      <c r="F31">
        <v>45692</v>
      </c>
      <c r="G31">
        <v>20</v>
      </c>
      <c r="H31">
        <v>161</v>
      </c>
      <c r="I31">
        <v>161</v>
      </c>
    </row>
    <row r="32" spans="1:9" x14ac:dyDescent="0.3">
      <c r="A32" t="s">
        <v>512</v>
      </c>
      <c r="B32" t="s">
        <v>513</v>
      </c>
      <c r="C32" t="s">
        <v>77</v>
      </c>
      <c r="D32" t="s">
        <v>499</v>
      </c>
      <c r="E32">
        <v>6013</v>
      </c>
      <c r="F32">
        <v>10508</v>
      </c>
      <c r="G32">
        <v>15</v>
      </c>
      <c r="H32">
        <v>166</v>
      </c>
      <c r="I32">
        <v>166</v>
      </c>
    </row>
    <row r="33" spans="1:9" x14ac:dyDescent="0.3">
      <c r="A33" t="s">
        <v>514</v>
      </c>
      <c r="B33" t="s">
        <v>515</v>
      </c>
      <c r="C33" t="s">
        <v>77</v>
      </c>
      <c r="D33" t="s">
        <v>471</v>
      </c>
      <c r="E33">
        <v>54834</v>
      </c>
      <c r="F33">
        <v>97567</v>
      </c>
      <c r="G33">
        <v>26</v>
      </c>
      <c r="H33">
        <v>386</v>
      </c>
      <c r="I33">
        <v>386</v>
      </c>
    </row>
    <row r="34" spans="1:9" x14ac:dyDescent="0.3">
      <c r="A34" t="s">
        <v>516</v>
      </c>
      <c r="B34" t="s">
        <v>517</v>
      </c>
      <c r="C34" t="s">
        <v>77</v>
      </c>
      <c r="D34" t="s">
        <v>477</v>
      </c>
      <c r="E34">
        <v>51421</v>
      </c>
      <c r="F34">
        <v>70182</v>
      </c>
      <c r="G34">
        <v>33</v>
      </c>
      <c r="H34">
        <v>121</v>
      </c>
      <c r="I34">
        <v>121</v>
      </c>
    </row>
    <row r="35" spans="1:9" x14ac:dyDescent="0.3">
      <c r="A35" t="s">
        <v>518</v>
      </c>
      <c r="B35" t="s">
        <v>519</v>
      </c>
      <c r="C35" t="s">
        <v>79</v>
      </c>
      <c r="D35" t="s">
        <v>520</v>
      </c>
      <c r="E35">
        <v>62176</v>
      </c>
      <c r="F35">
        <v>81877</v>
      </c>
      <c r="G35">
        <v>12</v>
      </c>
      <c r="H35">
        <v>260</v>
      </c>
      <c r="I35">
        <v>260</v>
      </c>
    </row>
    <row r="36" spans="1:9" x14ac:dyDescent="0.3">
      <c r="A36" t="s">
        <v>521</v>
      </c>
      <c r="B36" t="s">
        <v>522</v>
      </c>
      <c r="C36" t="s">
        <v>79</v>
      </c>
      <c r="D36" t="s">
        <v>482</v>
      </c>
      <c r="E36">
        <v>61267</v>
      </c>
      <c r="F36">
        <v>111264</v>
      </c>
      <c r="G36">
        <v>30</v>
      </c>
      <c r="H36">
        <v>313</v>
      </c>
      <c r="I36">
        <v>313</v>
      </c>
    </row>
    <row r="37" spans="1:9" x14ac:dyDescent="0.3">
      <c r="A37" t="s">
        <v>523</v>
      </c>
      <c r="B37" t="s">
        <v>524</v>
      </c>
      <c r="C37" t="s">
        <v>63</v>
      </c>
      <c r="D37" t="s">
        <v>26</v>
      </c>
      <c r="E37">
        <v>42947</v>
      </c>
      <c r="F37">
        <v>60282</v>
      </c>
      <c r="G37">
        <v>40</v>
      </c>
      <c r="H37">
        <v>266</v>
      </c>
      <c r="I37">
        <v>266</v>
      </c>
    </row>
    <row r="38" spans="1:9" x14ac:dyDescent="0.3">
      <c r="A38" t="s">
        <v>525</v>
      </c>
      <c r="B38" t="s">
        <v>526</v>
      </c>
      <c r="C38" t="s">
        <v>73</v>
      </c>
      <c r="D38" t="s">
        <v>448</v>
      </c>
      <c r="E38">
        <v>27527</v>
      </c>
      <c r="F38">
        <v>55637</v>
      </c>
      <c r="G38">
        <v>24</v>
      </c>
      <c r="H38">
        <v>285</v>
      </c>
      <c r="I38">
        <v>285</v>
      </c>
    </row>
    <row r="39" spans="1:9" x14ac:dyDescent="0.3">
      <c r="A39" t="s">
        <v>527</v>
      </c>
      <c r="B39" t="s">
        <v>528</v>
      </c>
      <c r="C39" t="s">
        <v>79</v>
      </c>
      <c r="D39" t="s">
        <v>27</v>
      </c>
      <c r="E39">
        <v>16551</v>
      </c>
      <c r="F39">
        <v>28021</v>
      </c>
      <c r="G39">
        <v>17</v>
      </c>
      <c r="H39">
        <v>323</v>
      </c>
      <c r="I39">
        <v>323</v>
      </c>
    </row>
    <row r="40" spans="1:9" x14ac:dyDescent="0.3">
      <c r="A40" t="s">
        <v>529</v>
      </c>
      <c r="B40" t="s">
        <v>530</v>
      </c>
      <c r="C40" t="s">
        <v>79</v>
      </c>
      <c r="D40" t="s">
        <v>450</v>
      </c>
      <c r="E40">
        <v>57487</v>
      </c>
      <c r="F40">
        <v>101842</v>
      </c>
      <c r="G40">
        <v>37</v>
      </c>
      <c r="H40">
        <v>258</v>
      </c>
      <c r="I40">
        <v>258</v>
      </c>
    </row>
    <row r="41" spans="1:9" x14ac:dyDescent="0.3">
      <c r="A41" t="s">
        <v>531</v>
      </c>
      <c r="B41" t="s">
        <v>532</v>
      </c>
      <c r="C41" t="s">
        <v>77</v>
      </c>
      <c r="D41" t="s">
        <v>502</v>
      </c>
      <c r="E41">
        <v>49500</v>
      </c>
      <c r="F41">
        <v>74221</v>
      </c>
      <c r="G41">
        <v>15</v>
      </c>
      <c r="H41">
        <v>139</v>
      </c>
      <c r="I41">
        <v>139</v>
      </c>
    </row>
    <row r="42" spans="1:9" x14ac:dyDescent="0.3">
      <c r="A42" t="s">
        <v>533</v>
      </c>
      <c r="B42" t="s">
        <v>534</v>
      </c>
      <c r="C42" t="s">
        <v>71</v>
      </c>
      <c r="D42" t="s">
        <v>535</v>
      </c>
      <c r="E42">
        <v>71910</v>
      </c>
      <c r="F42">
        <v>134464</v>
      </c>
      <c r="G42">
        <v>26</v>
      </c>
      <c r="H42">
        <v>199</v>
      </c>
      <c r="I42">
        <v>199</v>
      </c>
    </row>
    <row r="43" spans="1:9" x14ac:dyDescent="0.3">
      <c r="A43" t="s">
        <v>536</v>
      </c>
      <c r="B43" t="s">
        <v>537</v>
      </c>
      <c r="C43" t="s">
        <v>69</v>
      </c>
      <c r="D43" t="s">
        <v>538</v>
      </c>
      <c r="E43">
        <v>50793</v>
      </c>
      <c r="F43">
        <v>82080</v>
      </c>
      <c r="G43">
        <v>30</v>
      </c>
      <c r="H43">
        <v>175</v>
      </c>
      <c r="I43">
        <v>175</v>
      </c>
    </row>
    <row r="44" spans="1:9" x14ac:dyDescent="0.3">
      <c r="A44" t="s">
        <v>539</v>
      </c>
      <c r="B44" t="s">
        <v>540</v>
      </c>
      <c r="C44" t="s">
        <v>67</v>
      </c>
      <c r="D44" t="s">
        <v>541</v>
      </c>
      <c r="E44">
        <v>35968</v>
      </c>
      <c r="F44">
        <v>50086</v>
      </c>
      <c r="G44">
        <v>16</v>
      </c>
      <c r="H44">
        <v>188</v>
      </c>
      <c r="I44">
        <v>188</v>
      </c>
    </row>
    <row r="45" spans="1:9" x14ac:dyDescent="0.3">
      <c r="A45" t="s">
        <v>542</v>
      </c>
      <c r="B45" t="s">
        <v>543</v>
      </c>
      <c r="C45" t="s">
        <v>71</v>
      </c>
      <c r="D45" t="s">
        <v>453</v>
      </c>
      <c r="E45">
        <v>25036</v>
      </c>
      <c r="F45">
        <v>49676</v>
      </c>
      <c r="G45">
        <v>12</v>
      </c>
      <c r="H45">
        <v>190</v>
      </c>
      <c r="I45">
        <v>190</v>
      </c>
    </row>
    <row r="46" spans="1:9" x14ac:dyDescent="0.3">
      <c r="A46" t="s">
        <v>544</v>
      </c>
      <c r="B46" t="s">
        <v>545</v>
      </c>
      <c r="C46" t="s">
        <v>67</v>
      </c>
      <c r="D46" t="s">
        <v>463</v>
      </c>
      <c r="E46">
        <v>69764</v>
      </c>
      <c r="F46">
        <v>119823</v>
      </c>
      <c r="G46">
        <v>34</v>
      </c>
      <c r="H46">
        <v>396</v>
      </c>
      <c r="I46">
        <v>396</v>
      </c>
    </row>
    <row r="47" spans="1:9" x14ac:dyDescent="0.3">
      <c r="A47" t="s">
        <v>546</v>
      </c>
      <c r="B47" t="s">
        <v>547</v>
      </c>
      <c r="C47" t="s">
        <v>69</v>
      </c>
      <c r="D47" t="s">
        <v>455</v>
      </c>
      <c r="E47">
        <v>63838</v>
      </c>
      <c r="F47">
        <v>122123</v>
      </c>
      <c r="G47">
        <v>28</v>
      </c>
      <c r="H47">
        <v>265</v>
      </c>
      <c r="I47">
        <v>265</v>
      </c>
    </row>
    <row r="48" spans="1:9" x14ac:dyDescent="0.3">
      <c r="A48" t="s">
        <v>548</v>
      </c>
      <c r="B48" t="s">
        <v>549</v>
      </c>
      <c r="C48" t="s">
        <v>73</v>
      </c>
      <c r="D48" t="s">
        <v>29</v>
      </c>
      <c r="E48">
        <v>46436</v>
      </c>
      <c r="F48">
        <v>66675</v>
      </c>
      <c r="G48">
        <v>25</v>
      </c>
      <c r="H48">
        <v>326</v>
      </c>
      <c r="I48">
        <v>326</v>
      </c>
    </row>
    <row r="49" spans="1:9" x14ac:dyDescent="0.3">
      <c r="A49" t="s">
        <v>550</v>
      </c>
      <c r="B49" t="s">
        <v>551</v>
      </c>
      <c r="C49" t="s">
        <v>65</v>
      </c>
      <c r="D49" t="s">
        <v>463</v>
      </c>
      <c r="E49">
        <v>44691</v>
      </c>
      <c r="F49">
        <v>90128</v>
      </c>
      <c r="G49">
        <v>11</v>
      </c>
      <c r="H49">
        <v>280</v>
      </c>
      <c r="I49">
        <v>280</v>
      </c>
    </row>
    <row r="50" spans="1:9" x14ac:dyDescent="0.3">
      <c r="A50" t="s">
        <v>552</v>
      </c>
      <c r="B50" t="s">
        <v>553</v>
      </c>
      <c r="C50" t="s">
        <v>69</v>
      </c>
      <c r="D50" t="s">
        <v>554</v>
      </c>
      <c r="E50">
        <v>71497</v>
      </c>
      <c r="F50">
        <v>97720</v>
      </c>
      <c r="G50">
        <v>24</v>
      </c>
      <c r="H50">
        <v>119</v>
      </c>
      <c r="I50">
        <v>119</v>
      </c>
    </row>
    <row r="51" spans="1:9" x14ac:dyDescent="0.3">
      <c r="A51" t="s">
        <v>555</v>
      </c>
      <c r="B51" t="s">
        <v>556</v>
      </c>
      <c r="C51" t="s">
        <v>75</v>
      </c>
      <c r="D51" t="s">
        <v>505</v>
      </c>
      <c r="E51">
        <v>12456</v>
      </c>
      <c r="F51">
        <v>20326</v>
      </c>
      <c r="G51">
        <v>12</v>
      </c>
      <c r="H51">
        <v>146</v>
      </c>
      <c r="I51">
        <v>146</v>
      </c>
    </row>
    <row r="52" spans="1:9" x14ac:dyDescent="0.3">
      <c r="A52" t="s">
        <v>557</v>
      </c>
      <c r="B52" t="s">
        <v>558</v>
      </c>
      <c r="C52" t="s">
        <v>71</v>
      </c>
      <c r="D52" t="s">
        <v>463</v>
      </c>
      <c r="E52">
        <v>71462</v>
      </c>
      <c r="F52">
        <v>117628</v>
      </c>
      <c r="G52">
        <v>27</v>
      </c>
      <c r="H52">
        <v>121</v>
      </c>
      <c r="I52">
        <v>121</v>
      </c>
    </row>
    <row r="53" spans="1:9" x14ac:dyDescent="0.3">
      <c r="A53" t="s">
        <v>559</v>
      </c>
      <c r="B53" t="s">
        <v>560</v>
      </c>
      <c r="C53" t="s">
        <v>63</v>
      </c>
      <c r="D53" t="s">
        <v>463</v>
      </c>
      <c r="E53">
        <v>63947</v>
      </c>
      <c r="F53">
        <v>135449</v>
      </c>
      <c r="G53">
        <v>30</v>
      </c>
      <c r="H53">
        <v>196</v>
      </c>
      <c r="I53">
        <v>196</v>
      </c>
    </row>
    <row r="54" spans="1:9" x14ac:dyDescent="0.3">
      <c r="A54" t="s">
        <v>561</v>
      </c>
      <c r="B54" t="s">
        <v>562</v>
      </c>
      <c r="C54" t="s">
        <v>61</v>
      </c>
      <c r="D54" t="s">
        <v>535</v>
      </c>
      <c r="E54">
        <v>47143</v>
      </c>
      <c r="F54">
        <v>86955</v>
      </c>
      <c r="G54">
        <v>14</v>
      </c>
      <c r="H54">
        <v>131</v>
      </c>
      <c r="I54">
        <v>131</v>
      </c>
    </row>
    <row r="55" spans="1:9" x14ac:dyDescent="0.3">
      <c r="A55" t="s">
        <v>563</v>
      </c>
      <c r="B55" t="s">
        <v>564</v>
      </c>
      <c r="C55" t="s">
        <v>75</v>
      </c>
      <c r="D55" t="s">
        <v>455</v>
      </c>
      <c r="E55">
        <v>64050</v>
      </c>
      <c r="F55">
        <v>89231</v>
      </c>
      <c r="G55">
        <v>36</v>
      </c>
      <c r="H55">
        <v>275</v>
      </c>
      <c r="I55">
        <v>275</v>
      </c>
    </row>
    <row r="56" spans="1:9" x14ac:dyDescent="0.3">
      <c r="A56" t="s">
        <v>565</v>
      </c>
      <c r="B56" t="s">
        <v>566</v>
      </c>
      <c r="C56" t="s">
        <v>79</v>
      </c>
      <c r="D56" t="s">
        <v>485</v>
      </c>
      <c r="E56">
        <v>16053</v>
      </c>
      <c r="F56">
        <v>28158</v>
      </c>
      <c r="G56">
        <v>11</v>
      </c>
      <c r="H56">
        <v>226</v>
      </c>
      <c r="I56">
        <v>226</v>
      </c>
    </row>
    <row r="57" spans="1:9" x14ac:dyDescent="0.3">
      <c r="A57" t="s">
        <v>567</v>
      </c>
      <c r="B57" t="s">
        <v>568</v>
      </c>
      <c r="C57" t="s">
        <v>79</v>
      </c>
      <c r="D57" t="s">
        <v>535</v>
      </c>
      <c r="E57">
        <v>62377</v>
      </c>
      <c r="F57">
        <v>136723</v>
      </c>
      <c r="G57">
        <v>26</v>
      </c>
      <c r="H57">
        <v>181</v>
      </c>
      <c r="I57">
        <v>181</v>
      </c>
    </row>
    <row r="58" spans="1:9" x14ac:dyDescent="0.3">
      <c r="A58" t="s">
        <v>569</v>
      </c>
      <c r="B58" t="s">
        <v>570</v>
      </c>
      <c r="C58" t="s">
        <v>63</v>
      </c>
      <c r="D58" t="s">
        <v>505</v>
      </c>
      <c r="E58">
        <v>52696</v>
      </c>
      <c r="F58">
        <v>86187</v>
      </c>
      <c r="G58">
        <v>22</v>
      </c>
      <c r="H58">
        <v>309</v>
      </c>
      <c r="I58">
        <v>309</v>
      </c>
    </row>
    <row r="59" spans="1:9" x14ac:dyDescent="0.3">
      <c r="A59" t="s">
        <v>571</v>
      </c>
      <c r="B59" t="s">
        <v>528</v>
      </c>
      <c r="C59" t="s">
        <v>63</v>
      </c>
      <c r="D59" t="s">
        <v>25</v>
      </c>
      <c r="E59">
        <v>49350</v>
      </c>
      <c r="F59">
        <v>94308</v>
      </c>
      <c r="G59">
        <v>35</v>
      </c>
      <c r="H59">
        <v>271</v>
      </c>
      <c r="I59">
        <v>271</v>
      </c>
    </row>
    <row r="60" spans="1:9" x14ac:dyDescent="0.3">
      <c r="A60" t="s">
        <v>572</v>
      </c>
      <c r="B60" t="s">
        <v>573</v>
      </c>
      <c r="C60" t="s">
        <v>77</v>
      </c>
      <c r="D60" t="s">
        <v>574</v>
      </c>
      <c r="E60">
        <v>13639</v>
      </c>
      <c r="F60">
        <v>21777</v>
      </c>
      <c r="G60">
        <v>31</v>
      </c>
      <c r="H60">
        <v>297</v>
      </c>
      <c r="I60">
        <v>297</v>
      </c>
    </row>
    <row r="61" spans="1:9" x14ac:dyDescent="0.3">
      <c r="A61" t="s">
        <v>575</v>
      </c>
      <c r="B61" t="s">
        <v>576</v>
      </c>
      <c r="C61" t="s">
        <v>67</v>
      </c>
      <c r="D61" t="s">
        <v>477</v>
      </c>
      <c r="E61">
        <v>42243</v>
      </c>
      <c r="F61">
        <v>64496</v>
      </c>
      <c r="G61">
        <v>31</v>
      </c>
      <c r="H61">
        <v>176</v>
      </c>
      <c r="I61">
        <v>176</v>
      </c>
    </row>
    <row r="62" spans="1:9" x14ac:dyDescent="0.3">
      <c r="A62" t="s">
        <v>577</v>
      </c>
      <c r="B62" t="s">
        <v>578</v>
      </c>
      <c r="C62" t="s">
        <v>77</v>
      </c>
      <c r="D62" t="s">
        <v>458</v>
      </c>
      <c r="E62">
        <v>48694</v>
      </c>
      <c r="F62">
        <v>66873</v>
      </c>
      <c r="G62">
        <v>14</v>
      </c>
      <c r="H62">
        <v>279</v>
      </c>
      <c r="I62">
        <v>279</v>
      </c>
    </row>
    <row r="63" spans="1:9" x14ac:dyDescent="0.3">
      <c r="A63" t="s">
        <v>579</v>
      </c>
      <c r="B63" t="s">
        <v>528</v>
      </c>
      <c r="C63" t="s">
        <v>69</v>
      </c>
      <c r="D63" t="s">
        <v>482</v>
      </c>
      <c r="E63">
        <v>45662</v>
      </c>
      <c r="F63">
        <v>99128</v>
      </c>
      <c r="G63">
        <v>31</v>
      </c>
      <c r="H63">
        <v>300</v>
      </c>
      <c r="I63">
        <v>300</v>
      </c>
    </row>
    <row r="64" spans="1:9" x14ac:dyDescent="0.3">
      <c r="A64" t="s">
        <v>580</v>
      </c>
      <c r="B64" t="s">
        <v>526</v>
      </c>
      <c r="C64" t="s">
        <v>65</v>
      </c>
      <c r="D64" t="s">
        <v>29</v>
      </c>
      <c r="E64">
        <v>21901</v>
      </c>
      <c r="F64">
        <v>40200</v>
      </c>
      <c r="G64">
        <v>19</v>
      </c>
      <c r="H64">
        <v>386</v>
      </c>
      <c r="I64">
        <v>386</v>
      </c>
    </row>
    <row r="65" spans="1:9" x14ac:dyDescent="0.3">
      <c r="A65" t="s">
        <v>581</v>
      </c>
      <c r="B65" t="s">
        <v>582</v>
      </c>
      <c r="C65" t="s">
        <v>71</v>
      </c>
      <c r="D65" t="s">
        <v>583</v>
      </c>
      <c r="E65">
        <v>54372</v>
      </c>
      <c r="F65">
        <v>102172</v>
      </c>
      <c r="G65">
        <v>36</v>
      </c>
      <c r="H65">
        <v>165</v>
      </c>
      <c r="I65">
        <v>165</v>
      </c>
    </row>
    <row r="66" spans="1:9" x14ac:dyDescent="0.3">
      <c r="A66" t="s">
        <v>584</v>
      </c>
      <c r="B66" t="s">
        <v>585</v>
      </c>
      <c r="C66" t="s">
        <v>63</v>
      </c>
      <c r="D66" t="s">
        <v>458</v>
      </c>
      <c r="E66">
        <v>73995</v>
      </c>
      <c r="F66">
        <v>102417</v>
      </c>
      <c r="G66">
        <v>23</v>
      </c>
      <c r="H66">
        <v>360</v>
      </c>
      <c r="I66">
        <v>360</v>
      </c>
    </row>
    <row r="67" spans="1:9" x14ac:dyDescent="0.3">
      <c r="A67" t="s">
        <v>586</v>
      </c>
      <c r="B67" t="s">
        <v>587</v>
      </c>
      <c r="C67" t="s">
        <v>67</v>
      </c>
      <c r="D67" t="s">
        <v>505</v>
      </c>
      <c r="E67">
        <v>52425</v>
      </c>
      <c r="F67">
        <v>69012</v>
      </c>
      <c r="G67">
        <v>15</v>
      </c>
      <c r="H67">
        <v>209</v>
      </c>
      <c r="I67">
        <v>209</v>
      </c>
    </row>
    <row r="68" spans="1:9" x14ac:dyDescent="0.3">
      <c r="A68" t="s">
        <v>588</v>
      </c>
      <c r="B68" t="s">
        <v>589</v>
      </c>
      <c r="C68" t="s">
        <v>71</v>
      </c>
      <c r="D68" t="s">
        <v>460</v>
      </c>
      <c r="E68">
        <v>49791</v>
      </c>
      <c r="F68">
        <v>107195</v>
      </c>
      <c r="G68">
        <v>16</v>
      </c>
      <c r="H68">
        <v>215</v>
      </c>
      <c r="I68">
        <v>215</v>
      </c>
    </row>
    <row r="69" spans="1:9" x14ac:dyDescent="0.3">
      <c r="A69" t="s">
        <v>590</v>
      </c>
      <c r="B69" t="s">
        <v>591</v>
      </c>
      <c r="C69" t="s">
        <v>69</v>
      </c>
      <c r="D69" t="s">
        <v>505</v>
      </c>
      <c r="E69">
        <v>23030</v>
      </c>
      <c r="F69">
        <v>33150</v>
      </c>
      <c r="G69">
        <v>37</v>
      </c>
      <c r="H69">
        <v>151</v>
      </c>
      <c r="I69">
        <v>151</v>
      </c>
    </row>
    <row r="70" spans="1:9" x14ac:dyDescent="0.3">
      <c r="A70" t="s">
        <v>592</v>
      </c>
      <c r="B70" t="s">
        <v>593</v>
      </c>
      <c r="C70" t="s">
        <v>65</v>
      </c>
      <c r="D70" t="s">
        <v>538</v>
      </c>
      <c r="E70">
        <v>71543</v>
      </c>
      <c r="F70">
        <v>142641</v>
      </c>
      <c r="G70">
        <v>33</v>
      </c>
      <c r="H70">
        <v>369</v>
      </c>
      <c r="I70">
        <v>369</v>
      </c>
    </row>
    <row r="71" spans="1:9" x14ac:dyDescent="0.3">
      <c r="A71" t="s">
        <v>594</v>
      </c>
      <c r="B71" t="s">
        <v>595</v>
      </c>
      <c r="C71" t="s">
        <v>75</v>
      </c>
      <c r="D71" t="s">
        <v>455</v>
      </c>
      <c r="E71">
        <v>9947</v>
      </c>
      <c r="F71">
        <v>18856</v>
      </c>
      <c r="G71">
        <v>34</v>
      </c>
      <c r="H71">
        <v>167</v>
      </c>
      <c r="I71">
        <v>167</v>
      </c>
    </row>
    <row r="72" spans="1:9" x14ac:dyDescent="0.3">
      <c r="A72" t="s">
        <v>596</v>
      </c>
      <c r="B72" t="s">
        <v>597</v>
      </c>
      <c r="C72" t="s">
        <v>77</v>
      </c>
      <c r="D72" t="s">
        <v>485</v>
      </c>
      <c r="E72">
        <v>54377</v>
      </c>
      <c r="F72">
        <v>78239</v>
      </c>
      <c r="G72">
        <v>36</v>
      </c>
      <c r="H72">
        <v>184</v>
      </c>
      <c r="I72">
        <v>184</v>
      </c>
    </row>
    <row r="73" spans="1:9" x14ac:dyDescent="0.3">
      <c r="A73" t="s">
        <v>598</v>
      </c>
      <c r="B73" t="s">
        <v>599</v>
      </c>
      <c r="C73" t="s">
        <v>69</v>
      </c>
      <c r="D73" t="s">
        <v>474</v>
      </c>
      <c r="E73">
        <v>62366</v>
      </c>
      <c r="F73">
        <v>83528</v>
      </c>
      <c r="G73">
        <v>31</v>
      </c>
      <c r="H73">
        <v>221</v>
      </c>
      <c r="I73">
        <v>221</v>
      </c>
    </row>
    <row r="74" spans="1:9" x14ac:dyDescent="0.3">
      <c r="A74" t="s">
        <v>600</v>
      </c>
      <c r="B74" t="s">
        <v>530</v>
      </c>
      <c r="C74" t="s">
        <v>79</v>
      </c>
      <c r="D74" t="s">
        <v>502</v>
      </c>
      <c r="E74">
        <v>63222</v>
      </c>
      <c r="F74">
        <v>116931</v>
      </c>
      <c r="G74">
        <v>33</v>
      </c>
      <c r="H74">
        <v>329</v>
      </c>
      <c r="I74">
        <v>329</v>
      </c>
    </row>
    <row r="75" spans="1:9" x14ac:dyDescent="0.3">
      <c r="A75" t="s">
        <v>601</v>
      </c>
      <c r="B75" t="s">
        <v>602</v>
      </c>
      <c r="C75" t="s">
        <v>77</v>
      </c>
      <c r="D75" t="s">
        <v>505</v>
      </c>
      <c r="E75">
        <v>35671</v>
      </c>
      <c r="F75">
        <v>63516</v>
      </c>
      <c r="G75">
        <v>40</v>
      </c>
      <c r="H75">
        <v>340</v>
      </c>
      <c r="I75">
        <v>340</v>
      </c>
    </row>
    <row r="76" spans="1:9" x14ac:dyDescent="0.3">
      <c r="A76" t="s">
        <v>603</v>
      </c>
      <c r="B76" t="s">
        <v>604</v>
      </c>
      <c r="C76" t="s">
        <v>61</v>
      </c>
      <c r="D76" t="s">
        <v>463</v>
      </c>
      <c r="E76">
        <v>30430</v>
      </c>
      <c r="F76">
        <v>49633</v>
      </c>
      <c r="G76">
        <v>24</v>
      </c>
      <c r="H76">
        <v>336</v>
      </c>
      <c r="I76">
        <v>336</v>
      </c>
    </row>
    <row r="77" spans="1:9" x14ac:dyDescent="0.3">
      <c r="A77" t="s">
        <v>605</v>
      </c>
      <c r="B77" t="s">
        <v>585</v>
      </c>
      <c r="C77" t="s">
        <v>77</v>
      </c>
      <c r="D77" t="s">
        <v>535</v>
      </c>
      <c r="E77">
        <v>41932</v>
      </c>
      <c r="F77">
        <v>83877</v>
      </c>
      <c r="G77">
        <v>26</v>
      </c>
      <c r="H77">
        <v>314</v>
      </c>
      <c r="I77">
        <v>314</v>
      </c>
    </row>
    <row r="78" spans="1:9" x14ac:dyDescent="0.3">
      <c r="A78" t="s">
        <v>606</v>
      </c>
      <c r="B78" t="s">
        <v>566</v>
      </c>
      <c r="C78" t="s">
        <v>69</v>
      </c>
      <c r="D78" t="s">
        <v>607</v>
      </c>
      <c r="E78">
        <v>26241</v>
      </c>
      <c r="F78">
        <v>53405</v>
      </c>
      <c r="G78">
        <v>29</v>
      </c>
      <c r="H78">
        <v>170</v>
      </c>
      <c r="I78">
        <v>170</v>
      </c>
    </row>
    <row r="79" spans="1:9" x14ac:dyDescent="0.3">
      <c r="A79" t="s">
        <v>608</v>
      </c>
      <c r="B79" t="s">
        <v>609</v>
      </c>
      <c r="C79" t="s">
        <v>63</v>
      </c>
      <c r="D79" t="s">
        <v>460</v>
      </c>
      <c r="E79">
        <v>37768</v>
      </c>
      <c r="F79">
        <v>50872</v>
      </c>
      <c r="G79">
        <v>37</v>
      </c>
      <c r="H79">
        <v>290</v>
      </c>
      <c r="I79">
        <v>290</v>
      </c>
    </row>
    <row r="80" spans="1:9" x14ac:dyDescent="0.3">
      <c r="A80" t="s">
        <v>610</v>
      </c>
      <c r="B80" t="s">
        <v>611</v>
      </c>
      <c r="C80" t="s">
        <v>65</v>
      </c>
      <c r="D80" t="s">
        <v>482</v>
      </c>
      <c r="E80">
        <v>77684</v>
      </c>
      <c r="F80">
        <v>166310</v>
      </c>
      <c r="G80">
        <v>37</v>
      </c>
      <c r="H80">
        <v>364</v>
      </c>
      <c r="I80">
        <v>364</v>
      </c>
    </row>
    <row r="81" spans="1:9" x14ac:dyDescent="0.3">
      <c r="A81" t="s">
        <v>612</v>
      </c>
      <c r="B81" t="s">
        <v>613</v>
      </c>
      <c r="C81" t="s">
        <v>69</v>
      </c>
      <c r="D81" t="s">
        <v>502</v>
      </c>
      <c r="E81">
        <v>21341</v>
      </c>
      <c r="F81">
        <v>33218</v>
      </c>
      <c r="G81">
        <v>15</v>
      </c>
      <c r="H81">
        <v>239</v>
      </c>
      <c r="I81">
        <v>239</v>
      </c>
    </row>
    <row r="82" spans="1:9" x14ac:dyDescent="0.3">
      <c r="A82" t="s">
        <v>614</v>
      </c>
      <c r="B82" t="s">
        <v>615</v>
      </c>
      <c r="C82" t="s">
        <v>63</v>
      </c>
      <c r="D82" t="s">
        <v>28</v>
      </c>
      <c r="E82">
        <v>63893</v>
      </c>
      <c r="F82">
        <v>135119</v>
      </c>
      <c r="G82">
        <v>36</v>
      </c>
      <c r="H82">
        <v>323</v>
      </c>
      <c r="I82">
        <v>323</v>
      </c>
    </row>
    <row r="83" spans="1:9" x14ac:dyDescent="0.3">
      <c r="A83" t="s">
        <v>616</v>
      </c>
      <c r="B83" t="s">
        <v>617</v>
      </c>
      <c r="C83" t="s">
        <v>63</v>
      </c>
      <c r="D83" t="s">
        <v>471</v>
      </c>
      <c r="E83">
        <v>17021</v>
      </c>
      <c r="F83">
        <v>36625</v>
      </c>
      <c r="G83">
        <v>36</v>
      </c>
      <c r="H83">
        <v>330</v>
      </c>
      <c r="I83">
        <v>330</v>
      </c>
    </row>
    <row r="84" spans="1:9" x14ac:dyDescent="0.3">
      <c r="A84" t="s">
        <v>618</v>
      </c>
      <c r="B84" t="s">
        <v>619</v>
      </c>
      <c r="C84" t="s">
        <v>77</v>
      </c>
      <c r="D84" t="s">
        <v>499</v>
      </c>
      <c r="E84">
        <v>50820</v>
      </c>
      <c r="F84">
        <v>108623</v>
      </c>
      <c r="G84">
        <v>11</v>
      </c>
      <c r="H84">
        <v>302</v>
      </c>
      <c r="I84">
        <v>302</v>
      </c>
    </row>
    <row r="85" spans="1:9" x14ac:dyDescent="0.3">
      <c r="A85" t="s">
        <v>620</v>
      </c>
      <c r="B85" t="s">
        <v>621</v>
      </c>
      <c r="C85" t="s">
        <v>65</v>
      </c>
      <c r="D85" t="s">
        <v>450</v>
      </c>
      <c r="E85">
        <v>70799</v>
      </c>
      <c r="F85">
        <v>115867</v>
      </c>
      <c r="G85">
        <v>12</v>
      </c>
      <c r="H85">
        <v>291</v>
      </c>
      <c r="I85">
        <v>291</v>
      </c>
    </row>
    <row r="86" spans="1:9" x14ac:dyDescent="0.3">
      <c r="A86" t="s">
        <v>622</v>
      </c>
      <c r="B86" t="s">
        <v>623</v>
      </c>
      <c r="C86" t="s">
        <v>69</v>
      </c>
      <c r="D86" t="s">
        <v>520</v>
      </c>
      <c r="E86">
        <v>34430</v>
      </c>
      <c r="F86">
        <v>45632</v>
      </c>
      <c r="G86">
        <v>13</v>
      </c>
      <c r="H86">
        <v>271</v>
      </c>
      <c r="I86">
        <v>271</v>
      </c>
    </row>
    <row r="87" spans="1:9" x14ac:dyDescent="0.3">
      <c r="A87" t="s">
        <v>624</v>
      </c>
      <c r="B87" t="s">
        <v>625</v>
      </c>
      <c r="C87" t="s">
        <v>69</v>
      </c>
      <c r="D87" t="s">
        <v>505</v>
      </c>
      <c r="E87">
        <v>24142</v>
      </c>
      <c r="F87">
        <v>34374</v>
      </c>
      <c r="G87">
        <v>39</v>
      </c>
      <c r="H87">
        <v>341</v>
      </c>
      <c r="I87">
        <v>341</v>
      </c>
    </row>
    <row r="88" spans="1:9" x14ac:dyDescent="0.3">
      <c r="A88" t="s">
        <v>626</v>
      </c>
      <c r="B88" t="s">
        <v>627</v>
      </c>
      <c r="C88" t="s">
        <v>79</v>
      </c>
      <c r="D88" t="s">
        <v>460</v>
      </c>
      <c r="E88">
        <v>23191</v>
      </c>
      <c r="F88">
        <v>45986</v>
      </c>
      <c r="G88">
        <v>24</v>
      </c>
      <c r="H88">
        <v>102</v>
      </c>
      <c r="I88">
        <v>102</v>
      </c>
    </row>
    <row r="89" spans="1:9" x14ac:dyDescent="0.3">
      <c r="A89" t="s">
        <v>628</v>
      </c>
      <c r="B89" t="s">
        <v>629</v>
      </c>
      <c r="C89" t="s">
        <v>67</v>
      </c>
      <c r="D89" t="s">
        <v>490</v>
      </c>
      <c r="E89">
        <v>15384</v>
      </c>
      <c r="F89">
        <v>20262</v>
      </c>
      <c r="G89">
        <v>36</v>
      </c>
      <c r="H89">
        <v>176</v>
      </c>
      <c r="I89">
        <v>176</v>
      </c>
    </row>
    <row r="90" spans="1:9" x14ac:dyDescent="0.3">
      <c r="A90" t="s">
        <v>630</v>
      </c>
      <c r="B90" t="s">
        <v>621</v>
      </c>
      <c r="C90" t="s">
        <v>71</v>
      </c>
      <c r="D90" t="s">
        <v>448</v>
      </c>
      <c r="E90">
        <v>76932</v>
      </c>
      <c r="F90">
        <v>165111</v>
      </c>
      <c r="G90">
        <v>26</v>
      </c>
      <c r="H90">
        <v>316</v>
      </c>
      <c r="I90">
        <v>316</v>
      </c>
    </row>
    <row r="91" spans="1:9" x14ac:dyDescent="0.3">
      <c r="A91" t="s">
        <v>631</v>
      </c>
      <c r="B91" t="s">
        <v>632</v>
      </c>
      <c r="C91" t="s">
        <v>67</v>
      </c>
      <c r="D91" t="s">
        <v>471</v>
      </c>
      <c r="E91">
        <v>19573</v>
      </c>
      <c r="F91">
        <v>39117</v>
      </c>
      <c r="G91">
        <v>19</v>
      </c>
      <c r="H91">
        <v>162</v>
      </c>
      <c r="I91">
        <v>162</v>
      </c>
    </row>
    <row r="92" spans="1:9" x14ac:dyDescent="0.3">
      <c r="A92" t="s">
        <v>633</v>
      </c>
      <c r="B92" t="s">
        <v>634</v>
      </c>
      <c r="C92" t="s">
        <v>69</v>
      </c>
      <c r="D92" t="s">
        <v>453</v>
      </c>
      <c r="E92">
        <v>11258</v>
      </c>
      <c r="F92">
        <v>17051</v>
      </c>
      <c r="G92">
        <v>35</v>
      </c>
      <c r="H92">
        <v>334</v>
      </c>
      <c r="I92">
        <v>334</v>
      </c>
    </row>
    <row r="93" spans="1:9" x14ac:dyDescent="0.3">
      <c r="A93" t="s">
        <v>635</v>
      </c>
      <c r="B93" t="s">
        <v>636</v>
      </c>
      <c r="C93" t="s">
        <v>77</v>
      </c>
      <c r="D93" t="s">
        <v>455</v>
      </c>
      <c r="E93">
        <v>13232</v>
      </c>
      <c r="F93">
        <v>18521</v>
      </c>
      <c r="G93">
        <v>25</v>
      </c>
      <c r="H93">
        <v>374</v>
      </c>
      <c r="I93">
        <v>374</v>
      </c>
    </row>
    <row r="94" spans="1:9" x14ac:dyDescent="0.3">
      <c r="A94" t="s">
        <v>637</v>
      </c>
      <c r="B94" t="s">
        <v>564</v>
      </c>
      <c r="C94" t="s">
        <v>75</v>
      </c>
      <c r="D94" t="s">
        <v>463</v>
      </c>
      <c r="E94">
        <v>7154</v>
      </c>
      <c r="F94">
        <v>13369</v>
      </c>
      <c r="G94">
        <v>17</v>
      </c>
      <c r="H94">
        <v>173</v>
      </c>
      <c r="I94">
        <v>173</v>
      </c>
    </row>
    <row r="95" spans="1:9" x14ac:dyDescent="0.3">
      <c r="A95" t="s">
        <v>638</v>
      </c>
      <c r="B95" t="s">
        <v>639</v>
      </c>
      <c r="C95" t="s">
        <v>69</v>
      </c>
      <c r="D95" t="s">
        <v>448</v>
      </c>
      <c r="E95">
        <v>43177</v>
      </c>
      <c r="F95">
        <v>72810</v>
      </c>
      <c r="G95">
        <v>21</v>
      </c>
      <c r="H95">
        <v>223</v>
      </c>
      <c r="I95">
        <v>223</v>
      </c>
    </row>
    <row r="96" spans="1:9" x14ac:dyDescent="0.3">
      <c r="A96" t="s">
        <v>640</v>
      </c>
      <c r="B96" t="s">
        <v>641</v>
      </c>
      <c r="C96" t="s">
        <v>61</v>
      </c>
      <c r="D96" t="s">
        <v>458</v>
      </c>
      <c r="E96">
        <v>79798</v>
      </c>
      <c r="F96">
        <v>133654</v>
      </c>
      <c r="G96">
        <v>31</v>
      </c>
      <c r="H96">
        <v>143</v>
      </c>
      <c r="I96">
        <v>143</v>
      </c>
    </row>
    <row r="97" spans="1:9" x14ac:dyDescent="0.3">
      <c r="A97" t="s">
        <v>642</v>
      </c>
      <c r="B97" t="s">
        <v>593</v>
      </c>
      <c r="C97" t="s">
        <v>63</v>
      </c>
      <c r="D97" t="s">
        <v>29</v>
      </c>
      <c r="E97">
        <v>73614</v>
      </c>
      <c r="F97">
        <v>160271</v>
      </c>
      <c r="G97">
        <v>40</v>
      </c>
      <c r="H97">
        <v>369</v>
      </c>
      <c r="I97">
        <v>369</v>
      </c>
    </row>
    <row r="98" spans="1:9" x14ac:dyDescent="0.3">
      <c r="A98" t="s">
        <v>643</v>
      </c>
      <c r="B98" t="s">
        <v>540</v>
      </c>
      <c r="C98" t="s">
        <v>73</v>
      </c>
      <c r="D98" t="s">
        <v>535</v>
      </c>
      <c r="E98">
        <v>76313</v>
      </c>
      <c r="F98">
        <v>134051</v>
      </c>
      <c r="G98">
        <v>27</v>
      </c>
      <c r="H98">
        <v>110</v>
      </c>
      <c r="I98">
        <v>110</v>
      </c>
    </row>
    <row r="99" spans="1:9" x14ac:dyDescent="0.3">
      <c r="A99" t="s">
        <v>644</v>
      </c>
      <c r="B99" t="s">
        <v>645</v>
      </c>
      <c r="C99" t="s">
        <v>69</v>
      </c>
      <c r="D99" t="s">
        <v>25</v>
      </c>
      <c r="E99">
        <v>56177</v>
      </c>
      <c r="F99">
        <v>117185</v>
      </c>
      <c r="G99">
        <v>30</v>
      </c>
      <c r="H99">
        <v>298</v>
      </c>
      <c r="I99">
        <v>298</v>
      </c>
    </row>
    <row r="100" spans="1:9" x14ac:dyDescent="0.3">
      <c r="A100" t="s">
        <v>646</v>
      </c>
      <c r="B100" t="s">
        <v>647</v>
      </c>
      <c r="C100" t="s">
        <v>61</v>
      </c>
      <c r="D100" t="s">
        <v>26</v>
      </c>
      <c r="E100">
        <v>53929</v>
      </c>
      <c r="F100">
        <v>82418</v>
      </c>
      <c r="G100">
        <v>21</v>
      </c>
      <c r="H100">
        <v>134</v>
      </c>
      <c r="I100">
        <v>134</v>
      </c>
    </row>
    <row r="101" spans="1:9" x14ac:dyDescent="0.3">
      <c r="A101" t="s">
        <v>648</v>
      </c>
      <c r="B101" t="s">
        <v>649</v>
      </c>
      <c r="C101" t="s">
        <v>61</v>
      </c>
      <c r="D101" t="s">
        <v>458</v>
      </c>
      <c r="E101">
        <v>50193</v>
      </c>
      <c r="F101">
        <v>76143</v>
      </c>
      <c r="G101">
        <v>30</v>
      </c>
      <c r="H101">
        <v>153</v>
      </c>
      <c r="I101">
        <v>153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9DB8F-05DC-418A-819A-05F6EC1A8B1B}">
  <dimension ref="A1:E26"/>
  <sheetViews>
    <sheetView workbookViewId="0">
      <selection activeCell="D2" sqref="D2"/>
    </sheetView>
  </sheetViews>
  <sheetFormatPr defaultRowHeight="14.4" x14ac:dyDescent="0.3"/>
  <cols>
    <col min="1" max="1" width="12.109375" customWidth="1"/>
    <col min="2" max="2" width="20.88671875" bestFit="1" customWidth="1"/>
    <col min="3" max="3" width="29.109375" bestFit="1" customWidth="1"/>
    <col min="4" max="4" width="11" bestFit="1" customWidth="1"/>
  </cols>
  <sheetData>
    <row r="1" spans="1:5" x14ac:dyDescent="0.3">
      <c r="A1" s="7" t="s">
        <v>23</v>
      </c>
      <c r="B1" s="7" t="s">
        <v>38</v>
      </c>
      <c r="C1" s="7" t="s">
        <v>39</v>
      </c>
      <c r="D1" s="7" t="s">
        <v>40</v>
      </c>
      <c r="E1" s="7" t="s">
        <v>41</v>
      </c>
    </row>
    <row r="2" spans="1:5" x14ac:dyDescent="0.3">
      <c r="A2" t="s">
        <v>29</v>
      </c>
      <c r="B2" t="s">
        <v>650</v>
      </c>
      <c r="C2" t="s">
        <v>651</v>
      </c>
      <c r="D2">
        <v>2351161559</v>
      </c>
      <c r="E2" t="s">
        <v>87</v>
      </c>
    </row>
    <row r="3" spans="1:5" x14ac:dyDescent="0.3">
      <c r="A3" t="s">
        <v>27</v>
      </c>
      <c r="B3" t="s">
        <v>652</v>
      </c>
      <c r="C3" t="s">
        <v>653</v>
      </c>
      <c r="D3">
        <v>8161849593</v>
      </c>
      <c r="E3" t="s">
        <v>46</v>
      </c>
    </row>
    <row r="4" spans="1:5" x14ac:dyDescent="0.3">
      <c r="A4" t="s">
        <v>28</v>
      </c>
      <c r="B4" t="s">
        <v>654</v>
      </c>
      <c r="C4" t="s">
        <v>655</v>
      </c>
      <c r="D4">
        <v>1316475255</v>
      </c>
      <c r="E4" t="s">
        <v>46</v>
      </c>
    </row>
    <row r="5" spans="1:5" x14ac:dyDescent="0.3">
      <c r="A5" t="s">
        <v>485</v>
      </c>
      <c r="B5" t="s">
        <v>656</v>
      </c>
      <c r="C5" t="s">
        <v>657</v>
      </c>
      <c r="D5">
        <v>928327648</v>
      </c>
      <c r="E5" t="s">
        <v>44</v>
      </c>
    </row>
    <row r="6" spans="1:5" x14ac:dyDescent="0.3">
      <c r="A6" t="s">
        <v>471</v>
      </c>
      <c r="B6" t="s">
        <v>658</v>
      </c>
      <c r="C6" t="s">
        <v>659</v>
      </c>
      <c r="D6">
        <v>724238849</v>
      </c>
      <c r="E6" t="s">
        <v>159</v>
      </c>
    </row>
    <row r="7" spans="1:5" x14ac:dyDescent="0.3">
      <c r="A7" t="s">
        <v>541</v>
      </c>
      <c r="B7" t="s">
        <v>660</v>
      </c>
      <c r="C7" t="s">
        <v>661</v>
      </c>
      <c r="D7">
        <v>3287101226</v>
      </c>
      <c r="E7" t="s">
        <v>42</v>
      </c>
    </row>
    <row r="8" spans="1:5" x14ac:dyDescent="0.3">
      <c r="A8" t="s">
        <v>505</v>
      </c>
      <c r="B8" t="s">
        <v>662</v>
      </c>
      <c r="C8" t="s">
        <v>663</v>
      </c>
      <c r="D8">
        <v>8480184514</v>
      </c>
      <c r="E8" t="s">
        <v>103</v>
      </c>
    </row>
    <row r="9" spans="1:5" x14ac:dyDescent="0.3">
      <c r="A9" t="s">
        <v>474</v>
      </c>
      <c r="B9" t="s">
        <v>664</v>
      </c>
      <c r="C9" t="s">
        <v>665</v>
      </c>
      <c r="D9">
        <v>880957015</v>
      </c>
      <c r="E9" t="s">
        <v>43</v>
      </c>
    </row>
    <row r="10" spans="1:5" x14ac:dyDescent="0.3">
      <c r="A10" t="s">
        <v>450</v>
      </c>
      <c r="B10" t="s">
        <v>666</v>
      </c>
      <c r="C10" t="s">
        <v>667</v>
      </c>
      <c r="D10">
        <v>171822782</v>
      </c>
      <c r="E10" t="s">
        <v>43</v>
      </c>
    </row>
    <row r="11" spans="1:5" x14ac:dyDescent="0.3">
      <c r="A11" t="s">
        <v>499</v>
      </c>
      <c r="B11" t="s">
        <v>668</v>
      </c>
      <c r="C11" t="s">
        <v>669</v>
      </c>
      <c r="D11">
        <v>383465787</v>
      </c>
      <c r="E11" t="s">
        <v>42</v>
      </c>
    </row>
    <row r="12" spans="1:5" x14ac:dyDescent="0.3">
      <c r="A12" t="s">
        <v>554</v>
      </c>
      <c r="B12" t="s">
        <v>670</v>
      </c>
      <c r="C12" t="s">
        <v>671</v>
      </c>
      <c r="D12">
        <v>509839301</v>
      </c>
      <c r="E12" t="s">
        <v>46</v>
      </c>
    </row>
    <row r="13" spans="1:5" x14ac:dyDescent="0.3">
      <c r="A13" t="s">
        <v>460</v>
      </c>
      <c r="B13" t="s">
        <v>672</v>
      </c>
      <c r="C13" t="s">
        <v>673</v>
      </c>
      <c r="D13">
        <v>51834738</v>
      </c>
      <c r="E13" t="s">
        <v>46</v>
      </c>
    </row>
    <row r="14" spans="1:5" x14ac:dyDescent="0.3">
      <c r="A14" t="s">
        <v>535</v>
      </c>
      <c r="B14" t="s">
        <v>674</v>
      </c>
      <c r="C14" t="s">
        <v>675</v>
      </c>
      <c r="D14">
        <v>3763116566</v>
      </c>
      <c r="E14" t="s">
        <v>159</v>
      </c>
    </row>
    <row r="15" spans="1:5" x14ac:dyDescent="0.3">
      <c r="A15" t="s">
        <v>574</v>
      </c>
      <c r="B15" t="s">
        <v>676</v>
      </c>
      <c r="C15" t="s">
        <v>677</v>
      </c>
      <c r="D15">
        <v>65133387</v>
      </c>
      <c r="E15" t="s">
        <v>103</v>
      </c>
    </row>
    <row r="16" spans="1:5" x14ac:dyDescent="0.3">
      <c r="A16" t="s">
        <v>463</v>
      </c>
      <c r="B16" t="s">
        <v>678</v>
      </c>
      <c r="C16" t="s">
        <v>679</v>
      </c>
      <c r="D16">
        <v>7317810801</v>
      </c>
      <c r="E16" t="s">
        <v>43</v>
      </c>
    </row>
    <row r="17" spans="1:5" x14ac:dyDescent="0.3">
      <c r="A17" t="s">
        <v>448</v>
      </c>
      <c r="B17" t="s">
        <v>680</v>
      </c>
      <c r="C17" t="s">
        <v>681</v>
      </c>
      <c r="D17">
        <v>3602606474</v>
      </c>
      <c r="E17" t="s">
        <v>159</v>
      </c>
    </row>
    <row r="18" spans="1:5" x14ac:dyDescent="0.3">
      <c r="A18" t="s">
        <v>453</v>
      </c>
      <c r="B18" t="s">
        <v>682</v>
      </c>
      <c r="C18" t="s">
        <v>683</v>
      </c>
      <c r="D18">
        <v>2343098050</v>
      </c>
      <c r="E18" t="s">
        <v>46</v>
      </c>
    </row>
    <row r="19" spans="1:5" x14ac:dyDescent="0.3">
      <c r="A19" t="s">
        <v>458</v>
      </c>
      <c r="B19" t="s">
        <v>684</v>
      </c>
      <c r="C19" t="s">
        <v>685</v>
      </c>
      <c r="D19">
        <v>882081219</v>
      </c>
      <c r="E19" t="s">
        <v>159</v>
      </c>
    </row>
    <row r="20" spans="1:5" x14ac:dyDescent="0.3">
      <c r="A20" t="s">
        <v>482</v>
      </c>
      <c r="B20" t="s">
        <v>686</v>
      </c>
      <c r="C20" t="s">
        <v>687</v>
      </c>
      <c r="D20">
        <v>193990916</v>
      </c>
      <c r="E20" t="s">
        <v>96</v>
      </c>
    </row>
    <row r="21" spans="1:5" x14ac:dyDescent="0.3">
      <c r="A21" t="s">
        <v>466</v>
      </c>
      <c r="B21" t="s">
        <v>688</v>
      </c>
      <c r="C21" t="s">
        <v>689</v>
      </c>
      <c r="D21">
        <v>4353462475</v>
      </c>
      <c r="E21" t="s">
        <v>46</v>
      </c>
    </row>
    <row r="22" spans="1:5" x14ac:dyDescent="0.3">
      <c r="A22" t="s">
        <v>502</v>
      </c>
      <c r="B22" t="s">
        <v>690</v>
      </c>
      <c r="C22" t="s">
        <v>691</v>
      </c>
      <c r="D22">
        <v>183842513</v>
      </c>
      <c r="E22" t="s">
        <v>155</v>
      </c>
    </row>
    <row r="23" spans="1:5" x14ac:dyDescent="0.3">
      <c r="A23" t="s">
        <v>607</v>
      </c>
      <c r="B23" t="s">
        <v>692</v>
      </c>
      <c r="C23" t="s">
        <v>693</v>
      </c>
      <c r="D23">
        <v>8498084124</v>
      </c>
      <c r="E23" t="s">
        <v>103</v>
      </c>
    </row>
    <row r="24" spans="1:5" x14ac:dyDescent="0.3">
      <c r="A24" t="s">
        <v>538</v>
      </c>
      <c r="B24" t="s">
        <v>694</v>
      </c>
      <c r="C24" t="s">
        <v>695</v>
      </c>
      <c r="D24">
        <v>824493534</v>
      </c>
      <c r="E24" t="s">
        <v>87</v>
      </c>
    </row>
    <row r="25" spans="1:5" x14ac:dyDescent="0.3">
      <c r="A25" t="s">
        <v>477</v>
      </c>
      <c r="B25" t="s">
        <v>696</v>
      </c>
      <c r="C25" t="s">
        <v>697</v>
      </c>
      <c r="D25">
        <v>640052427</v>
      </c>
      <c r="E25" t="s">
        <v>43</v>
      </c>
    </row>
    <row r="26" spans="1:5" x14ac:dyDescent="0.3">
      <c r="A26" t="s">
        <v>520</v>
      </c>
      <c r="B26" t="s">
        <v>698</v>
      </c>
      <c r="C26" t="s">
        <v>699</v>
      </c>
      <c r="D26">
        <v>5053315869</v>
      </c>
      <c r="E26" t="s">
        <v>96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56891-2CD9-4DDF-99BB-93E79DEF1799}">
  <dimension ref="A1:F119"/>
  <sheetViews>
    <sheetView topLeftCell="A22" workbookViewId="0">
      <selection activeCell="B10" sqref="B10"/>
    </sheetView>
  </sheetViews>
  <sheetFormatPr defaultRowHeight="14.4" x14ac:dyDescent="0.3"/>
  <cols>
    <col min="1" max="1" width="13.33203125" customWidth="1"/>
    <col min="2" max="2" width="36.44140625" bestFit="1" customWidth="1"/>
    <col min="3" max="3" width="15.5546875" customWidth="1"/>
    <col min="4" max="4" width="25.5546875" bestFit="1" customWidth="1"/>
    <col min="5" max="5" width="12" bestFit="1" customWidth="1"/>
    <col min="6" max="6" width="10.109375" bestFit="1" customWidth="1"/>
  </cols>
  <sheetData>
    <row r="1" spans="1:6" x14ac:dyDescent="0.3">
      <c r="A1" s="7" t="s">
        <v>2</v>
      </c>
      <c r="B1" s="7" t="s">
        <v>81</v>
      </c>
      <c r="C1" s="7" t="s">
        <v>82</v>
      </c>
      <c r="D1" s="7" t="s">
        <v>39</v>
      </c>
      <c r="E1" s="7" t="s">
        <v>40</v>
      </c>
      <c r="F1" s="7" t="s">
        <v>41</v>
      </c>
    </row>
    <row r="2" spans="1:6" x14ac:dyDescent="0.3">
      <c r="A2" t="s">
        <v>83</v>
      </c>
      <c r="B2" t="s">
        <v>84</v>
      </c>
      <c r="C2" t="s">
        <v>85</v>
      </c>
      <c r="D2" t="s">
        <v>86</v>
      </c>
      <c r="E2">
        <v>86342160733</v>
      </c>
      <c r="F2" t="s">
        <v>87</v>
      </c>
    </row>
    <row r="3" spans="1:6" x14ac:dyDescent="0.3">
      <c r="A3" t="s">
        <v>88</v>
      </c>
      <c r="B3" t="s">
        <v>89</v>
      </c>
      <c r="C3" t="s">
        <v>90</v>
      </c>
      <c r="D3" t="s">
        <v>91</v>
      </c>
      <c r="E3">
        <v>80541458685</v>
      </c>
      <c r="F3" t="s">
        <v>46</v>
      </c>
    </row>
    <row r="4" spans="1:6" x14ac:dyDescent="0.3">
      <c r="A4" t="s">
        <v>92</v>
      </c>
      <c r="B4" t="s">
        <v>93</v>
      </c>
      <c r="C4" t="s">
        <v>94</v>
      </c>
      <c r="D4" t="s">
        <v>95</v>
      </c>
      <c r="E4">
        <v>8835615951</v>
      </c>
      <c r="F4" t="s">
        <v>96</v>
      </c>
    </row>
    <row r="5" spans="1:6" x14ac:dyDescent="0.3">
      <c r="A5" t="s">
        <v>97</v>
      </c>
      <c r="B5" t="s">
        <v>98</v>
      </c>
      <c r="C5" t="s">
        <v>94</v>
      </c>
      <c r="D5" t="s">
        <v>99</v>
      </c>
      <c r="E5">
        <v>8823662994</v>
      </c>
      <c r="F5" t="s">
        <v>45</v>
      </c>
    </row>
    <row r="6" spans="1:6" x14ac:dyDescent="0.3">
      <c r="A6" t="s">
        <v>100</v>
      </c>
      <c r="B6" t="s">
        <v>101</v>
      </c>
      <c r="C6" t="s">
        <v>85</v>
      </c>
      <c r="D6" t="s">
        <v>102</v>
      </c>
      <c r="E6">
        <v>87773872148</v>
      </c>
      <c r="F6" t="s">
        <v>103</v>
      </c>
    </row>
    <row r="7" spans="1:6" x14ac:dyDescent="0.3">
      <c r="A7" t="s">
        <v>104</v>
      </c>
      <c r="B7" t="s">
        <v>105</v>
      </c>
      <c r="C7" t="s">
        <v>85</v>
      </c>
      <c r="D7" t="s">
        <v>106</v>
      </c>
      <c r="E7">
        <v>82003791769</v>
      </c>
      <c r="F7" t="s">
        <v>43</v>
      </c>
    </row>
    <row r="8" spans="1:6" x14ac:dyDescent="0.3">
      <c r="A8" t="s">
        <v>107</v>
      </c>
      <c r="B8" t="s">
        <v>108</v>
      </c>
      <c r="C8" t="s">
        <v>109</v>
      </c>
      <c r="D8" t="s">
        <v>110</v>
      </c>
      <c r="E8">
        <v>87986872774</v>
      </c>
      <c r="F8" t="s">
        <v>42</v>
      </c>
    </row>
    <row r="9" spans="1:6" x14ac:dyDescent="0.3">
      <c r="A9" t="s">
        <v>111</v>
      </c>
      <c r="B9" t="s">
        <v>112</v>
      </c>
      <c r="C9" t="s">
        <v>113</v>
      </c>
      <c r="D9" t="s">
        <v>114</v>
      </c>
      <c r="E9">
        <v>80434558122</v>
      </c>
      <c r="F9" t="s">
        <v>42</v>
      </c>
    </row>
    <row r="10" spans="1:6" x14ac:dyDescent="0.3">
      <c r="A10" t="s">
        <v>115</v>
      </c>
      <c r="B10" t="s">
        <v>116</v>
      </c>
      <c r="C10" t="s">
        <v>109</v>
      </c>
      <c r="D10" t="s">
        <v>117</v>
      </c>
      <c r="E10">
        <v>88760366909</v>
      </c>
      <c r="F10" t="s">
        <v>87</v>
      </c>
    </row>
    <row r="11" spans="1:6" x14ac:dyDescent="0.3">
      <c r="A11" t="s">
        <v>118</v>
      </c>
      <c r="B11" t="s">
        <v>119</v>
      </c>
      <c r="C11" t="s">
        <v>120</v>
      </c>
      <c r="D11" t="s">
        <v>121</v>
      </c>
      <c r="E11">
        <v>8893734670</v>
      </c>
      <c r="F11" t="s">
        <v>103</v>
      </c>
    </row>
    <row r="12" spans="1:6" x14ac:dyDescent="0.3">
      <c r="A12" t="s">
        <v>122</v>
      </c>
      <c r="B12" t="s">
        <v>123</v>
      </c>
      <c r="C12" t="s">
        <v>85</v>
      </c>
      <c r="D12" t="s">
        <v>124</v>
      </c>
      <c r="E12">
        <v>8806990162</v>
      </c>
      <c r="F12" t="s">
        <v>103</v>
      </c>
    </row>
    <row r="13" spans="1:6" x14ac:dyDescent="0.3">
      <c r="A13" t="s">
        <v>125</v>
      </c>
      <c r="B13" t="s">
        <v>126</v>
      </c>
      <c r="C13" t="s">
        <v>90</v>
      </c>
      <c r="D13" t="s">
        <v>127</v>
      </c>
      <c r="E13">
        <v>85646417080</v>
      </c>
      <c r="F13" t="s">
        <v>42</v>
      </c>
    </row>
    <row r="14" spans="1:6" x14ac:dyDescent="0.3">
      <c r="A14" t="s">
        <v>128</v>
      </c>
      <c r="B14" t="s">
        <v>129</v>
      </c>
      <c r="C14" t="s">
        <v>90</v>
      </c>
      <c r="D14" t="s">
        <v>130</v>
      </c>
      <c r="E14">
        <v>81850671657</v>
      </c>
      <c r="F14" t="s">
        <v>42</v>
      </c>
    </row>
    <row r="15" spans="1:6" x14ac:dyDescent="0.3">
      <c r="A15" t="s">
        <v>131</v>
      </c>
      <c r="B15" t="s">
        <v>132</v>
      </c>
      <c r="C15" t="s">
        <v>113</v>
      </c>
      <c r="D15" t="s">
        <v>133</v>
      </c>
      <c r="E15">
        <v>87694531473</v>
      </c>
      <c r="F15" t="s">
        <v>87</v>
      </c>
    </row>
    <row r="16" spans="1:6" x14ac:dyDescent="0.3">
      <c r="A16" t="s">
        <v>134</v>
      </c>
      <c r="B16" t="s">
        <v>135</v>
      </c>
      <c r="C16" t="s">
        <v>113</v>
      </c>
      <c r="D16" t="s">
        <v>136</v>
      </c>
      <c r="E16">
        <v>82735454948</v>
      </c>
      <c r="F16" t="s">
        <v>45</v>
      </c>
    </row>
    <row r="17" spans="1:6" x14ac:dyDescent="0.3">
      <c r="A17" t="s">
        <v>137</v>
      </c>
      <c r="B17" t="s">
        <v>138</v>
      </c>
      <c r="C17" t="s">
        <v>90</v>
      </c>
      <c r="D17" t="s">
        <v>139</v>
      </c>
      <c r="E17">
        <v>8377701436</v>
      </c>
      <c r="F17" t="s">
        <v>45</v>
      </c>
    </row>
    <row r="18" spans="1:6" x14ac:dyDescent="0.3">
      <c r="A18" t="s">
        <v>140</v>
      </c>
      <c r="B18" t="s">
        <v>141</v>
      </c>
      <c r="C18" t="s">
        <v>85</v>
      </c>
      <c r="D18" t="s">
        <v>142</v>
      </c>
      <c r="E18">
        <v>856855744</v>
      </c>
      <c r="F18" t="s">
        <v>46</v>
      </c>
    </row>
    <row r="19" spans="1:6" x14ac:dyDescent="0.3">
      <c r="A19" t="s">
        <v>143</v>
      </c>
      <c r="B19" t="s">
        <v>144</v>
      </c>
      <c r="C19" t="s">
        <v>120</v>
      </c>
      <c r="D19" t="s">
        <v>145</v>
      </c>
      <c r="E19">
        <v>82337498941</v>
      </c>
      <c r="F19" t="s">
        <v>87</v>
      </c>
    </row>
    <row r="20" spans="1:6" x14ac:dyDescent="0.3">
      <c r="A20" t="s">
        <v>146</v>
      </c>
      <c r="B20" t="s">
        <v>147</v>
      </c>
      <c r="C20" t="s">
        <v>120</v>
      </c>
      <c r="D20" t="s">
        <v>148</v>
      </c>
      <c r="E20">
        <v>8824008427</v>
      </c>
      <c r="F20" t="s">
        <v>42</v>
      </c>
    </row>
    <row r="21" spans="1:6" x14ac:dyDescent="0.3">
      <c r="A21" t="s">
        <v>149</v>
      </c>
      <c r="B21" t="s">
        <v>150</v>
      </c>
      <c r="C21" t="s">
        <v>109</v>
      </c>
      <c r="D21" t="s">
        <v>151</v>
      </c>
      <c r="E21">
        <v>85204711671</v>
      </c>
      <c r="F21" t="s">
        <v>44</v>
      </c>
    </row>
    <row r="22" spans="1:6" x14ac:dyDescent="0.3">
      <c r="A22" t="s">
        <v>152</v>
      </c>
      <c r="B22" t="s">
        <v>153</v>
      </c>
      <c r="C22" t="s">
        <v>90</v>
      </c>
      <c r="D22" t="s">
        <v>154</v>
      </c>
      <c r="E22">
        <v>80334123281</v>
      </c>
      <c r="F22" t="s">
        <v>155</v>
      </c>
    </row>
    <row r="23" spans="1:6" x14ac:dyDescent="0.3">
      <c r="A23" t="s">
        <v>156</v>
      </c>
      <c r="B23" t="s">
        <v>157</v>
      </c>
      <c r="C23" t="s">
        <v>120</v>
      </c>
      <c r="D23" t="s">
        <v>158</v>
      </c>
      <c r="E23">
        <v>80024994717</v>
      </c>
      <c r="F23" t="s">
        <v>159</v>
      </c>
    </row>
    <row r="24" spans="1:6" x14ac:dyDescent="0.3">
      <c r="A24" t="s">
        <v>160</v>
      </c>
      <c r="B24" t="s">
        <v>161</v>
      </c>
      <c r="C24" t="s">
        <v>94</v>
      </c>
      <c r="D24" t="s">
        <v>162</v>
      </c>
      <c r="E24">
        <v>8742967175</v>
      </c>
      <c r="F24" t="s">
        <v>46</v>
      </c>
    </row>
    <row r="25" spans="1:6" x14ac:dyDescent="0.3">
      <c r="A25" t="s">
        <v>163</v>
      </c>
      <c r="B25" t="s">
        <v>164</v>
      </c>
      <c r="C25" t="s">
        <v>94</v>
      </c>
      <c r="D25" t="s">
        <v>165</v>
      </c>
      <c r="E25">
        <v>86807154516</v>
      </c>
      <c r="F25" t="s">
        <v>45</v>
      </c>
    </row>
    <row r="26" spans="1:6" x14ac:dyDescent="0.3">
      <c r="A26" t="s">
        <v>166</v>
      </c>
      <c r="B26" t="s">
        <v>167</v>
      </c>
      <c r="C26" t="s">
        <v>113</v>
      </c>
      <c r="D26" t="s">
        <v>168</v>
      </c>
      <c r="E26">
        <v>859770348</v>
      </c>
      <c r="F26" t="s">
        <v>87</v>
      </c>
    </row>
    <row r="27" spans="1:6" x14ac:dyDescent="0.3">
      <c r="A27" t="s">
        <v>169</v>
      </c>
      <c r="B27" t="s">
        <v>170</v>
      </c>
      <c r="C27" t="s">
        <v>109</v>
      </c>
      <c r="D27" t="s">
        <v>171</v>
      </c>
      <c r="E27">
        <v>80773782639</v>
      </c>
      <c r="F27" t="s">
        <v>45</v>
      </c>
    </row>
    <row r="28" spans="1:6" x14ac:dyDescent="0.3">
      <c r="A28" t="s">
        <v>172</v>
      </c>
      <c r="B28" t="s">
        <v>173</v>
      </c>
      <c r="C28" t="s">
        <v>90</v>
      </c>
      <c r="D28" t="s">
        <v>174</v>
      </c>
      <c r="E28">
        <v>80449972787</v>
      </c>
      <c r="F28" t="s">
        <v>155</v>
      </c>
    </row>
    <row r="29" spans="1:6" x14ac:dyDescent="0.3">
      <c r="A29" t="s">
        <v>175</v>
      </c>
      <c r="B29" t="s">
        <v>176</v>
      </c>
      <c r="C29" t="s">
        <v>90</v>
      </c>
      <c r="D29" t="s">
        <v>177</v>
      </c>
      <c r="E29">
        <v>870262174</v>
      </c>
      <c r="F29" t="s">
        <v>87</v>
      </c>
    </row>
    <row r="30" spans="1:6" x14ac:dyDescent="0.3">
      <c r="A30" t="s">
        <v>178</v>
      </c>
      <c r="B30" t="s">
        <v>179</v>
      </c>
      <c r="C30" t="s">
        <v>90</v>
      </c>
      <c r="D30" t="s">
        <v>180</v>
      </c>
      <c r="E30">
        <v>80578091343</v>
      </c>
      <c r="F30" t="s">
        <v>46</v>
      </c>
    </row>
    <row r="31" spans="1:6" x14ac:dyDescent="0.3">
      <c r="A31" t="s">
        <v>181</v>
      </c>
      <c r="B31" t="s">
        <v>182</v>
      </c>
      <c r="C31" t="s">
        <v>120</v>
      </c>
      <c r="D31" t="s">
        <v>183</v>
      </c>
      <c r="E31">
        <v>82400504556</v>
      </c>
      <c r="F31" t="s">
        <v>159</v>
      </c>
    </row>
    <row r="32" spans="1:6" x14ac:dyDescent="0.3">
      <c r="A32" t="s">
        <v>184</v>
      </c>
      <c r="B32" t="s">
        <v>185</v>
      </c>
      <c r="C32" t="s">
        <v>109</v>
      </c>
      <c r="D32" t="s">
        <v>186</v>
      </c>
      <c r="E32">
        <v>82219693792</v>
      </c>
      <c r="F32" t="s">
        <v>87</v>
      </c>
    </row>
    <row r="33" spans="1:6" x14ac:dyDescent="0.3">
      <c r="A33" t="s">
        <v>187</v>
      </c>
      <c r="B33" t="s">
        <v>188</v>
      </c>
      <c r="C33" t="s">
        <v>113</v>
      </c>
      <c r="D33" t="s">
        <v>189</v>
      </c>
      <c r="E33">
        <v>80369594406</v>
      </c>
      <c r="F33" t="s">
        <v>103</v>
      </c>
    </row>
    <row r="34" spans="1:6" x14ac:dyDescent="0.3">
      <c r="A34" t="s">
        <v>190</v>
      </c>
      <c r="B34" t="s">
        <v>191</v>
      </c>
      <c r="C34" t="s">
        <v>90</v>
      </c>
      <c r="D34" t="s">
        <v>192</v>
      </c>
      <c r="E34">
        <v>86232858842</v>
      </c>
      <c r="F34" t="s">
        <v>44</v>
      </c>
    </row>
    <row r="35" spans="1:6" x14ac:dyDescent="0.3">
      <c r="A35" t="s">
        <v>193</v>
      </c>
      <c r="B35" t="s">
        <v>194</v>
      </c>
      <c r="C35" t="s">
        <v>94</v>
      </c>
      <c r="D35" t="s">
        <v>195</v>
      </c>
      <c r="E35">
        <v>80985931746</v>
      </c>
      <c r="F35" t="s">
        <v>43</v>
      </c>
    </row>
    <row r="36" spans="1:6" x14ac:dyDescent="0.3">
      <c r="A36" t="s">
        <v>196</v>
      </c>
      <c r="B36" t="s">
        <v>197</v>
      </c>
      <c r="C36" t="s">
        <v>94</v>
      </c>
      <c r="D36" t="s">
        <v>198</v>
      </c>
      <c r="E36">
        <v>80138267586</v>
      </c>
      <c r="F36" t="s">
        <v>44</v>
      </c>
    </row>
    <row r="37" spans="1:6" x14ac:dyDescent="0.3">
      <c r="A37" t="s">
        <v>199</v>
      </c>
      <c r="B37" t="s">
        <v>200</v>
      </c>
      <c r="C37" t="s">
        <v>120</v>
      </c>
      <c r="D37" t="s">
        <v>201</v>
      </c>
      <c r="E37">
        <v>80390053293</v>
      </c>
      <c r="F37" t="s">
        <v>96</v>
      </c>
    </row>
    <row r="38" spans="1:6" x14ac:dyDescent="0.3">
      <c r="A38" t="s">
        <v>202</v>
      </c>
      <c r="B38" t="s">
        <v>203</v>
      </c>
      <c r="C38" t="s">
        <v>109</v>
      </c>
      <c r="D38" t="s">
        <v>204</v>
      </c>
      <c r="E38">
        <v>82904228421</v>
      </c>
      <c r="F38" t="s">
        <v>42</v>
      </c>
    </row>
    <row r="39" spans="1:6" x14ac:dyDescent="0.3">
      <c r="A39" t="s">
        <v>205</v>
      </c>
      <c r="B39" t="s">
        <v>206</v>
      </c>
      <c r="C39" t="s">
        <v>113</v>
      </c>
      <c r="D39" t="s">
        <v>207</v>
      </c>
      <c r="E39">
        <v>80240268117</v>
      </c>
      <c r="F39" t="s">
        <v>96</v>
      </c>
    </row>
    <row r="40" spans="1:6" x14ac:dyDescent="0.3">
      <c r="A40" t="s">
        <v>208</v>
      </c>
      <c r="B40" t="s">
        <v>209</v>
      </c>
      <c r="C40" t="s">
        <v>109</v>
      </c>
      <c r="D40" t="s">
        <v>210</v>
      </c>
      <c r="E40">
        <v>89985698478</v>
      </c>
      <c r="F40" t="s">
        <v>87</v>
      </c>
    </row>
    <row r="41" spans="1:6" x14ac:dyDescent="0.3">
      <c r="A41" t="s">
        <v>211</v>
      </c>
      <c r="B41" t="s">
        <v>212</v>
      </c>
      <c r="C41" t="s">
        <v>109</v>
      </c>
      <c r="D41" t="s">
        <v>213</v>
      </c>
      <c r="E41">
        <v>80576615654</v>
      </c>
      <c r="F41" t="s">
        <v>43</v>
      </c>
    </row>
    <row r="42" spans="1:6" x14ac:dyDescent="0.3">
      <c r="A42" t="s">
        <v>214</v>
      </c>
      <c r="B42" t="s">
        <v>215</v>
      </c>
      <c r="C42" t="s">
        <v>120</v>
      </c>
      <c r="D42" t="s">
        <v>216</v>
      </c>
      <c r="E42">
        <v>80615280988</v>
      </c>
      <c r="F42" t="s">
        <v>42</v>
      </c>
    </row>
    <row r="43" spans="1:6" x14ac:dyDescent="0.3">
      <c r="A43" t="s">
        <v>217</v>
      </c>
      <c r="B43" t="s">
        <v>218</v>
      </c>
      <c r="C43" t="s">
        <v>120</v>
      </c>
      <c r="D43" t="s">
        <v>219</v>
      </c>
      <c r="E43">
        <v>89451983273</v>
      </c>
      <c r="F43" t="s">
        <v>159</v>
      </c>
    </row>
    <row r="44" spans="1:6" x14ac:dyDescent="0.3">
      <c r="A44" t="s">
        <v>220</v>
      </c>
      <c r="B44" t="s">
        <v>221</v>
      </c>
      <c r="C44" t="s">
        <v>94</v>
      </c>
      <c r="D44" t="s">
        <v>222</v>
      </c>
      <c r="E44">
        <v>80120183667</v>
      </c>
      <c r="F44" t="s">
        <v>87</v>
      </c>
    </row>
    <row r="45" spans="1:6" x14ac:dyDescent="0.3">
      <c r="A45" t="s">
        <v>223</v>
      </c>
      <c r="B45" t="s">
        <v>224</v>
      </c>
      <c r="C45" t="s">
        <v>113</v>
      </c>
      <c r="D45" t="s">
        <v>225</v>
      </c>
      <c r="E45">
        <v>80022901476</v>
      </c>
      <c r="F45" t="s">
        <v>44</v>
      </c>
    </row>
    <row r="46" spans="1:6" x14ac:dyDescent="0.3">
      <c r="A46" t="s">
        <v>226</v>
      </c>
      <c r="B46" t="s">
        <v>227</v>
      </c>
      <c r="C46" t="s">
        <v>113</v>
      </c>
      <c r="D46" t="s">
        <v>228</v>
      </c>
      <c r="E46">
        <v>80561497840</v>
      </c>
      <c r="F46" t="s">
        <v>43</v>
      </c>
    </row>
    <row r="47" spans="1:6" x14ac:dyDescent="0.3">
      <c r="A47" t="s">
        <v>229</v>
      </c>
      <c r="B47" t="s">
        <v>230</v>
      </c>
      <c r="C47" t="s">
        <v>109</v>
      </c>
      <c r="D47" t="s">
        <v>231</v>
      </c>
      <c r="E47">
        <v>80071596966</v>
      </c>
      <c r="F47" t="s">
        <v>44</v>
      </c>
    </row>
    <row r="48" spans="1:6" x14ac:dyDescent="0.3">
      <c r="A48" t="s">
        <v>232</v>
      </c>
      <c r="B48" t="s">
        <v>233</v>
      </c>
      <c r="C48" t="s">
        <v>109</v>
      </c>
      <c r="D48" t="s">
        <v>234</v>
      </c>
      <c r="E48">
        <v>85161369681</v>
      </c>
      <c r="F48" t="s">
        <v>42</v>
      </c>
    </row>
    <row r="49" spans="1:6" x14ac:dyDescent="0.3">
      <c r="A49" t="s">
        <v>235</v>
      </c>
      <c r="B49" t="s">
        <v>236</v>
      </c>
      <c r="C49" t="s">
        <v>120</v>
      </c>
      <c r="D49" t="s">
        <v>237</v>
      </c>
      <c r="E49">
        <v>883552312</v>
      </c>
      <c r="F49" t="s">
        <v>87</v>
      </c>
    </row>
    <row r="50" spans="1:6" x14ac:dyDescent="0.3">
      <c r="A50" t="s">
        <v>238</v>
      </c>
      <c r="B50" t="s">
        <v>239</v>
      </c>
      <c r="C50" t="s">
        <v>120</v>
      </c>
      <c r="D50" t="s">
        <v>240</v>
      </c>
      <c r="E50">
        <v>87997995527</v>
      </c>
      <c r="F50" t="s">
        <v>159</v>
      </c>
    </row>
    <row r="51" spans="1:6" x14ac:dyDescent="0.3">
      <c r="A51" t="s">
        <v>241</v>
      </c>
      <c r="B51" t="s">
        <v>242</v>
      </c>
      <c r="C51" t="s">
        <v>90</v>
      </c>
      <c r="D51" t="s">
        <v>243</v>
      </c>
      <c r="E51">
        <v>89807935978</v>
      </c>
      <c r="F51" t="s">
        <v>45</v>
      </c>
    </row>
    <row r="52" spans="1:6" x14ac:dyDescent="0.3">
      <c r="A52" t="s">
        <v>244</v>
      </c>
      <c r="B52" t="s">
        <v>245</v>
      </c>
      <c r="C52" t="s">
        <v>90</v>
      </c>
      <c r="D52" t="s">
        <v>246</v>
      </c>
      <c r="E52">
        <v>82037788925</v>
      </c>
      <c r="F52" t="s">
        <v>159</v>
      </c>
    </row>
    <row r="53" spans="1:6" x14ac:dyDescent="0.3">
      <c r="A53" t="s">
        <v>247</v>
      </c>
      <c r="B53" t="s">
        <v>248</v>
      </c>
      <c r="C53" t="s">
        <v>109</v>
      </c>
      <c r="D53" t="s">
        <v>249</v>
      </c>
      <c r="E53">
        <v>81518644925</v>
      </c>
      <c r="F53" t="s">
        <v>43</v>
      </c>
    </row>
    <row r="54" spans="1:6" x14ac:dyDescent="0.3">
      <c r="A54" t="s">
        <v>250</v>
      </c>
      <c r="B54" t="s">
        <v>251</v>
      </c>
      <c r="C54" t="s">
        <v>109</v>
      </c>
      <c r="D54" t="s">
        <v>252</v>
      </c>
      <c r="E54">
        <v>86291486528</v>
      </c>
      <c r="F54" t="s">
        <v>45</v>
      </c>
    </row>
    <row r="55" spans="1:6" x14ac:dyDescent="0.3">
      <c r="A55" t="s">
        <v>253</v>
      </c>
      <c r="B55" t="s">
        <v>254</v>
      </c>
      <c r="C55" t="s">
        <v>113</v>
      </c>
      <c r="D55" t="s">
        <v>255</v>
      </c>
      <c r="E55">
        <v>82357332214</v>
      </c>
      <c r="F55" t="s">
        <v>43</v>
      </c>
    </row>
    <row r="56" spans="1:6" x14ac:dyDescent="0.3">
      <c r="A56" t="s">
        <v>256</v>
      </c>
      <c r="B56" t="s">
        <v>257</v>
      </c>
      <c r="C56" t="s">
        <v>94</v>
      </c>
      <c r="D56" t="s">
        <v>258</v>
      </c>
      <c r="E56">
        <v>82962229270</v>
      </c>
      <c r="F56" t="s">
        <v>45</v>
      </c>
    </row>
    <row r="57" spans="1:6" x14ac:dyDescent="0.3">
      <c r="A57" t="s">
        <v>259</v>
      </c>
      <c r="B57" t="s">
        <v>260</v>
      </c>
      <c r="C57" t="s">
        <v>94</v>
      </c>
      <c r="D57" t="s">
        <v>261</v>
      </c>
      <c r="E57">
        <v>80758181412</v>
      </c>
      <c r="F57" t="s">
        <v>46</v>
      </c>
    </row>
    <row r="58" spans="1:6" x14ac:dyDescent="0.3">
      <c r="A58" t="s">
        <v>262</v>
      </c>
      <c r="B58" t="s">
        <v>263</v>
      </c>
      <c r="C58" t="s">
        <v>109</v>
      </c>
      <c r="D58" t="s">
        <v>264</v>
      </c>
      <c r="E58">
        <v>80606853615</v>
      </c>
      <c r="F58" t="s">
        <v>42</v>
      </c>
    </row>
    <row r="59" spans="1:6" x14ac:dyDescent="0.3">
      <c r="A59" t="s">
        <v>265</v>
      </c>
      <c r="B59" t="s">
        <v>266</v>
      </c>
      <c r="C59" t="s">
        <v>90</v>
      </c>
      <c r="D59" t="s">
        <v>267</v>
      </c>
      <c r="E59">
        <v>86095396218</v>
      </c>
      <c r="F59" t="s">
        <v>44</v>
      </c>
    </row>
    <row r="60" spans="1:6" x14ac:dyDescent="0.3">
      <c r="A60" t="s">
        <v>268</v>
      </c>
      <c r="B60" t="s">
        <v>269</v>
      </c>
      <c r="C60" t="s">
        <v>120</v>
      </c>
      <c r="D60" t="s">
        <v>270</v>
      </c>
      <c r="E60">
        <v>80540515319</v>
      </c>
      <c r="F60" t="s">
        <v>155</v>
      </c>
    </row>
    <row r="61" spans="1:6" x14ac:dyDescent="0.3">
      <c r="A61" t="s">
        <v>271</v>
      </c>
      <c r="B61" t="s">
        <v>272</v>
      </c>
      <c r="C61" t="s">
        <v>109</v>
      </c>
      <c r="D61" t="s">
        <v>273</v>
      </c>
      <c r="E61">
        <v>82772217043</v>
      </c>
      <c r="F61" t="s">
        <v>44</v>
      </c>
    </row>
    <row r="62" spans="1:6" x14ac:dyDescent="0.3">
      <c r="A62" t="s">
        <v>274</v>
      </c>
      <c r="B62" t="s">
        <v>275</v>
      </c>
      <c r="C62" t="s">
        <v>85</v>
      </c>
      <c r="D62" t="s">
        <v>276</v>
      </c>
      <c r="E62">
        <v>874034505</v>
      </c>
      <c r="F62" t="s">
        <v>159</v>
      </c>
    </row>
    <row r="63" spans="1:6" x14ac:dyDescent="0.3">
      <c r="A63" t="s">
        <v>277</v>
      </c>
      <c r="B63" t="s">
        <v>278</v>
      </c>
      <c r="C63" t="s">
        <v>109</v>
      </c>
      <c r="D63" t="s">
        <v>279</v>
      </c>
      <c r="E63">
        <v>80527758416</v>
      </c>
      <c r="F63" t="s">
        <v>96</v>
      </c>
    </row>
    <row r="64" spans="1:6" x14ac:dyDescent="0.3">
      <c r="A64" t="s">
        <v>280</v>
      </c>
      <c r="B64" t="s">
        <v>281</v>
      </c>
      <c r="C64" t="s">
        <v>90</v>
      </c>
      <c r="D64" t="s">
        <v>282</v>
      </c>
      <c r="E64">
        <v>80154479627</v>
      </c>
      <c r="F64" t="s">
        <v>159</v>
      </c>
    </row>
    <row r="65" spans="1:6" x14ac:dyDescent="0.3">
      <c r="A65" t="s">
        <v>283</v>
      </c>
      <c r="B65" t="s">
        <v>284</v>
      </c>
      <c r="C65" t="s">
        <v>120</v>
      </c>
      <c r="D65" t="s">
        <v>285</v>
      </c>
      <c r="E65">
        <v>85690927557</v>
      </c>
      <c r="F65" t="s">
        <v>87</v>
      </c>
    </row>
    <row r="66" spans="1:6" x14ac:dyDescent="0.3">
      <c r="A66" t="s">
        <v>286</v>
      </c>
      <c r="B66" t="s">
        <v>287</v>
      </c>
      <c r="C66" t="s">
        <v>113</v>
      </c>
      <c r="D66" t="s">
        <v>288</v>
      </c>
      <c r="E66">
        <v>83102786814</v>
      </c>
      <c r="F66" t="s">
        <v>45</v>
      </c>
    </row>
    <row r="67" spans="1:6" x14ac:dyDescent="0.3">
      <c r="A67" t="s">
        <v>289</v>
      </c>
      <c r="B67" t="s">
        <v>290</v>
      </c>
      <c r="C67" t="s">
        <v>113</v>
      </c>
      <c r="D67" t="s">
        <v>291</v>
      </c>
      <c r="E67">
        <v>82172715518</v>
      </c>
      <c r="F67" t="s">
        <v>159</v>
      </c>
    </row>
    <row r="68" spans="1:6" x14ac:dyDescent="0.3">
      <c r="A68" t="s">
        <v>292</v>
      </c>
      <c r="B68" t="s">
        <v>293</v>
      </c>
      <c r="C68" t="s">
        <v>90</v>
      </c>
      <c r="D68" t="s">
        <v>294</v>
      </c>
      <c r="E68">
        <v>866912517</v>
      </c>
      <c r="F68" t="s">
        <v>46</v>
      </c>
    </row>
    <row r="69" spans="1:6" x14ac:dyDescent="0.3">
      <c r="A69" t="s">
        <v>295</v>
      </c>
      <c r="B69" t="s">
        <v>296</v>
      </c>
      <c r="C69" t="s">
        <v>94</v>
      </c>
      <c r="D69" t="s">
        <v>297</v>
      </c>
      <c r="E69">
        <v>80824225358</v>
      </c>
      <c r="F69" t="s">
        <v>45</v>
      </c>
    </row>
    <row r="70" spans="1:6" x14ac:dyDescent="0.3">
      <c r="A70" t="s">
        <v>298</v>
      </c>
      <c r="B70" t="s">
        <v>299</v>
      </c>
      <c r="C70" t="s">
        <v>94</v>
      </c>
      <c r="D70" t="s">
        <v>300</v>
      </c>
      <c r="E70">
        <v>82498182992</v>
      </c>
      <c r="F70" t="s">
        <v>103</v>
      </c>
    </row>
    <row r="71" spans="1:6" x14ac:dyDescent="0.3">
      <c r="A71" t="s">
        <v>301</v>
      </c>
      <c r="B71" t="s">
        <v>302</v>
      </c>
      <c r="C71" t="s">
        <v>109</v>
      </c>
      <c r="D71" t="s">
        <v>303</v>
      </c>
      <c r="E71">
        <v>81027677359</v>
      </c>
      <c r="F71" t="s">
        <v>46</v>
      </c>
    </row>
    <row r="72" spans="1:6" x14ac:dyDescent="0.3">
      <c r="A72" t="s">
        <v>304</v>
      </c>
      <c r="B72" t="s">
        <v>305</v>
      </c>
      <c r="C72" t="s">
        <v>94</v>
      </c>
      <c r="D72" t="s">
        <v>306</v>
      </c>
      <c r="E72">
        <v>881537147</v>
      </c>
      <c r="F72" t="s">
        <v>42</v>
      </c>
    </row>
    <row r="73" spans="1:6" x14ac:dyDescent="0.3">
      <c r="A73" t="s">
        <v>307</v>
      </c>
      <c r="B73" t="s">
        <v>308</v>
      </c>
      <c r="C73" t="s">
        <v>120</v>
      </c>
      <c r="D73" t="s">
        <v>309</v>
      </c>
      <c r="E73">
        <v>80325953278</v>
      </c>
      <c r="F73" t="s">
        <v>43</v>
      </c>
    </row>
    <row r="74" spans="1:6" x14ac:dyDescent="0.3">
      <c r="A74" t="s">
        <v>310</v>
      </c>
      <c r="B74" t="s">
        <v>311</v>
      </c>
      <c r="C74" t="s">
        <v>90</v>
      </c>
      <c r="D74" t="s">
        <v>312</v>
      </c>
      <c r="E74">
        <v>873395004</v>
      </c>
      <c r="F74" t="s">
        <v>42</v>
      </c>
    </row>
    <row r="75" spans="1:6" x14ac:dyDescent="0.3">
      <c r="A75" t="s">
        <v>313</v>
      </c>
      <c r="B75" t="s">
        <v>314</v>
      </c>
      <c r="C75" t="s">
        <v>94</v>
      </c>
      <c r="D75" t="s">
        <v>315</v>
      </c>
      <c r="E75">
        <v>80624565060</v>
      </c>
      <c r="F75" t="s">
        <v>45</v>
      </c>
    </row>
    <row r="76" spans="1:6" x14ac:dyDescent="0.3">
      <c r="A76" t="s">
        <v>316</v>
      </c>
      <c r="B76" t="s">
        <v>317</v>
      </c>
      <c r="C76" t="s">
        <v>94</v>
      </c>
      <c r="D76" t="s">
        <v>318</v>
      </c>
      <c r="E76">
        <v>8499121655</v>
      </c>
      <c r="F76" t="s">
        <v>159</v>
      </c>
    </row>
    <row r="77" spans="1:6" x14ac:dyDescent="0.3">
      <c r="A77" t="s">
        <v>319</v>
      </c>
      <c r="B77" t="s">
        <v>320</v>
      </c>
      <c r="C77" t="s">
        <v>90</v>
      </c>
      <c r="D77" t="s">
        <v>321</v>
      </c>
      <c r="E77">
        <v>82578729825</v>
      </c>
      <c r="F77" t="s">
        <v>87</v>
      </c>
    </row>
    <row r="78" spans="1:6" x14ac:dyDescent="0.3">
      <c r="A78" t="s">
        <v>322</v>
      </c>
      <c r="B78" t="s">
        <v>323</v>
      </c>
      <c r="C78" t="s">
        <v>120</v>
      </c>
      <c r="D78" t="s">
        <v>324</v>
      </c>
      <c r="E78">
        <v>8879470551</v>
      </c>
      <c r="F78" t="s">
        <v>155</v>
      </c>
    </row>
    <row r="79" spans="1:6" x14ac:dyDescent="0.3">
      <c r="A79" t="s">
        <v>325</v>
      </c>
      <c r="B79" t="s">
        <v>326</v>
      </c>
      <c r="C79" t="s">
        <v>90</v>
      </c>
      <c r="D79" t="s">
        <v>327</v>
      </c>
      <c r="E79">
        <v>82636897028</v>
      </c>
      <c r="F79" t="s">
        <v>103</v>
      </c>
    </row>
    <row r="80" spans="1:6" x14ac:dyDescent="0.3">
      <c r="A80" t="s">
        <v>328</v>
      </c>
      <c r="B80" t="s">
        <v>329</v>
      </c>
      <c r="C80" t="s">
        <v>109</v>
      </c>
      <c r="D80" t="s">
        <v>330</v>
      </c>
      <c r="E80">
        <v>82785854973</v>
      </c>
      <c r="F80" t="s">
        <v>155</v>
      </c>
    </row>
    <row r="81" spans="1:6" x14ac:dyDescent="0.3">
      <c r="A81" t="s">
        <v>331</v>
      </c>
      <c r="B81" t="s">
        <v>332</v>
      </c>
      <c r="C81" t="s">
        <v>90</v>
      </c>
      <c r="D81" t="s">
        <v>333</v>
      </c>
      <c r="E81">
        <v>83757584419</v>
      </c>
      <c r="F81" t="s">
        <v>155</v>
      </c>
    </row>
    <row r="82" spans="1:6" x14ac:dyDescent="0.3">
      <c r="A82" t="s">
        <v>334</v>
      </c>
      <c r="B82" t="s">
        <v>335</v>
      </c>
      <c r="C82" t="s">
        <v>113</v>
      </c>
      <c r="D82" t="s">
        <v>336</v>
      </c>
      <c r="E82">
        <v>87473384842</v>
      </c>
      <c r="F82" t="s">
        <v>46</v>
      </c>
    </row>
    <row r="83" spans="1:6" x14ac:dyDescent="0.3">
      <c r="A83" t="s">
        <v>337</v>
      </c>
      <c r="B83" t="s">
        <v>338</v>
      </c>
      <c r="C83" t="s">
        <v>94</v>
      </c>
      <c r="D83" t="s">
        <v>339</v>
      </c>
      <c r="E83">
        <v>833016571</v>
      </c>
      <c r="F83" t="s">
        <v>42</v>
      </c>
    </row>
    <row r="84" spans="1:6" x14ac:dyDescent="0.3">
      <c r="A84" t="s">
        <v>340</v>
      </c>
      <c r="B84" t="s">
        <v>341</v>
      </c>
      <c r="C84" t="s">
        <v>120</v>
      </c>
      <c r="D84" t="s">
        <v>342</v>
      </c>
      <c r="E84">
        <v>83454019380</v>
      </c>
      <c r="F84" t="s">
        <v>96</v>
      </c>
    </row>
    <row r="85" spans="1:6" x14ac:dyDescent="0.3">
      <c r="A85" t="s">
        <v>343</v>
      </c>
      <c r="B85" t="s">
        <v>344</v>
      </c>
      <c r="C85" t="s">
        <v>85</v>
      </c>
      <c r="D85" t="s">
        <v>345</v>
      </c>
      <c r="E85">
        <v>80049915478</v>
      </c>
      <c r="F85" t="s">
        <v>96</v>
      </c>
    </row>
    <row r="86" spans="1:6" x14ac:dyDescent="0.3">
      <c r="A86" t="s">
        <v>346</v>
      </c>
      <c r="B86" t="s">
        <v>347</v>
      </c>
      <c r="C86" t="s">
        <v>113</v>
      </c>
      <c r="D86" t="s">
        <v>348</v>
      </c>
      <c r="E86">
        <v>82742054932</v>
      </c>
      <c r="F86" t="s">
        <v>155</v>
      </c>
    </row>
    <row r="87" spans="1:6" x14ac:dyDescent="0.3">
      <c r="A87" t="s">
        <v>349</v>
      </c>
      <c r="B87" t="s">
        <v>350</v>
      </c>
      <c r="C87" t="s">
        <v>120</v>
      </c>
      <c r="D87" t="s">
        <v>351</v>
      </c>
      <c r="E87">
        <v>82275304637</v>
      </c>
      <c r="F87" t="s">
        <v>43</v>
      </c>
    </row>
    <row r="88" spans="1:6" x14ac:dyDescent="0.3">
      <c r="A88" t="s">
        <v>352</v>
      </c>
      <c r="B88" t="s">
        <v>353</v>
      </c>
      <c r="C88" t="s">
        <v>94</v>
      </c>
      <c r="D88" t="s">
        <v>354</v>
      </c>
      <c r="E88">
        <v>89568783391</v>
      </c>
      <c r="F88" t="s">
        <v>96</v>
      </c>
    </row>
    <row r="89" spans="1:6" x14ac:dyDescent="0.3">
      <c r="A89" t="s">
        <v>355</v>
      </c>
      <c r="B89" t="s">
        <v>356</v>
      </c>
      <c r="C89" t="s">
        <v>120</v>
      </c>
      <c r="D89" t="s">
        <v>357</v>
      </c>
      <c r="E89">
        <v>839822587</v>
      </c>
      <c r="F89" t="s">
        <v>45</v>
      </c>
    </row>
    <row r="90" spans="1:6" x14ac:dyDescent="0.3">
      <c r="A90" t="s">
        <v>358</v>
      </c>
      <c r="B90" t="s">
        <v>359</v>
      </c>
      <c r="C90" t="s">
        <v>94</v>
      </c>
      <c r="D90" t="s">
        <v>360</v>
      </c>
      <c r="E90">
        <v>80728679087</v>
      </c>
      <c r="F90" t="s">
        <v>46</v>
      </c>
    </row>
    <row r="91" spans="1:6" x14ac:dyDescent="0.3">
      <c r="A91" t="s">
        <v>361</v>
      </c>
      <c r="B91" t="s">
        <v>200</v>
      </c>
      <c r="C91" t="s">
        <v>90</v>
      </c>
      <c r="D91" t="s">
        <v>362</v>
      </c>
      <c r="E91">
        <v>80065180170</v>
      </c>
      <c r="F91" t="s">
        <v>46</v>
      </c>
    </row>
    <row r="92" spans="1:6" x14ac:dyDescent="0.3">
      <c r="A92" t="s">
        <v>363</v>
      </c>
      <c r="B92" t="s">
        <v>364</v>
      </c>
      <c r="C92" t="s">
        <v>109</v>
      </c>
      <c r="D92" t="s">
        <v>365</v>
      </c>
      <c r="E92">
        <v>86766182512</v>
      </c>
      <c r="F92" t="s">
        <v>155</v>
      </c>
    </row>
    <row r="93" spans="1:6" x14ac:dyDescent="0.3">
      <c r="A93" t="s">
        <v>366</v>
      </c>
      <c r="B93" t="s">
        <v>367</v>
      </c>
      <c r="C93" t="s">
        <v>90</v>
      </c>
      <c r="D93" t="s">
        <v>368</v>
      </c>
      <c r="E93">
        <v>863375243</v>
      </c>
      <c r="F93" t="s">
        <v>96</v>
      </c>
    </row>
    <row r="94" spans="1:6" x14ac:dyDescent="0.3">
      <c r="A94" t="s">
        <v>369</v>
      </c>
      <c r="B94" t="s">
        <v>370</v>
      </c>
      <c r="C94" t="s">
        <v>113</v>
      </c>
      <c r="D94" t="s">
        <v>371</v>
      </c>
      <c r="E94">
        <v>83959953428</v>
      </c>
      <c r="F94" t="s">
        <v>46</v>
      </c>
    </row>
    <row r="95" spans="1:6" x14ac:dyDescent="0.3">
      <c r="A95" t="s">
        <v>372</v>
      </c>
      <c r="B95" t="s">
        <v>373</v>
      </c>
      <c r="C95" t="s">
        <v>94</v>
      </c>
      <c r="D95" t="s">
        <v>374</v>
      </c>
      <c r="E95">
        <v>82687056856</v>
      </c>
      <c r="F95" t="s">
        <v>155</v>
      </c>
    </row>
    <row r="96" spans="1:6" x14ac:dyDescent="0.3">
      <c r="A96" t="s">
        <v>375</v>
      </c>
      <c r="B96" t="s">
        <v>376</v>
      </c>
      <c r="C96" t="s">
        <v>109</v>
      </c>
      <c r="D96" t="s">
        <v>377</v>
      </c>
      <c r="E96">
        <v>82708668826</v>
      </c>
      <c r="F96" t="s">
        <v>42</v>
      </c>
    </row>
    <row r="97" spans="1:6" x14ac:dyDescent="0.3">
      <c r="A97" t="s">
        <v>378</v>
      </c>
      <c r="B97" t="s">
        <v>379</v>
      </c>
      <c r="C97" t="s">
        <v>94</v>
      </c>
      <c r="D97" t="s">
        <v>380</v>
      </c>
      <c r="E97">
        <v>80830469901</v>
      </c>
      <c r="F97" t="s">
        <v>159</v>
      </c>
    </row>
    <row r="98" spans="1:6" x14ac:dyDescent="0.3">
      <c r="A98" t="s">
        <v>381</v>
      </c>
      <c r="B98" t="s">
        <v>382</v>
      </c>
      <c r="C98" t="s">
        <v>94</v>
      </c>
      <c r="D98" t="s">
        <v>383</v>
      </c>
      <c r="E98">
        <v>84033173936</v>
      </c>
      <c r="F98" t="s">
        <v>42</v>
      </c>
    </row>
    <row r="99" spans="1:6" x14ac:dyDescent="0.3">
      <c r="A99" t="s">
        <v>384</v>
      </c>
      <c r="B99" t="s">
        <v>385</v>
      </c>
      <c r="C99" t="s">
        <v>90</v>
      </c>
      <c r="D99" t="s">
        <v>386</v>
      </c>
      <c r="E99">
        <v>84458771753</v>
      </c>
      <c r="F99" t="s">
        <v>44</v>
      </c>
    </row>
    <row r="100" spans="1:6" x14ac:dyDescent="0.3">
      <c r="A100" t="s">
        <v>387</v>
      </c>
      <c r="B100" t="s">
        <v>388</v>
      </c>
      <c r="C100" t="s">
        <v>113</v>
      </c>
      <c r="D100" t="s">
        <v>389</v>
      </c>
      <c r="E100">
        <v>84777252287</v>
      </c>
      <c r="F100" t="s">
        <v>46</v>
      </c>
    </row>
    <row r="101" spans="1:6" x14ac:dyDescent="0.3">
      <c r="A101" t="s">
        <v>390</v>
      </c>
      <c r="B101" t="s">
        <v>391</v>
      </c>
      <c r="C101" t="s">
        <v>90</v>
      </c>
      <c r="D101" t="s">
        <v>392</v>
      </c>
      <c r="E101">
        <v>8886008484</v>
      </c>
      <c r="F101" t="s">
        <v>96</v>
      </c>
    </row>
    <row r="102" spans="1:6" x14ac:dyDescent="0.3">
      <c r="A102" t="s">
        <v>393</v>
      </c>
      <c r="B102" t="s">
        <v>394</v>
      </c>
      <c r="C102" t="s">
        <v>94</v>
      </c>
      <c r="D102" t="s">
        <v>395</v>
      </c>
      <c r="E102">
        <v>80182339845</v>
      </c>
      <c r="F102" t="s">
        <v>96</v>
      </c>
    </row>
    <row r="103" spans="1:6" x14ac:dyDescent="0.3">
      <c r="A103" t="s">
        <v>396</v>
      </c>
      <c r="B103" t="s">
        <v>397</v>
      </c>
      <c r="C103" t="s">
        <v>85</v>
      </c>
      <c r="D103" t="s">
        <v>398</v>
      </c>
      <c r="E103">
        <v>89180339740</v>
      </c>
      <c r="F103" t="s">
        <v>96</v>
      </c>
    </row>
    <row r="104" spans="1:6" x14ac:dyDescent="0.3">
      <c r="A104" t="s">
        <v>399</v>
      </c>
      <c r="B104" t="s">
        <v>400</v>
      </c>
      <c r="C104" t="s">
        <v>120</v>
      </c>
      <c r="D104" t="s">
        <v>401</v>
      </c>
      <c r="E104">
        <v>80392614293</v>
      </c>
      <c r="F104" t="s">
        <v>159</v>
      </c>
    </row>
    <row r="105" spans="1:6" x14ac:dyDescent="0.3">
      <c r="A105" t="s">
        <v>402</v>
      </c>
      <c r="B105" t="s">
        <v>403</v>
      </c>
      <c r="C105" t="s">
        <v>120</v>
      </c>
      <c r="D105" t="s">
        <v>404</v>
      </c>
      <c r="E105">
        <v>80163159996</v>
      </c>
      <c r="F105" t="s">
        <v>155</v>
      </c>
    </row>
    <row r="106" spans="1:6" x14ac:dyDescent="0.3">
      <c r="A106" t="s">
        <v>405</v>
      </c>
      <c r="B106" t="s">
        <v>406</v>
      </c>
      <c r="C106" t="s">
        <v>90</v>
      </c>
      <c r="D106" t="s">
        <v>407</v>
      </c>
      <c r="E106">
        <v>8866296194</v>
      </c>
      <c r="F106" t="s">
        <v>46</v>
      </c>
    </row>
    <row r="107" spans="1:6" x14ac:dyDescent="0.3">
      <c r="A107" t="s">
        <v>408</v>
      </c>
      <c r="B107" t="s">
        <v>409</v>
      </c>
      <c r="C107" t="s">
        <v>85</v>
      </c>
      <c r="D107" t="s">
        <v>410</v>
      </c>
      <c r="E107">
        <v>82655110475</v>
      </c>
      <c r="F107" t="s">
        <v>46</v>
      </c>
    </row>
    <row r="108" spans="1:6" x14ac:dyDescent="0.3">
      <c r="A108" t="s">
        <v>411</v>
      </c>
      <c r="B108" t="s">
        <v>412</v>
      </c>
      <c r="C108" t="s">
        <v>94</v>
      </c>
      <c r="D108" t="s">
        <v>413</v>
      </c>
      <c r="E108">
        <v>8888610158</v>
      </c>
      <c r="F108" t="s">
        <v>103</v>
      </c>
    </row>
    <row r="109" spans="1:6" x14ac:dyDescent="0.3">
      <c r="A109" t="s">
        <v>414</v>
      </c>
      <c r="B109" t="s">
        <v>415</v>
      </c>
      <c r="C109" t="s">
        <v>120</v>
      </c>
      <c r="D109" t="s">
        <v>416</v>
      </c>
      <c r="E109">
        <v>86618398262</v>
      </c>
      <c r="F109" t="s">
        <v>159</v>
      </c>
    </row>
    <row r="110" spans="1:6" x14ac:dyDescent="0.3">
      <c r="A110" t="s">
        <v>417</v>
      </c>
      <c r="B110" t="s">
        <v>418</v>
      </c>
      <c r="C110" t="s">
        <v>94</v>
      </c>
      <c r="D110" t="s">
        <v>419</v>
      </c>
      <c r="E110">
        <v>82646471543</v>
      </c>
      <c r="F110" t="s">
        <v>45</v>
      </c>
    </row>
    <row r="111" spans="1:6" x14ac:dyDescent="0.3">
      <c r="A111" t="s">
        <v>420</v>
      </c>
      <c r="B111" t="s">
        <v>421</v>
      </c>
      <c r="C111" t="s">
        <v>109</v>
      </c>
      <c r="D111" t="s">
        <v>422</v>
      </c>
      <c r="E111">
        <v>82654793564</v>
      </c>
      <c r="F111" t="s">
        <v>155</v>
      </c>
    </row>
    <row r="112" spans="1:6" x14ac:dyDescent="0.3">
      <c r="A112" t="s">
        <v>423</v>
      </c>
      <c r="B112" t="s">
        <v>424</v>
      </c>
      <c r="C112" t="s">
        <v>109</v>
      </c>
      <c r="D112" t="s">
        <v>425</v>
      </c>
      <c r="E112">
        <v>8807374167</v>
      </c>
      <c r="F112" t="s">
        <v>159</v>
      </c>
    </row>
    <row r="113" spans="1:6" x14ac:dyDescent="0.3">
      <c r="A113" t="s">
        <v>426</v>
      </c>
      <c r="B113" t="s">
        <v>427</v>
      </c>
      <c r="C113" t="s">
        <v>90</v>
      </c>
      <c r="D113" t="s">
        <v>428</v>
      </c>
      <c r="E113">
        <v>80797968868</v>
      </c>
      <c r="F113" t="s">
        <v>43</v>
      </c>
    </row>
    <row r="114" spans="1:6" x14ac:dyDescent="0.3">
      <c r="A114" t="s">
        <v>429</v>
      </c>
      <c r="B114" t="s">
        <v>430</v>
      </c>
      <c r="C114" t="s">
        <v>109</v>
      </c>
      <c r="D114" t="s">
        <v>431</v>
      </c>
      <c r="E114">
        <v>84573875717</v>
      </c>
      <c r="F114" t="s">
        <v>42</v>
      </c>
    </row>
    <row r="115" spans="1:6" x14ac:dyDescent="0.3">
      <c r="A115" t="s">
        <v>432</v>
      </c>
      <c r="B115" t="s">
        <v>433</v>
      </c>
      <c r="C115" t="s">
        <v>120</v>
      </c>
      <c r="D115" t="s">
        <v>434</v>
      </c>
      <c r="E115">
        <v>80238282586</v>
      </c>
      <c r="F115" t="s">
        <v>46</v>
      </c>
    </row>
    <row r="116" spans="1:6" x14ac:dyDescent="0.3">
      <c r="A116" t="s">
        <v>435</v>
      </c>
      <c r="B116" t="s">
        <v>436</v>
      </c>
      <c r="C116" t="s">
        <v>113</v>
      </c>
      <c r="D116" t="s">
        <v>437</v>
      </c>
      <c r="E116">
        <v>80609379660</v>
      </c>
      <c r="F116" t="s">
        <v>42</v>
      </c>
    </row>
    <row r="117" spans="1:6" x14ac:dyDescent="0.3">
      <c r="A117" t="s">
        <v>438</v>
      </c>
      <c r="B117" t="s">
        <v>439</v>
      </c>
      <c r="C117" t="s">
        <v>109</v>
      </c>
      <c r="D117" t="s">
        <v>440</v>
      </c>
      <c r="E117">
        <v>82553714785</v>
      </c>
      <c r="F117" t="s">
        <v>46</v>
      </c>
    </row>
    <row r="118" spans="1:6" x14ac:dyDescent="0.3">
      <c r="A118" t="s">
        <v>441</v>
      </c>
      <c r="B118" t="s">
        <v>442</v>
      </c>
      <c r="C118" t="s">
        <v>109</v>
      </c>
      <c r="D118" t="s">
        <v>443</v>
      </c>
      <c r="E118">
        <v>82499125134</v>
      </c>
      <c r="F118" t="s">
        <v>103</v>
      </c>
    </row>
    <row r="119" spans="1:6" x14ac:dyDescent="0.3">
      <c r="A119" t="s">
        <v>444</v>
      </c>
      <c r="B119" t="s">
        <v>445</v>
      </c>
      <c r="C119" t="s">
        <v>94</v>
      </c>
      <c r="D119" t="s">
        <v>446</v>
      </c>
      <c r="E119">
        <v>80929662782</v>
      </c>
      <c r="F119" t="s">
        <v>103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4034F-F4F0-4EA8-A7B1-9562DD1E1E7B}">
  <dimension ref="A1:B11"/>
  <sheetViews>
    <sheetView workbookViewId="0">
      <selection activeCell="I27" sqref="I27"/>
    </sheetView>
  </sheetViews>
  <sheetFormatPr defaultRowHeight="14.4" x14ac:dyDescent="0.3"/>
  <cols>
    <col min="1" max="1" width="12.77734375" customWidth="1"/>
    <col min="2" max="2" width="16" customWidth="1"/>
  </cols>
  <sheetData>
    <row r="1" spans="1:2" x14ac:dyDescent="0.3">
      <c r="A1" s="6" t="s">
        <v>31</v>
      </c>
      <c r="B1" s="6" t="s">
        <v>37</v>
      </c>
    </row>
    <row r="2" spans="1:2" x14ac:dyDescent="0.3">
      <c r="A2" t="s">
        <v>61</v>
      </c>
      <c r="B2" t="s">
        <v>62</v>
      </c>
    </row>
    <row r="3" spans="1:2" x14ac:dyDescent="0.3">
      <c r="A3" t="s">
        <v>63</v>
      </c>
      <c r="B3" t="s">
        <v>64</v>
      </c>
    </row>
    <row r="4" spans="1:2" x14ac:dyDescent="0.3">
      <c r="A4" t="s">
        <v>65</v>
      </c>
      <c r="B4" t="s">
        <v>66</v>
      </c>
    </row>
    <row r="5" spans="1:2" x14ac:dyDescent="0.3">
      <c r="A5" t="s">
        <v>67</v>
      </c>
      <c r="B5" t="s">
        <v>68</v>
      </c>
    </row>
    <row r="6" spans="1:2" x14ac:dyDescent="0.3">
      <c r="A6" t="s">
        <v>69</v>
      </c>
      <c r="B6" t="s">
        <v>70</v>
      </c>
    </row>
    <row r="7" spans="1:2" x14ac:dyDescent="0.3">
      <c r="A7" t="s">
        <v>71</v>
      </c>
      <c r="B7" t="s">
        <v>72</v>
      </c>
    </row>
    <row r="8" spans="1:2" x14ac:dyDescent="0.3">
      <c r="A8" t="s">
        <v>73</v>
      </c>
      <c r="B8" t="s">
        <v>74</v>
      </c>
    </row>
    <row r="9" spans="1:2" x14ac:dyDescent="0.3">
      <c r="A9" t="s">
        <v>75</v>
      </c>
      <c r="B9" t="s">
        <v>76</v>
      </c>
    </row>
    <row r="10" spans="1:2" x14ac:dyDescent="0.3">
      <c r="A10" t="s">
        <v>77</v>
      </c>
      <c r="B10" t="s">
        <v>78</v>
      </c>
    </row>
    <row r="11" spans="1:2" x14ac:dyDescent="0.3">
      <c r="A11" t="s">
        <v>79</v>
      </c>
      <c r="B11" t="s">
        <v>80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8769D-B357-473A-B066-793BC6E5DFD6}">
  <dimension ref="A1:H13"/>
  <sheetViews>
    <sheetView workbookViewId="0">
      <selection activeCell="I24" sqref="I24"/>
    </sheetView>
  </sheetViews>
  <sheetFormatPr defaultRowHeight="14.4" x14ac:dyDescent="0.3"/>
  <sheetData>
    <row r="1" spans="1:8" x14ac:dyDescent="0.3">
      <c r="A1" t="s">
        <v>47</v>
      </c>
      <c r="B1" t="s">
        <v>48</v>
      </c>
      <c r="C1" t="s">
        <v>49</v>
      </c>
      <c r="D1" t="s">
        <v>50</v>
      </c>
      <c r="E1" t="s">
        <v>51</v>
      </c>
      <c r="F1" t="s">
        <v>52</v>
      </c>
      <c r="G1" t="s">
        <v>53</v>
      </c>
      <c r="H1" t="s">
        <v>54</v>
      </c>
    </row>
    <row r="2" spans="1:8" x14ac:dyDescent="0.3">
      <c r="A2" t="e" cm="1">
        <f t="array" ref="A2">#REF!</f>
        <v>#REF!</v>
      </c>
      <c r="B2" t="e">
        <f>_xlfn.XLOOKUP(A2,Master_Product!A:A,Master_Product!B:B)</f>
        <v>#REF!</v>
      </c>
      <c r="C2" t="e">
        <f>_xlfn.XLOOKUP(A2,Master_Product!A:A,Master_Product!H:H)</f>
        <v>#REF!</v>
      </c>
      <c r="D2">
        <f ca="1">SUMIFS(Table_StockIn[quantity],Table_StockIn[product_id],A2)</f>
        <v>0</v>
      </c>
      <c r="E2">
        <f>SUMIFS(Table_StockOut[quantity],Table_StockOut[product_id],A2)</f>
        <v>0</v>
      </c>
      <c r="F2" t="e">
        <f ca="1">C2 + D2 -E2</f>
        <v>#REF!</v>
      </c>
      <c r="G2" t="e">
        <f>_xlfn.XLOOKUP(A2,#REF!,#REF!)</f>
        <v>#REF!</v>
      </c>
      <c r="H2" t="e">
        <f ca="1">IF(F2 &lt;=0,"OUT OF STOCK",IF(F2 &lt;= G2, "LOW STOCK","SAFE"))</f>
        <v>#REF!</v>
      </c>
    </row>
    <row r="3" spans="1:8" x14ac:dyDescent="0.3">
      <c r="B3">
        <f>_xlfn.XLOOKUP(A3,Master_Product!A:A,Master_Product!B:B)</f>
        <v>0</v>
      </c>
      <c r="C3">
        <f>_xlfn.XLOOKUP(A3,Master_Product!A:A,Master_Product!H:H)</f>
        <v>0</v>
      </c>
      <c r="D3">
        <f ca="1">SUMIFS(Table_StockIn[quantity],Table_StockIn[product_id],A3)</f>
        <v>0</v>
      </c>
      <c r="E3">
        <f>SUMIFS(Table_StockOut[quantity],Table_StockOut[product_id],A3)</f>
        <v>0</v>
      </c>
      <c r="F3">
        <f t="shared" ref="F3:F13" ca="1" si="0">C3 + D3 -E3</f>
        <v>0</v>
      </c>
      <c r="G3" t="e">
        <f>_xlfn.XLOOKUP(A3,#REF!,#REF!)</f>
        <v>#REF!</v>
      </c>
      <c r="H3" t="str">
        <f t="shared" ref="H3:H13" ca="1" si="1">IF(F3 &lt;=0,"OUT OF STOCK",IF(F3 &lt;= G3, "LOW STOCK","SAFE"))</f>
        <v>OUT OF STOCK</v>
      </c>
    </row>
    <row r="4" spans="1:8" x14ac:dyDescent="0.3">
      <c r="B4">
        <f>_xlfn.XLOOKUP(A4,Master_Product!A:A,Master_Product!B:B)</f>
        <v>0</v>
      </c>
      <c r="C4">
        <f>_xlfn.XLOOKUP(A4,Master_Product!A:A,Master_Product!H:H)</f>
        <v>0</v>
      </c>
      <c r="D4">
        <f ca="1">SUMIFS(Table_StockIn[quantity],Table_StockIn[product_id],A4)</f>
        <v>0</v>
      </c>
      <c r="E4">
        <f>SUMIFS(Table_StockOut[quantity],Table_StockOut[product_id],A4)</f>
        <v>0</v>
      </c>
      <c r="F4">
        <f t="shared" ca="1" si="0"/>
        <v>0</v>
      </c>
      <c r="G4" t="e">
        <f>_xlfn.XLOOKUP(A4,#REF!,#REF!)</f>
        <v>#REF!</v>
      </c>
      <c r="H4" t="str">
        <f t="shared" ca="1" si="1"/>
        <v>OUT OF STOCK</v>
      </c>
    </row>
    <row r="5" spans="1:8" x14ac:dyDescent="0.3">
      <c r="B5">
        <f>_xlfn.XLOOKUP(A5,Master_Product!A:A,Master_Product!B:B)</f>
        <v>0</v>
      </c>
      <c r="C5">
        <f>_xlfn.XLOOKUP(A5,Master_Product!A:A,Master_Product!H:H)</f>
        <v>0</v>
      </c>
      <c r="D5">
        <f ca="1">SUMIFS(Table_StockIn[quantity],Table_StockIn[product_id],A5)</f>
        <v>0</v>
      </c>
      <c r="E5">
        <f>SUMIFS(Table_StockOut[quantity],Table_StockOut[product_id],A5)</f>
        <v>0</v>
      </c>
      <c r="F5">
        <f t="shared" ca="1" si="0"/>
        <v>0</v>
      </c>
      <c r="G5" t="e">
        <f>_xlfn.XLOOKUP(A5,#REF!,#REF!)</f>
        <v>#REF!</v>
      </c>
      <c r="H5" t="str">
        <f t="shared" ca="1" si="1"/>
        <v>OUT OF STOCK</v>
      </c>
    </row>
    <row r="6" spans="1:8" x14ac:dyDescent="0.3">
      <c r="B6">
        <f>_xlfn.XLOOKUP(A6,Master_Product!A:A,Master_Product!B:B)</f>
        <v>0</v>
      </c>
      <c r="C6">
        <f>_xlfn.XLOOKUP(A6,Master_Product!A:A,Master_Product!H:H)</f>
        <v>0</v>
      </c>
      <c r="D6">
        <f ca="1">SUMIFS(Table_StockIn[quantity],Table_StockIn[product_id],A6)</f>
        <v>0</v>
      </c>
      <c r="E6">
        <f>SUMIFS(Table_StockOut[quantity],Table_StockOut[product_id],A6)</f>
        <v>0</v>
      </c>
      <c r="F6">
        <f t="shared" ca="1" si="0"/>
        <v>0</v>
      </c>
      <c r="G6" t="e">
        <f>_xlfn.XLOOKUP(A6,#REF!,#REF!)</f>
        <v>#REF!</v>
      </c>
      <c r="H6" t="str">
        <f t="shared" ca="1" si="1"/>
        <v>OUT OF STOCK</v>
      </c>
    </row>
    <row r="7" spans="1:8" x14ac:dyDescent="0.3">
      <c r="B7">
        <f>_xlfn.XLOOKUP(A7,Master_Product!A:A,Master_Product!B:B)</f>
        <v>0</v>
      </c>
      <c r="C7">
        <f>_xlfn.XLOOKUP(A7,Master_Product!A:A,Master_Product!H:H)</f>
        <v>0</v>
      </c>
      <c r="D7">
        <f ca="1">SUMIFS(Table_StockIn[quantity],Table_StockIn[product_id],A7)</f>
        <v>0</v>
      </c>
      <c r="E7">
        <f>SUMIFS(Table_StockOut[quantity],Table_StockOut[product_id],A7)</f>
        <v>0</v>
      </c>
      <c r="F7">
        <f t="shared" ca="1" si="0"/>
        <v>0</v>
      </c>
      <c r="G7" t="e">
        <f>_xlfn.XLOOKUP(A7,#REF!,#REF!)</f>
        <v>#REF!</v>
      </c>
      <c r="H7" t="str">
        <f t="shared" ca="1" si="1"/>
        <v>OUT OF STOCK</v>
      </c>
    </row>
    <row r="8" spans="1:8" x14ac:dyDescent="0.3">
      <c r="B8">
        <f>_xlfn.XLOOKUP(A8,Master_Product!A:A,Master_Product!B:B)</f>
        <v>0</v>
      </c>
      <c r="C8">
        <f>_xlfn.XLOOKUP(A8,Master_Product!A:A,Master_Product!H:H)</f>
        <v>0</v>
      </c>
      <c r="D8">
        <f ca="1">SUMIFS(Table_StockIn[quantity],Table_StockIn[product_id],A8)</f>
        <v>0</v>
      </c>
      <c r="E8">
        <f>SUMIFS(Table_StockOut[quantity],Table_StockOut[product_id],A8)</f>
        <v>0</v>
      </c>
      <c r="F8">
        <f t="shared" ca="1" si="0"/>
        <v>0</v>
      </c>
      <c r="G8" t="e">
        <f>_xlfn.XLOOKUP(A8,#REF!,#REF!)</f>
        <v>#REF!</v>
      </c>
      <c r="H8" t="str">
        <f t="shared" ca="1" si="1"/>
        <v>OUT OF STOCK</v>
      </c>
    </row>
    <row r="9" spans="1:8" x14ac:dyDescent="0.3">
      <c r="B9">
        <f>_xlfn.XLOOKUP(A9,Master_Product!A:A,Master_Product!B:B)</f>
        <v>0</v>
      </c>
      <c r="C9">
        <f>_xlfn.XLOOKUP(A9,Master_Product!A:A,Master_Product!H:H)</f>
        <v>0</v>
      </c>
      <c r="D9">
        <f ca="1">SUMIFS(Table_StockIn[quantity],Table_StockIn[product_id],A9)</f>
        <v>0</v>
      </c>
      <c r="E9">
        <f>SUMIFS(Table_StockOut[quantity],Table_StockOut[product_id],A9)</f>
        <v>0</v>
      </c>
      <c r="F9">
        <f t="shared" ca="1" si="0"/>
        <v>0</v>
      </c>
      <c r="G9" t="e">
        <f>_xlfn.XLOOKUP(A9,#REF!,#REF!)</f>
        <v>#REF!</v>
      </c>
      <c r="H9" t="str">
        <f t="shared" ca="1" si="1"/>
        <v>OUT OF STOCK</v>
      </c>
    </row>
    <row r="10" spans="1:8" x14ac:dyDescent="0.3">
      <c r="B10">
        <f>_xlfn.XLOOKUP(A10,Master_Product!A:A,Master_Product!B:B)</f>
        <v>0</v>
      </c>
      <c r="C10">
        <f>_xlfn.XLOOKUP(A10,Master_Product!A:A,Master_Product!H:H)</f>
        <v>0</v>
      </c>
      <c r="D10">
        <f ca="1">SUMIFS(Table_StockIn[quantity],Table_StockIn[product_id],A10)</f>
        <v>0</v>
      </c>
      <c r="E10">
        <f>SUMIFS(Table_StockOut[quantity],Table_StockOut[product_id],A10)</f>
        <v>0</v>
      </c>
      <c r="F10">
        <f t="shared" ca="1" si="0"/>
        <v>0</v>
      </c>
      <c r="G10" t="e">
        <f>_xlfn.XLOOKUP(A10,#REF!,#REF!)</f>
        <v>#REF!</v>
      </c>
      <c r="H10" t="str">
        <f t="shared" ca="1" si="1"/>
        <v>OUT OF STOCK</v>
      </c>
    </row>
    <row r="11" spans="1:8" x14ac:dyDescent="0.3">
      <c r="B11">
        <f>_xlfn.XLOOKUP(A11,Master_Product!A:A,Master_Product!B:B)</f>
        <v>0</v>
      </c>
      <c r="C11">
        <f>_xlfn.XLOOKUP(A11,Master_Product!A:A,Master_Product!H:H)</f>
        <v>0</v>
      </c>
      <c r="D11">
        <f ca="1">SUMIFS(Table_StockIn[quantity],Table_StockIn[product_id],A11)</f>
        <v>0</v>
      </c>
      <c r="E11">
        <f>SUMIFS(Table_StockOut[quantity],Table_StockOut[product_id],A11)</f>
        <v>0</v>
      </c>
      <c r="F11">
        <f t="shared" ca="1" si="0"/>
        <v>0</v>
      </c>
      <c r="G11" t="e">
        <f>_xlfn.XLOOKUP(A11,#REF!,#REF!)</f>
        <v>#REF!</v>
      </c>
      <c r="H11" t="str">
        <f t="shared" ca="1" si="1"/>
        <v>OUT OF STOCK</v>
      </c>
    </row>
    <row r="12" spans="1:8" x14ac:dyDescent="0.3">
      <c r="B12">
        <f>_xlfn.XLOOKUP(A12,Master_Product!A:A,Master_Product!B:B)</f>
        <v>0</v>
      </c>
      <c r="C12">
        <f>_xlfn.XLOOKUP(A12,Master_Product!A:A,Master_Product!H:H)</f>
        <v>0</v>
      </c>
      <c r="D12">
        <f ca="1">SUMIFS(Table_StockIn[quantity],Table_StockIn[product_id],A12)</f>
        <v>0</v>
      </c>
      <c r="E12">
        <f>SUMIFS(Table_StockOut[quantity],Table_StockOut[product_id],A12)</f>
        <v>0</v>
      </c>
      <c r="F12">
        <f t="shared" ca="1" si="0"/>
        <v>0</v>
      </c>
      <c r="G12" t="e">
        <f>_xlfn.XLOOKUP(A12,#REF!,#REF!)</f>
        <v>#REF!</v>
      </c>
      <c r="H12" t="str">
        <f t="shared" ca="1" si="1"/>
        <v>OUT OF STOCK</v>
      </c>
    </row>
    <row r="13" spans="1:8" x14ac:dyDescent="0.3">
      <c r="B13">
        <f>_xlfn.XLOOKUP(A13,Master_Product!A:A,Master_Product!B:B)</f>
        <v>0</v>
      </c>
      <c r="C13">
        <f>_xlfn.XLOOKUP(A13,Master_Product!A:A,Master_Product!H:H)</f>
        <v>0</v>
      </c>
      <c r="D13">
        <f ca="1">SUMIFS(Table_StockIn[quantity],Table_StockIn[product_id],A13)</f>
        <v>0</v>
      </c>
      <c r="E13">
        <f>SUMIFS(Table_StockOut[quantity],Table_StockOut[product_id],A13)</f>
        <v>0</v>
      </c>
      <c r="F13">
        <f t="shared" ca="1" si="0"/>
        <v>0</v>
      </c>
      <c r="G13" t="e">
        <f>_xlfn.XLOOKUP(A13,#REF!,#REF!)</f>
        <v>#REF!</v>
      </c>
      <c r="H13" t="str">
        <f t="shared" ca="1" si="1"/>
        <v>OUT OF STOCK</v>
      </c>
    </row>
  </sheetData>
  <conditionalFormatting sqref="H1:H13">
    <cfRule type="cellIs" dxfId="8" priority="1" operator="equal">
      <formula>"SAFE"</formula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">
    <cfRule type="cellIs" dxfId="7" priority="2" operator="equal">
      <formula>$H$2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5CBD0-9066-47D5-9693-178DCFFDB05C}">
  <dimension ref="A4:D7"/>
  <sheetViews>
    <sheetView workbookViewId="0">
      <selection activeCell="D5" sqref="D5"/>
    </sheetView>
  </sheetViews>
  <sheetFormatPr defaultRowHeight="14.4" x14ac:dyDescent="0.3"/>
  <cols>
    <col min="1" max="1" width="12.5546875" bestFit="1" customWidth="1"/>
    <col min="2" max="2" width="13.44140625" bestFit="1" customWidth="1"/>
    <col min="3" max="3" width="19.44140625" bestFit="1" customWidth="1"/>
    <col min="4" max="4" width="10" bestFit="1" customWidth="1"/>
  </cols>
  <sheetData>
    <row r="4" spans="1:4" x14ac:dyDescent="0.3">
      <c r="A4" s="2" t="s">
        <v>55</v>
      </c>
      <c r="B4" t="s">
        <v>59</v>
      </c>
      <c r="C4" t="s">
        <v>60</v>
      </c>
    </row>
    <row r="5" spans="1:4" x14ac:dyDescent="0.3">
      <c r="A5" s="3" t="s">
        <v>57</v>
      </c>
      <c r="B5" s="5">
        <v>325481000</v>
      </c>
      <c r="C5" s="5">
        <v>1063946000</v>
      </c>
      <c r="D5" s="4">
        <f xml:space="preserve"> GETPIVOTDATA("Sum of profit",$A$4,"Years (sales_date)",2025)/GETPIVOTDATA("Sum of total_revenue",$A$4,"Years (sales_date)",2025)</f>
        <v>0.30591872143887</v>
      </c>
    </row>
    <row r="6" spans="1:4" x14ac:dyDescent="0.3">
      <c r="A6" s="3" t="s">
        <v>58</v>
      </c>
      <c r="B6" s="5">
        <v>161259000</v>
      </c>
      <c r="C6" s="5">
        <v>529974000</v>
      </c>
      <c r="D6" s="4">
        <f>GETPIVOTDATA("Sum of profit",$A$4,"Years (sales_date)",2026)/GETPIVOTDATA("Sum of total_revenue",$A$4,"Years (sales_date)",2026)</f>
        <v>0.30427719095653749</v>
      </c>
    </row>
    <row r="7" spans="1:4" x14ac:dyDescent="0.3">
      <c r="A7" s="3" t="s">
        <v>56</v>
      </c>
      <c r="B7" s="5">
        <v>486740000</v>
      </c>
      <c r="C7" s="5">
        <v>1593920000</v>
      </c>
      <c r="D7" s="4">
        <f>GETPIVOTDATA("Sum of profit",$A$4)/GETPIVOTDATA("Sum of total_revenue",$A$4)</f>
        <v>0.3053729170849227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ED22F-ACC1-4B3A-9AF0-134D298BF90E}">
  <dimension ref="A1:L349"/>
  <sheetViews>
    <sheetView tabSelected="1" workbookViewId="0">
      <selection activeCell="E6" sqref="E6"/>
    </sheetView>
  </sheetViews>
  <sheetFormatPr defaultRowHeight="14.4" x14ac:dyDescent="0.3"/>
  <cols>
    <col min="1" max="1" width="13.109375" customWidth="1"/>
    <col min="2" max="2" width="15.33203125" customWidth="1"/>
    <col min="3" max="3" width="12.109375" customWidth="1"/>
    <col min="4" max="4" width="13.5546875" bestFit="1" customWidth="1"/>
    <col min="5" max="5" width="20.88671875" bestFit="1" customWidth="1"/>
    <col min="6" max="6" width="14.21875" bestFit="1" customWidth="1"/>
    <col min="7" max="8" width="13.5546875" bestFit="1" customWidth="1"/>
    <col min="9" max="9" width="10.109375" bestFit="1" customWidth="1"/>
    <col min="10" max="10" width="9.33203125" bestFit="1" customWidth="1"/>
  </cols>
  <sheetData>
    <row r="1" spans="1:12" x14ac:dyDescent="0.3">
      <c r="A1" t="s">
        <v>21</v>
      </c>
      <c r="B1" t="s">
        <v>22</v>
      </c>
      <c r="C1" t="s">
        <v>3</v>
      </c>
      <c r="D1" t="s">
        <v>23</v>
      </c>
      <c r="E1" t="s">
        <v>30</v>
      </c>
      <c r="F1" t="s">
        <v>31</v>
      </c>
      <c r="G1" t="s">
        <v>37</v>
      </c>
      <c r="H1" t="s">
        <v>38</v>
      </c>
      <c r="I1" t="s">
        <v>41</v>
      </c>
      <c r="J1" t="s">
        <v>32</v>
      </c>
      <c r="K1" t="s">
        <v>4</v>
      </c>
      <c r="L1" t="s">
        <v>24</v>
      </c>
    </row>
    <row r="2" spans="1:12" x14ac:dyDescent="0.3">
      <c r="A2" t="str">
        <f>"PUR"&amp;TEXT(ROW()-1,"0000")</f>
        <v>PUR0001</v>
      </c>
      <c r="B2" s="1">
        <f ca="1">DATE(2025,1,1)+RANDBETWEEN(0,364)</f>
        <v>45681</v>
      </c>
      <c r="C2" t="str" cm="1">
        <f t="array" aca="1" ref="C2" ca="1">INDEX(Master_Product!$A$2:$A$101,RANDBETWEEN(1,100))</f>
        <v>PRD048</v>
      </c>
      <c r="D2" t="str">
        <f ca="1">_xlfn.XLOOKUP(C2,Master_Product!A:A,Master_Product!D:D)</f>
        <v>SUP019</v>
      </c>
      <c r="E2" t="str">
        <f ca="1">_xlfn.XLOOKUP(C2,Master_Product!A:A,Master_Product!B:B)</f>
        <v>Placeat Product</v>
      </c>
      <c r="F2" t="str">
        <f ca="1">_xlfn.XLOOKUP(C3,Master_Product!A:A,Master_Product!C:C)</f>
        <v>CAT008</v>
      </c>
      <c r="G2" t="str">
        <f ca="1">VLOOKUP(F2,Master_Category!A:B,2,FALSE)</f>
        <v>Snack</v>
      </c>
      <c r="H2" t="str">
        <f ca="1">_xlfn.XLOOKUP(D2,Master_Supplier!A:A,Master_Supplier!B:B)</f>
        <v>PT Indo Beverage</v>
      </c>
      <c r="I2" t="str">
        <f ca="1">_xlfn.XLOOKUP(D2,Master_Supplier!A:A,Master_Supplier!E:E)</f>
        <v>Jakarta</v>
      </c>
      <c r="J2">
        <f ca="1">_xlfn.XLOOKUP(C2,Master_Product!A:A,Master_Product!E:E)</f>
        <v>44691</v>
      </c>
      <c r="K2">
        <v>50</v>
      </c>
      <c r="L2">
        <f ca="1">Table_StockIn[[#This Row],[buy_price]]*Table_StockIn[[#This Row],[quantity]]</f>
        <v>2234550</v>
      </c>
    </row>
    <row r="3" spans="1:12" x14ac:dyDescent="0.3">
      <c r="A3" t="str">
        <f t="shared" ref="A3:A66" si="0">"PUR"&amp;TEXT(ROW()-1,"0000")</f>
        <v>PUR0002</v>
      </c>
      <c r="B3" s="1">
        <f t="shared" ref="B3:B66" ca="1" si="1">DATE(2025,1,1)+RANDBETWEEN(0,364)</f>
        <v>45716</v>
      </c>
      <c r="C3" t="str" cm="1">
        <f t="array" aca="1" ref="C3" ca="1">INDEX(Master_Product!$A$2:$A$101,RANDBETWEEN(1,100))</f>
        <v>PRD029</v>
      </c>
      <c r="D3" t="str">
        <f ca="1">_xlfn.XLOOKUP(C3,Master_Product!A:A,Master_Product!D:D)</f>
        <v>SUP010</v>
      </c>
      <c r="E3" t="str">
        <f ca="1">_xlfn.XLOOKUP(C3,Master_Product!A:A,Master_Product!B:B)</f>
        <v>Croissant</v>
      </c>
      <c r="F3" t="str">
        <f ca="1">_xlfn.XLOOKUP(C4,Master_Product!A:A,Master_Product!C:C)</f>
        <v>CAT006</v>
      </c>
      <c r="G3" t="str">
        <f ca="1">VLOOKUP(F3,Master_Category!A:B,2,FALSE)</f>
        <v>Topping</v>
      </c>
      <c r="H3" t="str">
        <f ca="1">_xlfn.XLOOKUP(D3,Master_Supplier!A:A,Master_Supplier!B:B)</f>
        <v>PT Gula Manis</v>
      </c>
      <c r="I3" t="str">
        <f ca="1">_xlfn.XLOOKUP(D3,Master_Supplier!A:A,Master_Supplier!E:E)</f>
        <v>Malang</v>
      </c>
      <c r="J3">
        <f ca="1">_xlfn.XLOOKUP(C3,Master_Product!A:A,Master_Product!E:E)</f>
        <v>12180</v>
      </c>
      <c r="K3">
        <v>50</v>
      </c>
      <c r="L3">
        <f ca="1">Table_StockIn[[#This Row],[buy_price]]*Table_StockIn[[#This Row],[quantity]]</f>
        <v>609000</v>
      </c>
    </row>
    <row r="4" spans="1:12" x14ac:dyDescent="0.3">
      <c r="A4" t="str">
        <f t="shared" si="0"/>
        <v>PUR0003</v>
      </c>
      <c r="B4" s="1">
        <f t="shared" ca="1" si="1"/>
        <v>45983</v>
      </c>
      <c r="C4" t="str" cm="1">
        <f t="array" aca="1" ref="C4" ca="1">INDEX(Master_Product!$A$2:$A$101,RANDBETWEEN(1,100))</f>
        <v>PRD041</v>
      </c>
      <c r="D4" t="str">
        <f ca="1">_xlfn.XLOOKUP(C4,Master_Product!A:A,Master_Product!D:D)</f>
        <v>SUP017</v>
      </c>
      <c r="E4" t="str">
        <f ca="1">_xlfn.XLOOKUP(C4,Master_Product!A:A,Master_Product!B:B)</f>
        <v>Ea Product</v>
      </c>
      <c r="F4" t="str">
        <f ca="1">_xlfn.XLOOKUP(C5,Master_Product!A:A,Master_Product!C:C)</f>
        <v>CAT003</v>
      </c>
      <c r="G4" t="str">
        <f ca="1">VLOOKUP(F4,Master_Category!A:B,2,FALSE)</f>
        <v>Milk</v>
      </c>
      <c r="H4" t="str">
        <f ca="1">_xlfn.XLOOKUP(D4,Master_Supplier!A:A,Master_Supplier!B:B)</f>
        <v>PT Premium Beans</v>
      </c>
      <c r="I4" t="str">
        <f ca="1">_xlfn.XLOOKUP(D4,Master_Supplier!A:A,Master_Supplier!E:E)</f>
        <v>Yogyakarta</v>
      </c>
      <c r="J4">
        <f ca="1">_xlfn.XLOOKUP(C4,Master_Product!A:A,Master_Product!E:E)</f>
        <v>71910</v>
      </c>
      <c r="K4">
        <v>80</v>
      </c>
      <c r="L4">
        <f ca="1">Table_StockIn[[#This Row],[buy_price]]*Table_StockIn[[#This Row],[quantity]]</f>
        <v>5752800</v>
      </c>
    </row>
    <row r="5" spans="1:12" x14ac:dyDescent="0.3">
      <c r="A5" t="str">
        <f t="shared" si="0"/>
        <v>PUR0004</v>
      </c>
      <c r="B5" s="1">
        <f t="shared" ca="1" si="1"/>
        <v>45693</v>
      </c>
      <c r="C5" t="str" cm="1">
        <f t="array" aca="1" ref="C5" ca="1">INDEX(Master_Product!$A$2:$A$101,RANDBETWEEN(1,100))</f>
        <v>PRD063</v>
      </c>
      <c r="D5" t="str">
        <f ca="1">_xlfn.XLOOKUP(C5,Master_Product!A:A,Master_Product!D:D)</f>
        <v>SUP003</v>
      </c>
      <c r="E5" t="str">
        <f ca="1">_xlfn.XLOOKUP(C5,Master_Product!A:A,Master_Product!B:B)</f>
        <v>Doloremque Product</v>
      </c>
      <c r="F5" t="str">
        <f ca="1">_xlfn.XLOOKUP(C6,Master_Product!A:A,Master_Product!C:C)</f>
        <v>CAT004</v>
      </c>
      <c r="G5" t="str">
        <f ca="1">VLOOKUP(F5,Master_Category!A:B,2,FALSE)</f>
        <v>Syrup</v>
      </c>
      <c r="H5" t="str">
        <f ca="1">_xlfn.XLOOKUP(D5,Master_Supplier!A:A,Master_Supplier!B:B)</f>
        <v>CV Barista Indonesia</v>
      </c>
      <c r="I5" t="str">
        <f ca="1">_xlfn.XLOOKUP(D5,Master_Supplier!A:A,Master_Supplier!E:E)</f>
        <v>Bekasi</v>
      </c>
      <c r="J5">
        <f ca="1">_xlfn.XLOOKUP(C5,Master_Product!A:A,Master_Product!E:E)</f>
        <v>21901</v>
      </c>
      <c r="K5">
        <v>40</v>
      </c>
      <c r="L5">
        <f ca="1">Table_StockIn[[#This Row],[buy_price]]*Table_StockIn[[#This Row],[quantity]]</f>
        <v>876040</v>
      </c>
    </row>
    <row r="6" spans="1:12" x14ac:dyDescent="0.3">
      <c r="A6" t="str">
        <f t="shared" si="0"/>
        <v>PUR0005</v>
      </c>
      <c r="B6" s="1">
        <f t="shared" ca="1" si="1"/>
        <v>45846</v>
      </c>
      <c r="C6" t="str" cm="1">
        <f t="array" aca="1" ref="C6" ca="1">INDEX(Master_Product!$A$2:$A$101,RANDBETWEEN(1,100))</f>
        <v>PRD043</v>
      </c>
      <c r="D6" t="str">
        <f ca="1">_xlfn.XLOOKUP(C6,Master_Product!A:A,Master_Product!D:D)</f>
        <v>SUP009</v>
      </c>
      <c r="E6" t="str">
        <f ca="1">_xlfn.XLOOKUP(C6,Master_Product!A:A,Master_Product!B:B)</f>
        <v>Odio Product</v>
      </c>
      <c r="F6" t="str">
        <f ca="1">_xlfn.XLOOKUP(C7,Master_Product!A:A,Master_Product!C:C)</f>
        <v>CAT009</v>
      </c>
      <c r="G6" t="str">
        <f ca="1">VLOOKUP(F6,Master_Category!A:B,2,FALSE)</f>
        <v>Machine Supply</v>
      </c>
      <c r="H6" t="str">
        <f ca="1">_xlfn.XLOOKUP(D6,Master_Supplier!A:A,Master_Supplier!B:B)</f>
        <v>CV Nusantara Food</v>
      </c>
      <c r="I6" t="str">
        <f ca="1">_xlfn.XLOOKUP(D6,Master_Supplier!A:A,Master_Supplier!E:E)</f>
        <v>Bandung</v>
      </c>
      <c r="J6">
        <f ca="1">_xlfn.XLOOKUP(C6,Master_Product!A:A,Master_Product!E:E)</f>
        <v>35968</v>
      </c>
      <c r="K6">
        <v>30</v>
      </c>
      <c r="L6">
        <f ca="1">Table_StockIn[[#This Row],[buy_price]]*Table_StockIn[[#This Row],[quantity]]</f>
        <v>1079040</v>
      </c>
    </row>
    <row r="7" spans="1:12" x14ac:dyDescent="0.3">
      <c r="A7" t="str">
        <f t="shared" si="0"/>
        <v>PUR0006</v>
      </c>
      <c r="B7" s="1">
        <f t="shared" ca="1" si="1"/>
        <v>45911</v>
      </c>
      <c r="C7" t="str" cm="1">
        <f t="array" aca="1" ref="C7" ca="1">INDEX(Master_Product!$A$2:$A$101,RANDBETWEEN(1,100))</f>
        <v>PRD032</v>
      </c>
      <c r="D7" t="str">
        <f ca="1">_xlfn.XLOOKUP(C7,Master_Product!A:A,Master_Product!D:D)</f>
        <v>SUP008</v>
      </c>
      <c r="E7" t="str">
        <f ca="1">_xlfn.XLOOKUP(C7,Master_Product!A:A,Master_Product!B:B)</f>
        <v>Filter Paper</v>
      </c>
      <c r="F7" t="str">
        <f ca="1">_xlfn.XLOOKUP(C8,Master_Product!A:A,Master_Product!C:C)</f>
        <v>CAT006</v>
      </c>
      <c r="G7" t="str">
        <f ca="1">VLOOKUP(F7,Master_Category!A:B,2,FALSE)</f>
        <v>Topping</v>
      </c>
      <c r="H7" t="str">
        <f ca="1">_xlfn.XLOOKUP(D7,Master_Supplier!A:A,Master_Supplier!B:B)</f>
        <v>PT Packaging Solution</v>
      </c>
      <c r="I7" t="str">
        <f ca="1">_xlfn.XLOOKUP(D7,Master_Supplier!A:A,Master_Supplier!E:E)</f>
        <v>Yogyakarta</v>
      </c>
      <c r="J7">
        <f ca="1">_xlfn.XLOOKUP(C7,Master_Product!A:A,Master_Product!E:E)</f>
        <v>54834</v>
      </c>
      <c r="K7">
        <v>20</v>
      </c>
      <c r="L7">
        <f ca="1">Table_StockIn[[#This Row],[buy_price]]*Table_StockIn[[#This Row],[quantity]]</f>
        <v>1096680</v>
      </c>
    </row>
    <row r="8" spans="1:12" x14ac:dyDescent="0.3">
      <c r="A8" t="str">
        <f t="shared" si="0"/>
        <v>PUR0007</v>
      </c>
      <c r="B8" s="1">
        <f t="shared" ca="1" si="1"/>
        <v>45938</v>
      </c>
      <c r="C8" t="str" cm="1">
        <f t="array" aca="1" ref="C8" ca="1">INDEX(Master_Product!$A$2:$A$101,RANDBETWEEN(1,100))</f>
        <v>PRD021</v>
      </c>
      <c r="D8" t="str">
        <f ca="1">_xlfn.XLOOKUP(C8,Master_Product!A:A,Master_Product!D:D)</f>
        <v>SUP007</v>
      </c>
      <c r="E8" t="str">
        <f ca="1">_xlfn.XLOOKUP(C8,Master_Product!A:A,Master_Product!B:B)</f>
        <v>Whipping Cream</v>
      </c>
      <c r="F8" t="str">
        <f ca="1">_xlfn.XLOOKUP(C9,Master_Product!A:A,Master_Product!C:C)</f>
        <v>CAT004</v>
      </c>
      <c r="G8" t="str">
        <f ca="1">VLOOKUP(F8,Master_Category!A:B,2,FALSE)</f>
        <v>Syrup</v>
      </c>
      <c r="H8" t="e">
        <f ca="1">_xlfn.XLOOKUP(D8,Master_Supplier!A:A,Master_Supplier!B:B)</f>
        <v>#N/A</v>
      </c>
      <c r="I8" t="e">
        <f ca="1">_xlfn.XLOOKUP(D8,Master_Supplier!A:A,Master_Supplier!E:E)</f>
        <v>#N/A</v>
      </c>
      <c r="J8">
        <f ca="1">_xlfn.XLOOKUP(C8,Master_Product!A:A,Master_Product!E:E)</f>
        <v>17026</v>
      </c>
      <c r="K8">
        <v>30</v>
      </c>
      <c r="L8">
        <f ca="1">Table_StockIn[[#This Row],[buy_price]]*Table_StockIn[[#This Row],[quantity]]</f>
        <v>510780</v>
      </c>
    </row>
    <row r="9" spans="1:12" x14ac:dyDescent="0.3">
      <c r="A9" t="str">
        <f t="shared" si="0"/>
        <v>PUR0008</v>
      </c>
      <c r="B9" s="1">
        <f t="shared" ca="1" si="1"/>
        <v>45973</v>
      </c>
      <c r="C9" t="str" cm="1">
        <f t="array" aca="1" ref="C9" ca="1">INDEX(Master_Product!$A$2:$A$101,RANDBETWEEN(1,100))</f>
        <v>PRD015</v>
      </c>
      <c r="D9" t="str">
        <f ca="1">_xlfn.XLOOKUP(C9,Master_Product!A:A,Master_Product!D:D)</f>
        <v>SUP012</v>
      </c>
      <c r="E9" t="str">
        <f ca="1">_xlfn.XLOOKUP(C9,Master_Product!A:A,Master_Product!B:B)</f>
        <v>Chocolate Syrup</v>
      </c>
      <c r="F9" t="str">
        <f ca="1">_xlfn.XLOOKUP(C10,Master_Product!A:A,Master_Product!C:C)</f>
        <v>CAT002</v>
      </c>
      <c r="G9" t="str">
        <f ca="1">VLOOKUP(F9,Master_Category!A:B,2,FALSE)</f>
        <v>Tea</v>
      </c>
      <c r="H9" t="str">
        <f ca="1">_xlfn.XLOOKUP(D9,Master_Supplier!A:A,Master_Supplier!B:B)</f>
        <v>PT Tea Indonesia</v>
      </c>
      <c r="I9" t="str">
        <f ca="1">_xlfn.XLOOKUP(D9,Master_Supplier!A:A,Master_Supplier!E:E)</f>
        <v>Jakarta</v>
      </c>
      <c r="J9">
        <f ca="1">_xlfn.XLOOKUP(C9,Master_Product!A:A,Master_Product!E:E)</f>
        <v>50890</v>
      </c>
      <c r="K9">
        <v>20</v>
      </c>
      <c r="L9">
        <f ca="1">Table_StockIn[[#This Row],[buy_price]]*Table_StockIn[[#This Row],[quantity]]</f>
        <v>1017800</v>
      </c>
    </row>
    <row r="10" spans="1:12" x14ac:dyDescent="0.3">
      <c r="A10" t="str">
        <f t="shared" si="0"/>
        <v>PUR0009</v>
      </c>
      <c r="B10" s="1">
        <f t="shared" ca="1" si="1"/>
        <v>45829</v>
      </c>
      <c r="C10" t="str" cm="1">
        <f t="array" aca="1" ref="C10" ca="1">INDEX(Master_Product!$A$2:$A$101,RANDBETWEEN(1,100))</f>
        <v>PRD081</v>
      </c>
      <c r="D10" t="str">
        <f ca="1">_xlfn.XLOOKUP(C10,Master_Product!A:A,Master_Product!D:D)</f>
        <v>SUP005</v>
      </c>
      <c r="E10" t="str">
        <f ca="1">_xlfn.XLOOKUP(C10,Master_Product!A:A,Master_Product!B:B)</f>
        <v>Rem Product</v>
      </c>
      <c r="F10" t="str">
        <f ca="1">_xlfn.XLOOKUP(C11,Master_Product!A:A,Master_Product!C:C)</f>
        <v>CAT001</v>
      </c>
      <c r="G10" t="str">
        <f ca="1">VLOOKUP(F10,Master_Category!A:B,2,FALSE)</f>
        <v>Coffee Bean</v>
      </c>
      <c r="H10" t="str">
        <f ca="1">_xlfn.XLOOKUP(D10,Master_Supplier!A:A,Master_Supplier!B:B)</f>
        <v>PT Beverage Supply</v>
      </c>
      <c r="I10" t="str">
        <f ca="1">_xlfn.XLOOKUP(D10,Master_Supplier!A:A,Master_Supplier!E:E)</f>
        <v>Depok</v>
      </c>
      <c r="J10">
        <f ca="1">_xlfn.XLOOKUP(C10,Master_Product!A:A,Master_Product!E:E)</f>
        <v>63893</v>
      </c>
      <c r="K10">
        <v>40</v>
      </c>
      <c r="L10">
        <f ca="1">Table_StockIn[[#This Row],[buy_price]]*Table_StockIn[[#This Row],[quantity]]</f>
        <v>2555720</v>
      </c>
    </row>
    <row r="11" spans="1:12" x14ac:dyDescent="0.3">
      <c r="A11" t="str">
        <f t="shared" si="0"/>
        <v>PUR0010</v>
      </c>
      <c r="B11" s="1">
        <f t="shared" ca="1" si="1"/>
        <v>45714</v>
      </c>
      <c r="C11" t="str" cm="1">
        <f t="array" aca="1" ref="C11" ca="1">INDEX(Master_Product!$A$2:$A$101,RANDBETWEEN(1,100))</f>
        <v>PRD095</v>
      </c>
      <c r="D11" t="str">
        <f ca="1">_xlfn.XLOOKUP(C11,Master_Product!A:A,Master_Product!D:D)</f>
        <v>SUP022</v>
      </c>
      <c r="E11" t="str">
        <f ca="1">_xlfn.XLOOKUP(C11,Master_Product!A:A,Master_Product!B:B)</f>
        <v>In Product</v>
      </c>
      <c r="F11" t="str">
        <f ca="1">_xlfn.XLOOKUP(C12,Master_Product!A:A,Master_Product!C:C)</f>
        <v>CAT003</v>
      </c>
      <c r="G11" t="str">
        <f ca="1">VLOOKUP(F11,Master_Category!A:B,2,FALSE)</f>
        <v>Milk</v>
      </c>
      <c r="H11" t="str">
        <f ca="1">_xlfn.XLOOKUP(D11,Master_Supplier!A:A,Master_Supplier!B:B)</f>
        <v>CV Biji Nusantara</v>
      </c>
      <c r="I11" t="str">
        <f ca="1">_xlfn.XLOOKUP(D11,Master_Supplier!A:A,Master_Supplier!E:E)</f>
        <v>Yogyakarta</v>
      </c>
      <c r="J11">
        <f ca="1">_xlfn.XLOOKUP(C11,Master_Product!A:A,Master_Product!E:E)</f>
        <v>79798</v>
      </c>
      <c r="K11">
        <v>40</v>
      </c>
      <c r="L11">
        <f ca="1">Table_StockIn[[#This Row],[buy_price]]*Table_StockIn[[#This Row],[quantity]]</f>
        <v>3191920</v>
      </c>
    </row>
    <row r="12" spans="1:12" x14ac:dyDescent="0.3">
      <c r="A12" t="str">
        <f t="shared" si="0"/>
        <v>PUR0011</v>
      </c>
      <c r="B12" s="1">
        <f t="shared" ca="1" si="1"/>
        <v>45835</v>
      </c>
      <c r="C12" t="str" cm="1">
        <f t="array" aca="1" ref="C12" ca="1">INDEX(Master_Product!$A$2:$A$101,RANDBETWEEN(1,100))</f>
        <v>PRD011</v>
      </c>
      <c r="D12" t="str">
        <f ca="1">_xlfn.XLOOKUP(C12,Master_Product!A:A,Master_Product!D:D)</f>
        <v>SUP004</v>
      </c>
      <c r="E12" t="str">
        <f ca="1">_xlfn.XLOOKUP(C12,Master_Product!A:A,Master_Product!B:B)</f>
        <v>Soy Milk</v>
      </c>
      <c r="F12" t="str">
        <f ca="1">_xlfn.XLOOKUP(C13,Master_Product!A:A,Master_Product!C:C)</f>
        <v>CAT001</v>
      </c>
      <c r="G12" t="str">
        <f ca="1">VLOOKUP(F12,Master_Category!A:B,2,FALSE)</f>
        <v>Coffee Bean</v>
      </c>
      <c r="H12" t="str">
        <f ca="1">_xlfn.XLOOKUP(D12,Master_Supplier!A:A,Master_Supplier!B:B)</f>
        <v>PT Dairy Fresh</v>
      </c>
      <c r="I12" t="str">
        <f ca="1">_xlfn.XLOOKUP(D12,Master_Supplier!A:A,Master_Supplier!E:E)</f>
        <v>Depok</v>
      </c>
      <c r="J12">
        <f ca="1">_xlfn.XLOOKUP(C12,Master_Product!A:A,Master_Product!E:E)</f>
        <v>78620</v>
      </c>
      <c r="K12">
        <v>40</v>
      </c>
      <c r="L12">
        <f ca="1">Table_StockIn[[#This Row],[buy_price]]*Table_StockIn[[#This Row],[quantity]]</f>
        <v>3144800</v>
      </c>
    </row>
    <row r="13" spans="1:12" x14ac:dyDescent="0.3">
      <c r="A13" t="str">
        <f t="shared" si="0"/>
        <v>PUR0012</v>
      </c>
      <c r="B13" s="1">
        <f t="shared" ca="1" si="1"/>
        <v>46015</v>
      </c>
      <c r="C13" t="str" cm="1">
        <f t="array" aca="1" ref="C13" ca="1">INDEX(Master_Product!$A$2:$A$101,RANDBETWEEN(1,100))</f>
        <v>PRD053</v>
      </c>
      <c r="D13" t="str">
        <f ca="1">_xlfn.XLOOKUP(C13,Master_Product!A:A,Master_Product!D:D)</f>
        <v>SUP017</v>
      </c>
      <c r="E13" t="str">
        <f ca="1">_xlfn.XLOOKUP(C13,Master_Product!A:A,Master_Product!B:B)</f>
        <v>Quae Product</v>
      </c>
      <c r="F13" t="str">
        <f ca="1">_xlfn.XLOOKUP(C14,Master_Product!A:A,Master_Product!C:C)</f>
        <v>CAT005</v>
      </c>
      <c r="G13" t="str">
        <f ca="1">VLOOKUP(F13,Master_Category!A:B,2,FALSE)</f>
        <v>Powder</v>
      </c>
      <c r="H13" t="str">
        <f ca="1">_xlfn.XLOOKUP(D13,Master_Supplier!A:A,Master_Supplier!B:B)</f>
        <v>PT Premium Beans</v>
      </c>
      <c r="I13" t="str">
        <f ca="1">_xlfn.XLOOKUP(D13,Master_Supplier!A:A,Master_Supplier!E:E)</f>
        <v>Yogyakarta</v>
      </c>
      <c r="J13">
        <f ca="1">_xlfn.XLOOKUP(C13,Master_Product!A:A,Master_Product!E:E)</f>
        <v>47143</v>
      </c>
      <c r="K13">
        <v>80</v>
      </c>
      <c r="L13">
        <f ca="1">Table_StockIn[[#This Row],[buy_price]]*Table_StockIn[[#This Row],[quantity]]</f>
        <v>3771440</v>
      </c>
    </row>
    <row r="14" spans="1:12" x14ac:dyDescent="0.3">
      <c r="A14" t="str">
        <f t="shared" si="0"/>
        <v>PUR0013</v>
      </c>
      <c r="B14" s="1">
        <f t="shared" ca="1" si="1"/>
        <v>45751</v>
      </c>
      <c r="C14" t="str" cm="1">
        <f t="array" aca="1" ref="C14" ca="1">INDEX(Master_Product!$A$2:$A$101,RANDBETWEEN(1,100))</f>
        <v>PRD017</v>
      </c>
      <c r="D14" t="str">
        <f ca="1">_xlfn.XLOOKUP(C14,Master_Product!A:A,Master_Product!D:D)</f>
        <v>SUP022</v>
      </c>
      <c r="E14" t="str">
        <f ca="1">_xlfn.XLOOKUP(C14,Master_Product!A:A,Master_Product!B:B)</f>
        <v>Chocolate Powder</v>
      </c>
      <c r="F14" t="str">
        <f ca="1">_xlfn.XLOOKUP(C15,Master_Product!A:A,Master_Product!C:C)</f>
        <v>CAT001</v>
      </c>
      <c r="G14" t="str">
        <f ca="1">VLOOKUP(F14,Master_Category!A:B,2,FALSE)</f>
        <v>Coffee Bean</v>
      </c>
      <c r="H14" t="str">
        <f ca="1">_xlfn.XLOOKUP(D14,Master_Supplier!A:A,Master_Supplier!B:B)</f>
        <v>CV Biji Nusantara</v>
      </c>
      <c r="I14" t="str">
        <f ca="1">_xlfn.XLOOKUP(D14,Master_Supplier!A:A,Master_Supplier!E:E)</f>
        <v>Yogyakarta</v>
      </c>
      <c r="J14">
        <f ca="1">_xlfn.XLOOKUP(C14,Master_Product!A:A,Master_Product!E:E)</f>
        <v>8441</v>
      </c>
      <c r="K14">
        <v>40</v>
      </c>
      <c r="L14">
        <f ca="1">Table_StockIn[[#This Row],[buy_price]]*Table_StockIn[[#This Row],[quantity]]</f>
        <v>337640</v>
      </c>
    </row>
    <row r="15" spans="1:12" x14ac:dyDescent="0.3">
      <c r="A15" t="str">
        <f t="shared" si="0"/>
        <v>PUR0014</v>
      </c>
      <c r="B15" s="1">
        <f t="shared" ca="1" si="1"/>
        <v>45683</v>
      </c>
      <c r="C15" t="str" cm="1">
        <f t="array" aca="1" ref="C15" ca="1">INDEX(Master_Product!$A$2:$A$101,RANDBETWEEN(1,100))</f>
        <v>PRD004</v>
      </c>
      <c r="D15" t="str">
        <f ca="1">_xlfn.XLOOKUP(C15,Master_Product!A:A,Master_Product!D:D)</f>
        <v>SUP021</v>
      </c>
      <c r="E15" t="str">
        <f ca="1">_xlfn.XLOOKUP(C15,Master_Product!A:A,Master_Product!B:B)</f>
        <v>Robusta Lampung</v>
      </c>
      <c r="F15" t="str">
        <f ca="1">_xlfn.XLOOKUP(C16,Master_Product!A:A,Master_Product!C:C)</f>
        <v>CAT004</v>
      </c>
      <c r="G15" t="str">
        <f ca="1">VLOOKUP(F15,Master_Category!A:B,2,FALSE)</f>
        <v>Syrup</v>
      </c>
      <c r="H15" t="str">
        <f ca="1">_xlfn.XLOOKUP(D15,Master_Supplier!A:A,Master_Supplier!B:B)</f>
        <v>PT Coffee Packaging</v>
      </c>
      <c r="I15" t="str">
        <f ca="1">_xlfn.XLOOKUP(D15,Master_Supplier!A:A,Master_Supplier!E:E)</f>
        <v>Depok</v>
      </c>
      <c r="J15">
        <f ca="1">_xlfn.XLOOKUP(C15,Master_Product!A:A,Master_Product!E:E)</f>
        <v>19996</v>
      </c>
      <c r="K15">
        <v>80</v>
      </c>
      <c r="L15">
        <f ca="1">Table_StockIn[[#This Row],[buy_price]]*Table_StockIn[[#This Row],[quantity]]</f>
        <v>1599680</v>
      </c>
    </row>
    <row r="16" spans="1:12" x14ac:dyDescent="0.3">
      <c r="A16" t="str">
        <f t="shared" si="0"/>
        <v>PUR0015</v>
      </c>
      <c r="B16" s="1">
        <f t="shared" ca="1" si="1"/>
        <v>45670</v>
      </c>
      <c r="C16" t="str" cm="1">
        <f t="array" aca="1" ref="C16" ca="1">INDEX(Master_Product!$A$2:$A$101,RANDBETWEEN(1,100))</f>
        <v>PRD014</v>
      </c>
      <c r="D16" t="str">
        <f ca="1">_xlfn.XLOOKUP(C16,Master_Product!A:A,Master_Product!D:D)</f>
        <v>SUP008</v>
      </c>
      <c r="E16" t="str">
        <f ca="1">_xlfn.XLOOKUP(C16,Master_Product!A:A,Master_Product!B:B)</f>
        <v>Vanilla Syrup</v>
      </c>
      <c r="F16" t="str">
        <f ca="1">_xlfn.XLOOKUP(C17,Master_Product!A:A,Master_Product!C:C)</f>
        <v>CAT005</v>
      </c>
      <c r="G16" t="str">
        <f ca="1">VLOOKUP(F16,Master_Category!A:B,2,FALSE)</f>
        <v>Powder</v>
      </c>
      <c r="H16" t="str">
        <f ca="1">_xlfn.XLOOKUP(D16,Master_Supplier!A:A,Master_Supplier!B:B)</f>
        <v>PT Packaging Solution</v>
      </c>
      <c r="I16" t="str">
        <f ca="1">_xlfn.XLOOKUP(D16,Master_Supplier!A:A,Master_Supplier!E:E)</f>
        <v>Yogyakarta</v>
      </c>
      <c r="J16">
        <f ca="1">_xlfn.XLOOKUP(C16,Master_Product!A:A,Master_Product!E:E)</f>
        <v>25280</v>
      </c>
      <c r="K16">
        <v>80</v>
      </c>
      <c r="L16">
        <f ca="1">Table_StockIn[[#This Row],[buy_price]]*Table_StockIn[[#This Row],[quantity]]</f>
        <v>2022400</v>
      </c>
    </row>
    <row r="17" spans="1:12" x14ac:dyDescent="0.3">
      <c r="A17" t="str">
        <f t="shared" si="0"/>
        <v>PUR0016</v>
      </c>
      <c r="B17" s="1">
        <f t="shared" ca="1" si="1"/>
        <v>45841</v>
      </c>
      <c r="C17" t="str" cm="1">
        <f t="array" aca="1" ref="C17" ca="1">INDEX(Master_Product!$A$2:$A$101,RANDBETWEEN(1,100))</f>
        <v>PRD094</v>
      </c>
      <c r="D17" t="str">
        <f ca="1">_xlfn.XLOOKUP(C17,Master_Product!A:A,Master_Product!D:D)</f>
        <v>SUP020</v>
      </c>
      <c r="E17" t="str">
        <f ca="1">_xlfn.XLOOKUP(C17,Master_Product!A:A,Master_Product!B:B)</f>
        <v>Expedita Product</v>
      </c>
      <c r="F17" t="str">
        <f ca="1">_xlfn.XLOOKUP(C18,Master_Product!A:A,Master_Product!C:C)</f>
        <v>CAT002</v>
      </c>
      <c r="G17" t="str">
        <f ca="1">VLOOKUP(F17,Master_Category!A:B,2,FALSE)</f>
        <v>Tea</v>
      </c>
      <c r="H17" t="str">
        <f ca="1">_xlfn.XLOOKUP(D17,Master_Supplier!A:A,Master_Supplier!B:B)</f>
        <v>PT Clean Solution</v>
      </c>
      <c r="I17" t="str">
        <f ca="1">_xlfn.XLOOKUP(D17,Master_Supplier!A:A,Master_Supplier!E:E)</f>
        <v>Yogyakarta</v>
      </c>
      <c r="J17">
        <f ca="1">_xlfn.XLOOKUP(C17,Master_Product!A:A,Master_Product!E:E)</f>
        <v>43177</v>
      </c>
      <c r="K17">
        <v>30</v>
      </c>
      <c r="L17">
        <f ca="1">Table_StockIn[[#This Row],[buy_price]]*Table_StockIn[[#This Row],[quantity]]</f>
        <v>1295310</v>
      </c>
    </row>
    <row r="18" spans="1:12" x14ac:dyDescent="0.3">
      <c r="A18" t="str">
        <f t="shared" si="0"/>
        <v>PUR0017</v>
      </c>
      <c r="B18" s="1">
        <f t="shared" ca="1" si="1"/>
        <v>45689</v>
      </c>
      <c r="C18" t="str" cm="1">
        <f t="array" aca="1" ref="C18" ca="1">INDEX(Master_Product!$A$2:$A$101,RANDBETWEEN(1,100))</f>
        <v>PRD081</v>
      </c>
      <c r="D18" t="str">
        <f ca="1">_xlfn.XLOOKUP(C18,Master_Product!A:A,Master_Product!D:D)</f>
        <v>SUP005</v>
      </c>
      <c r="E18" t="str">
        <f ca="1">_xlfn.XLOOKUP(C18,Master_Product!A:A,Master_Product!B:B)</f>
        <v>Rem Product</v>
      </c>
      <c r="F18" t="str">
        <f ca="1">_xlfn.XLOOKUP(C19,Master_Product!A:A,Master_Product!C:C)</f>
        <v>CAT008</v>
      </c>
      <c r="G18" t="str">
        <f ca="1">VLOOKUP(F18,Master_Category!A:B,2,FALSE)</f>
        <v>Snack</v>
      </c>
      <c r="H18" t="str">
        <f ca="1">_xlfn.XLOOKUP(D18,Master_Supplier!A:A,Master_Supplier!B:B)</f>
        <v>PT Beverage Supply</v>
      </c>
      <c r="I18" t="str">
        <f ca="1">_xlfn.XLOOKUP(D18,Master_Supplier!A:A,Master_Supplier!E:E)</f>
        <v>Depok</v>
      </c>
      <c r="J18">
        <f ca="1">_xlfn.XLOOKUP(C18,Master_Product!A:A,Master_Product!E:E)</f>
        <v>63893</v>
      </c>
      <c r="K18">
        <v>40</v>
      </c>
      <c r="L18">
        <f ca="1">Table_StockIn[[#This Row],[buy_price]]*Table_StockIn[[#This Row],[quantity]]</f>
        <v>2555720</v>
      </c>
    </row>
    <row r="19" spans="1:12" x14ac:dyDescent="0.3">
      <c r="A19" t="str">
        <f t="shared" si="0"/>
        <v>PUR0018</v>
      </c>
      <c r="B19" s="1">
        <f t="shared" ca="1" si="1"/>
        <v>45673</v>
      </c>
      <c r="C19" t="str" cm="1">
        <f t="array" aca="1" ref="C19" ca="1">INDEX(Master_Product!$A$2:$A$101,RANDBETWEEN(1,100))</f>
        <v>PRD029</v>
      </c>
      <c r="D19" t="str">
        <f ca="1">_xlfn.XLOOKUP(C19,Master_Product!A:A,Master_Product!D:D)</f>
        <v>SUP010</v>
      </c>
      <c r="E19" t="str">
        <f ca="1">_xlfn.XLOOKUP(C19,Master_Product!A:A,Master_Product!B:B)</f>
        <v>Croissant</v>
      </c>
      <c r="F19" t="str">
        <f ca="1">_xlfn.XLOOKUP(C20,Master_Product!A:A,Master_Product!C:C)</f>
        <v>CAT001</v>
      </c>
      <c r="G19" t="str">
        <f ca="1">VLOOKUP(F19,Master_Category!A:B,2,FALSE)</f>
        <v>Coffee Bean</v>
      </c>
      <c r="H19" t="str">
        <f ca="1">_xlfn.XLOOKUP(D19,Master_Supplier!A:A,Master_Supplier!B:B)</f>
        <v>PT Gula Manis</v>
      </c>
      <c r="I19" t="str">
        <f ca="1">_xlfn.XLOOKUP(D19,Master_Supplier!A:A,Master_Supplier!E:E)</f>
        <v>Malang</v>
      </c>
      <c r="J19">
        <f ca="1">_xlfn.XLOOKUP(C19,Master_Product!A:A,Master_Product!E:E)</f>
        <v>12180</v>
      </c>
      <c r="K19">
        <v>30</v>
      </c>
      <c r="L19">
        <f ca="1">Table_StockIn[[#This Row],[buy_price]]*Table_StockIn[[#This Row],[quantity]]</f>
        <v>365400</v>
      </c>
    </row>
    <row r="20" spans="1:12" x14ac:dyDescent="0.3">
      <c r="A20" t="str">
        <f t="shared" si="0"/>
        <v>PUR0019</v>
      </c>
      <c r="B20" s="1">
        <f t="shared" ca="1" si="1"/>
        <v>45665</v>
      </c>
      <c r="C20" t="str" cm="1">
        <f t="array" aca="1" ref="C20" ca="1">INDEX(Master_Product!$A$2:$A$101,RANDBETWEEN(1,100))</f>
        <v>PRD004</v>
      </c>
      <c r="D20" t="str">
        <f ca="1">_xlfn.XLOOKUP(C20,Master_Product!A:A,Master_Product!D:D)</f>
        <v>SUP021</v>
      </c>
      <c r="E20" t="str">
        <f ca="1">_xlfn.XLOOKUP(C20,Master_Product!A:A,Master_Product!B:B)</f>
        <v>Robusta Lampung</v>
      </c>
      <c r="F20" t="str">
        <f ca="1">_xlfn.XLOOKUP(C21,Master_Product!A:A,Master_Product!C:C)</f>
        <v>CAT008</v>
      </c>
      <c r="G20" t="str">
        <f ca="1">VLOOKUP(F20,Master_Category!A:B,2,FALSE)</f>
        <v>Snack</v>
      </c>
      <c r="H20" t="str">
        <f ca="1">_xlfn.XLOOKUP(D20,Master_Supplier!A:A,Master_Supplier!B:B)</f>
        <v>PT Coffee Packaging</v>
      </c>
      <c r="I20" t="str">
        <f ca="1">_xlfn.XLOOKUP(D20,Master_Supplier!A:A,Master_Supplier!E:E)</f>
        <v>Depok</v>
      </c>
      <c r="J20">
        <f ca="1">_xlfn.XLOOKUP(C20,Master_Product!A:A,Master_Product!E:E)</f>
        <v>19996</v>
      </c>
      <c r="K20">
        <v>80</v>
      </c>
      <c r="L20">
        <f ca="1">Table_StockIn[[#This Row],[buy_price]]*Table_StockIn[[#This Row],[quantity]]</f>
        <v>1599680</v>
      </c>
    </row>
    <row r="21" spans="1:12" x14ac:dyDescent="0.3">
      <c r="A21" t="str">
        <f t="shared" si="0"/>
        <v>PUR0020</v>
      </c>
      <c r="B21" s="1">
        <f t="shared" ca="1" si="1"/>
        <v>45873</v>
      </c>
      <c r="C21" t="str" cm="1">
        <f t="array" aca="1" ref="C21" ca="1">INDEX(Master_Product!$A$2:$A$101,RANDBETWEEN(1,100))</f>
        <v>PRD050</v>
      </c>
      <c r="D21" t="str">
        <f ca="1">_xlfn.XLOOKUP(C21,Master_Product!A:A,Master_Product!D:D)</f>
        <v>SUP010</v>
      </c>
      <c r="E21" t="str">
        <f ca="1">_xlfn.XLOOKUP(C21,Master_Product!A:A,Master_Product!B:B)</f>
        <v>Earum Product</v>
      </c>
      <c r="F21" t="str">
        <f ca="1">_xlfn.XLOOKUP(C22,Master_Product!A:A,Master_Product!C:C)</f>
        <v>CAT005</v>
      </c>
      <c r="G21" t="str">
        <f ca="1">VLOOKUP(F21,Master_Category!A:B,2,FALSE)</f>
        <v>Powder</v>
      </c>
      <c r="H21" t="str">
        <f ca="1">_xlfn.XLOOKUP(D21,Master_Supplier!A:A,Master_Supplier!B:B)</f>
        <v>PT Gula Manis</v>
      </c>
      <c r="I21" t="str">
        <f ca="1">_xlfn.XLOOKUP(D21,Master_Supplier!A:A,Master_Supplier!E:E)</f>
        <v>Malang</v>
      </c>
      <c r="J21">
        <f ca="1">_xlfn.XLOOKUP(C21,Master_Product!A:A,Master_Product!E:E)</f>
        <v>12456</v>
      </c>
      <c r="K21">
        <v>20</v>
      </c>
      <c r="L21">
        <f ca="1">Table_StockIn[[#This Row],[buy_price]]*Table_StockIn[[#This Row],[quantity]]</f>
        <v>249120</v>
      </c>
    </row>
    <row r="22" spans="1:12" x14ac:dyDescent="0.3">
      <c r="A22" t="str">
        <f t="shared" si="0"/>
        <v>PUR0021</v>
      </c>
      <c r="B22" s="1">
        <f t="shared" ca="1" si="1"/>
        <v>45689</v>
      </c>
      <c r="C22" t="str" cm="1">
        <f t="array" aca="1" ref="C22" ca="1">INDEX(Master_Product!$A$2:$A$101,RANDBETWEEN(1,100))</f>
        <v>PRD017</v>
      </c>
      <c r="D22" t="str">
        <f ca="1">_xlfn.XLOOKUP(C22,Master_Product!A:A,Master_Product!D:D)</f>
        <v>SUP022</v>
      </c>
      <c r="E22" t="str">
        <f ca="1">_xlfn.XLOOKUP(C22,Master_Product!A:A,Master_Product!B:B)</f>
        <v>Chocolate Powder</v>
      </c>
      <c r="F22" t="str">
        <f ca="1">_xlfn.XLOOKUP(C23,Master_Product!A:A,Master_Product!C:C)</f>
        <v>CAT009</v>
      </c>
      <c r="G22" t="str">
        <f ca="1">VLOOKUP(F22,Master_Category!A:B,2,FALSE)</f>
        <v>Machine Supply</v>
      </c>
      <c r="H22" t="str">
        <f ca="1">_xlfn.XLOOKUP(D22,Master_Supplier!A:A,Master_Supplier!B:B)</f>
        <v>CV Biji Nusantara</v>
      </c>
      <c r="I22" t="str">
        <f ca="1">_xlfn.XLOOKUP(D22,Master_Supplier!A:A,Master_Supplier!E:E)</f>
        <v>Yogyakarta</v>
      </c>
      <c r="J22">
        <f ca="1">_xlfn.XLOOKUP(C22,Master_Product!A:A,Master_Product!E:E)</f>
        <v>8441</v>
      </c>
      <c r="K22">
        <v>100</v>
      </c>
      <c r="L22">
        <f ca="1">Table_StockIn[[#This Row],[buy_price]]*Table_StockIn[[#This Row],[quantity]]</f>
        <v>844100</v>
      </c>
    </row>
    <row r="23" spans="1:12" x14ac:dyDescent="0.3">
      <c r="A23" t="str">
        <f t="shared" si="0"/>
        <v>PUR0022</v>
      </c>
      <c r="B23" s="1">
        <f t="shared" ca="1" si="1"/>
        <v>45849</v>
      </c>
      <c r="C23" t="str" cm="1">
        <f t="array" aca="1" ref="C23" ca="1">INDEX(Master_Product!$A$2:$A$101,RANDBETWEEN(1,100))</f>
        <v>PRD040</v>
      </c>
      <c r="D23" t="str">
        <f ca="1">_xlfn.XLOOKUP(C23,Master_Product!A:A,Master_Product!D:D)</f>
        <v>SUP025</v>
      </c>
      <c r="E23" t="str">
        <f ca="1">_xlfn.XLOOKUP(C23,Master_Product!A:A,Master_Product!B:B)</f>
        <v>Deserunt Product</v>
      </c>
      <c r="F23" t="str">
        <f ca="1">_xlfn.XLOOKUP(C24,Master_Product!A:A,Master_Product!C:C)</f>
        <v>CAT008</v>
      </c>
      <c r="G23" t="str">
        <f ca="1">VLOOKUP(F23,Master_Category!A:B,2,FALSE)</f>
        <v>Snack</v>
      </c>
      <c r="H23" t="str">
        <f ca="1">_xlfn.XLOOKUP(D23,Master_Supplier!A:A,Master_Supplier!B:B)</f>
        <v>PT Arabica Indonesia</v>
      </c>
      <c r="I23" t="str">
        <f ca="1">_xlfn.XLOOKUP(D23,Master_Supplier!A:A,Master_Supplier!E:E)</f>
        <v>Semarang</v>
      </c>
      <c r="J23">
        <f ca="1">_xlfn.XLOOKUP(C23,Master_Product!A:A,Master_Product!E:E)</f>
        <v>49500</v>
      </c>
      <c r="K23">
        <v>50</v>
      </c>
      <c r="L23">
        <f ca="1">Table_StockIn[[#This Row],[buy_price]]*Table_StockIn[[#This Row],[quantity]]</f>
        <v>2475000</v>
      </c>
    </row>
    <row r="24" spans="1:12" x14ac:dyDescent="0.3">
      <c r="A24" t="str">
        <f t="shared" si="0"/>
        <v>PUR0023</v>
      </c>
      <c r="B24" s="1">
        <f t="shared" ca="1" si="1"/>
        <v>45764</v>
      </c>
      <c r="C24" t="str" cm="1">
        <f t="array" aca="1" ref="C24" ca="1">INDEX(Master_Product!$A$2:$A$101,RANDBETWEEN(1,100))</f>
        <v>PRD050</v>
      </c>
      <c r="D24" t="str">
        <f ca="1">_xlfn.XLOOKUP(C24,Master_Product!A:A,Master_Product!D:D)</f>
        <v>SUP010</v>
      </c>
      <c r="E24" t="str">
        <f ca="1">_xlfn.XLOOKUP(C24,Master_Product!A:A,Master_Product!B:B)</f>
        <v>Earum Product</v>
      </c>
      <c r="F24" t="str">
        <f ca="1">_xlfn.XLOOKUP(C25,Master_Product!A:A,Master_Product!C:C)</f>
        <v>CAT005</v>
      </c>
      <c r="G24" t="str">
        <f ca="1">VLOOKUP(F24,Master_Category!A:B,2,FALSE)</f>
        <v>Powder</v>
      </c>
      <c r="H24" t="str">
        <f ca="1">_xlfn.XLOOKUP(D24,Master_Supplier!A:A,Master_Supplier!B:B)</f>
        <v>PT Gula Manis</v>
      </c>
      <c r="I24" t="str">
        <f ca="1">_xlfn.XLOOKUP(D24,Master_Supplier!A:A,Master_Supplier!E:E)</f>
        <v>Malang</v>
      </c>
      <c r="J24">
        <f ca="1">_xlfn.XLOOKUP(C24,Master_Product!A:A,Master_Product!E:E)</f>
        <v>12456</v>
      </c>
      <c r="K24">
        <v>40</v>
      </c>
      <c r="L24">
        <f ca="1">Table_StockIn[[#This Row],[buy_price]]*Table_StockIn[[#This Row],[quantity]]</f>
        <v>498240</v>
      </c>
    </row>
    <row r="25" spans="1:12" x14ac:dyDescent="0.3">
      <c r="A25" t="str">
        <f t="shared" si="0"/>
        <v>PUR0024</v>
      </c>
      <c r="B25" s="1">
        <f t="shared" ca="1" si="1"/>
        <v>45724</v>
      </c>
      <c r="C25" t="str" cm="1">
        <f t="array" aca="1" ref="C25" ca="1">INDEX(Master_Product!$A$2:$A$101,RANDBETWEEN(1,100))</f>
        <v>PRD086</v>
      </c>
      <c r="D25" t="str">
        <f ca="1">_xlfn.XLOOKUP(C25,Master_Product!A:A,Master_Product!D:D)</f>
        <v>SUP010</v>
      </c>
      <c r="E25" t="str">
        <f ca="1">_xlfn.XLOOKUP(C25,Master_Product!A:A,Master_Product!B:B)</f>
        <v>Quis Product</v>
      </c>
      <c r="F25" t="str">
        <f ca="1">_xlfn.XLOOKUP(C26,Master_Product!A:A,Master_Product!C:C)</f>
        <v>CAT004</v>
      </c>
      <c r="G25" t="str">
        <f ca="1">VLOOKUP(F25,Master_Category!A:B,2,FALSE)</f>
        <v>Syrup</v>
      </c>
      <c r="H25" t="str">
        <f ca="1">_xlfn.XLOOKUP(D25,Master_Supplier!A:A,Master_Supplier!B:B)</f>
        <v>PT Gula Manis</v>
      </c>
      <c r="I25" t="str">
        <f ca="1">_xlfn.XLOOKUP(D25,Master_Supplier!A:A,Master_Supplier!E:E)</f>
        <v>Malang</v>
      </c>
      <c r="J25">
        <f ca="1">_xlfn.XLOOKUP(C25,Master_Product!A:A,Master_Product!E:E)</f>
        <v>24142</v>
      </c>
      <c r="K25">
        <v>40</v>
      </c>
      <c r="L25">
        <f ca="1">Table_StockIn[[#This Row],[buy_price]]*Table_StockIn[[#This Row],[quantity]]</f>
        <v>965680</v>
      </c>
    </row>
    <row r="26" spans="1:12" x14ac:dyDescent="0.3">
      <c r="A26" t="str">
        <f t="shared" si="0"/>
        <v>PUR0025</v>
      </c>
      <c r="B26" s="1">
        <f t="shared" ca="1" si="1"/>
        <v>45975</v>
      </c>
      <c r="C26" t="str" cm="1">
        <f t="array" aca="1" ref="C26" ca="1">INDEX(Master_Product!$A$2:$A$101,RANDBETWEEN(1,100))</f>
        <v>PRD013</v>
      </c>
      <c r="D26" t="str">
        <f ca="1">_xlfn.XLOOKUP(C26,Master_Product!A:A,Master_Product!D:D)</f>
        <v>SUP019</v>
      </c>
      <c r="E26" t="str">
        <f ca="1">_xlfn.XLOOKUP(C26,Master_Product!A:A,Master_Product!B:B)</f>
        <v>Caramel Syrup</v>
      </c>
      <c r="F26" t="str">
        <f ca="1">_xlfn.XLOOKUP(C27,Master_Product!A:A,Master_Product!C:C)</f>
        <v>CAT009</v>
      </c>
      <c r="G26" t="str">
        <f ca="1">VLOOKUP(F26,Master_Category!A:B,2,FALSE)</f>
        <v>Machine Supply</v>
      </c>
      <c r="H26" t="str">
        <f ca="1">_xlfn.XLOOKUP(D26,Master_Supplier!A:A,Master_Supplier!B:B)</f>
        <v>PT Indo Beverage</v>
      </c>
      <c r="I26" t="str">
        <f ca="1">_xlfn.XLOOKUP(D26,Master_Supplier!A:A,Master_Supplier!E:E)</f>
        <v>Jakarta</v>
      </c>
      <c r="J26">
        <f ca="1">_xlfn.XLOOKUP(C26,Master_Product!A:A,Master_Product!E:E)</f>
        <v>45953</v>
      </c>
      <c r="K26">
        <v>40</v>
      </c>
      <c r="L26">
        <f ca="1">Table_StockIn[[#This Row],[buy_price]]*Table_StockIn[[#This Row],[quantity]]</f>
        <v>1838120</v>
      </c>
    </row>
    <row r="27" spans="1:12" x14ac:dyDescent="0.3">
      <c r="A27" t="str">
        <f t="shared" si="0"/>
        <v>PUR0026</v>
      </c>
      <c r="B27" s="1">
        <f t="shared" ca="1" si="1"/>
        <v>45697</v>
      </c>
      <c r="C27" t="str" cm="1">
        <f t="array" aca="1" ref="C27" ca="1">INDEX(Master_Product!$A$2:$A$101,RANDBETWEEN(1,100))</f>
        <v>PRD032</v>
      </c>
      <c r="D27" t="str">
        <f ca="1">_xlfn.XLOOKUP(C27,Master_Product!A:A,Master_Product!D:D)</f>
        <v>SUP008</v>
      </c>
      <c r="E27" t="str">
        <f ca="1">_xlfn.XLOOKUP(C27,Master_Product!A:A,Master_Product!B:B)</f>
        <v>Filter Paper</v>
      </c>
      <c r="F27" t="str">
        <f ca="1">_xlfn.XLOOKUP(C28,Master_Product!A:A,Master_Product!C:C)</f>
        <v>CAT001</v>
      </c>
      <c r="G27" t="str">
        <f ca="1">VLOOKUP(F27,Master_Category!A:B,2,FALSE)</f>
        <v>Coffee Bean</v>
      </c>
      <c r="H27" t="str">
        <f ca="1">_xlfn.XLOOKUP(D27,Master_Supplier!A:A,Master_Supplier!B:B)</f>
        <v>PT Packaging Solution</v>
      </c>
      <c r="I27" t="str">
        <f ca="1">_xlfn.XLOOKUP(D27,Master_Supplier!A:A,Master_Supplier!E:E)</f>
        <v>Yogyakarta</v>
      </c>
      <c r="J27">
        <f ca="1">_xlfn.XLOOKUP(C27,Master_Product!A:A,Master_Product!E:E)</f>
        <v>54834</v>
      </c>
      <c r="K27">
        <v>40</v>
      </c>
      <c r="L27">
        <f ca="1">Table_StockIn[[#This Row],[buy_price]]*Table_StockIn[[#This Row],[quantity]]</f>
        <v>2193360</v>
      </c>
    </row>
    <row r="28" spans="1:12" x14ac:dyDescent="0.3">
      <c r="A28" t="str">
        <f t="shared" si="0"/>
        <v>PUR0027</v>
      </c>
      <c r="B28" s="1">
        <f t="shared" ca="1" si="1"/>
        <v>45925</v>
      </c>
      <c r="C28" t="str" cm="1">
        <f t="array" aca="1" ref="C28" ca="1">INDEX(Master_Product!$A$2:$A$101,RANDBETWEEN(1,100))</f>
        <v>PRD003</v>
      </c>
      <c r="D28" t="str">
        <f ca="1">_xlfn.XLOOKUP(C28,Master_Product!A:A,Master_Product!D:D)</f>
        <v>SUP020</v>
      </c>
      <c r="E28" t="str">
        <f ca="1">_xlfn.XLOOKUP(C28,Master_Product!A:A,Master_Product!B:B)</f>
        <v>Arabica Toraja</v>
      </c>
      <c r="F28" t="str">
        <f ca="1">_xlfn.XLOOKUP(C29,Master_Product!A:A,Master_Product!C:C)</f>
        <v>CAT009</v>
      </c>
      <c r="G28" t="str">
        <f ca="1">VLOOKUP(F28,Master_Category!A:B,2,FALSE)</f>
        <v>Machine Supply</v>
      </c>
      <c r="H28" t="str">
        <f ca="1">_xlfn.XLOOKUP(D28,Master_Supplier!A:A,Master_Supplier!B:B)</f>
        <v>PT Clean Solution</v>
      </c>
      <c r="I28" t="str">
        <f ca="1">_xlfn.XLOOKUP(D28,Master_Supplier!A:A,Master_Supplier!E:E)</f>
        <v>Yogyakarta</v>
      </c>
      <c r="J28">
        <f ca="1">_xlfn.XLOOKUP(C28,Master_Product!A:A,Master_Product!E:E)</f>
        <v>43652</v>
      </c>
      <c r="K28">
        <v>30</v>
      </c>
      <c r="L28">
        <f ca="1">Table_StockIn[[#This Row],[buy_price]]*Table_StockIn[[#This Row],[quantity]]</f>
        <v>1309560</v>
      </c>
    </row>
    <row r="29" spans="1:12" x14ac:dyDescent="0.3">
      <c r="A29" t="str">
        <f t="shared" si="0"/>
        <v>PUR0028</v>
      </c>
      <c r="B29" s="1">
        <f t="shared" ca="1" si="1"/>
        <v>45815</v>
      </c>
      <c r="C29" t="str" cm="1">
        <f t="array" aca="1" ref="C29" ca="1">INDEX(Master_Product!$A$2:$A$101,RANDBETWEEN(1,100))</f>
        <v>PRD040</v>
      </c>
      <c r="D29" t="str">
        <f ca="1">_xlfn.XLOOKUP(C29,Master_Product!A:A,Master_Product!D:D)</f>
        <v>SUP025</v>
      </c>
      <c r="E29" t="str">
        <f ca="1">_xlfn.XLOOKUP(C29,Master_Product!A:A,Master_Product!B:B)</f>
        <v>Deserunt Product</v>
      </c>
      <c r="F29" t="str">
        <f ca="1">_xlfn.XLOOKUP(C30,Master_Product!A:A,Master_Product!C:C)</f>
        <v>CAT008</v>
      </c>
      <c r="G29" t="str">
        <f ca="1">VLOOKUP(F29,Master_Category!A:B,2,FALSE)</f>
        <v>Snack</v>
      </c>
      <c r="H29" t="str">
        <f ca="1">_xlfn.XLOOKUP(D29,Master_Supplier!A:A,Master_Supplier!B:B)</f>
        <v>PT Arabica Indonesia</v>
      </c>
      <c r="I29" t="str">
        <f ca="1">_xlfn.XLOOKUP(D29,Master_Supplier!A:A,Master_Supplier!E:E)</f>
        <v>Semarang</v>
      </c>
      <c r="J29">
        <f ca="1">_xlfn.XLOOKUP(C29,Master_Product!A:A,Master_Product!E:E)</f>
        <v>49500</v>
      </c>
      <c r="K29">
        <v>30</v>
      </c>
      <c r="L29">
        <f ca="1">Table_StockIn[[#This Row],[buy_price]]*Table_StockIn[[#This Row],[quantity]]</f>
        <v>1485000</v>
      </c>
    </row>
    <row r="30" spans="1:12" x14ac:dyDescent="0.3">
      <c r="A30" t="str">
        <f t="shared" si="0"/>
        <v>PUR0029</v>
      </c>
      <c r="B30" s="1">
        <f t="shared" ca="1" si="1"/>
        <v>45864</v>
      </c>
      <c r="C30" t="str" cm="1">
        <f t="array" aca="1" ref="C30" ca="1">INDEX(Master_Product!$A$2:$A$101,RANDBETWEEN(1,100))</f>
        <v>PRD070</v>
      </c>
      <c r="D30" t="str">
        <f ca="1">_xlfn.XLOOKUP(C30,Master_Product!A:A,Master_Product!D:D)</f>
        <v>SUP029</v>
      </c>
      <c r="E30" t="str">
        <f ca="1">_xlfn.XLOOKUP(C30,Master_Product!A:A,Master_Product!B:B)</f>
        <v>Harum Product</v>
      </c>
      <c r="F30" t="str">
        <f ca="1">_xlfn.XLOOKUP(C31,Master_Product!A:A,Master_Product!C:C)</f>
        <v>CAT005</v>
      </c>
      <c r="G30" t="str">
        <f ca="1">VLOOKUP(F30,Master_Category!A:B,2,FALSE)</f>
        <v>Powder</v>
      </c>
      <c r="H30" t="e">
        <f ca="1">_xlfn.XLOOKUP(D30,Master_Supplier!A:A,Master_Supplier!B:B)</f>
        <v>#N/A</v>
      </c>
      <c r="I30" t="e">
        <f ca="1">_xlfn.XLOOKUP(D30,Master_Supplier!A:A,Master_Supplier!E:E)</f>
        <v>#N/A</v>
      </c>
      <c r="J30">
        <f ca="1">_xlfn.XLOOKUP(C30,Master_Product!A:A,Master_Product!E:E)</f>
        <v>9947</v>
      </c>
      <c r="K30">
        <v>50</v>
      </c>
      <c r="L30">
        <f ca="1">Table_StockIn[[#This Row],[buy_price]]*Table_StockIn[[#This Row],[quantity]]</f>
        <v>497350</v>
      </c>
    </row>
    <row r="31" spans="1:12" x14ac:dyDescent="0.3">
      <c r="A31" t="str">
        <f t="shared" si="0"/>
        <v>PUR0030</v>
      </c>
      <c r="B31" s="1">
        <f t="shared" ca="1" si="1"/>
        <v>45814</v>
      </c>
      <c r="C31" t="str" cm="1">
        <f t="array" aca="1" ref="C31" ca="1">INDEX(Master_Product!$A$2:$A$101,RANDBETWEEN(1,100))</f>
        <v>PRD080</v>
      </c>
      <c r="D31" t="str">
        <f ca="1">_xlfn.XLOOKUP(C31,Master_Product!A:A,Master_Product!D:D)</f>
        <v>SUP025</v>
      </c>
      <c r="E31" t="str">
        <f ca="1">_xlfn.XLOOKUP(C31,Master_Product!A:A,Master_Product!B:B)</f>
        <v>Culpa Product</v>
      </c>
      <c r="F31" t="str">
        <f ca="1">_xlfn.XLOOKUP(C32,Master_Product!A:A,Master_Product!C:C)</f>
        <v>CAT009</v>
      </c>
      <c r="G31" t="str">
        <f ca="1">VLOOKUP(F31,Master_Category!A:B,2,FALSE)</f>
        <v>Machine Supply</v>
      </c>
      <c r="H31" t="str">
        <f ca="1">_xlfn.XLOOKUP(D31,Master_Supplier!A:A,Master_Supplier!B:B)</f>
        <v>PT Arabica Indonesia</v>
      </c>
      <c r="I31" t="str">
        <f ca="1">_xlfn.XLOOKUP(D31,Master_Supplier!A:A,Master_Supplier!E:E)</f>
        <v>Semarang</v>
      </c>
      <c r="J31">
        <f ca="1">_xlfn.XLOOKUP(C31,Master_Product!A:A,Master_Product!E:E)</f>
        <v>21341</v>
      </c>
      <c r="K31">
        <v>80</v>
      </c>
      <c r="L31">
        <f ca="1">Table_StockIn[[#This Row],[buy_price]]*Table_StockIn[[#This Row],[quantity]]</f>
        <v>1707280</v>
      </c>
    </row>
    <row r="32" spans="1:12" x14ac:dyDescent="0.3">
      <c r="A32" t="str">
        <f t="shared" si="0"/>
        <v>PUR0031</v>
      </c>
      <c r="B32" s="1">
        <f t="shared" ca="1" si="1"/>
        <v>45684</v>
      </c>
      <c r="C32" t="str" cm="1">
        <f t="array" aca="1" ref="C32" ca="1">INDEX(Master_Product!$A$2:$A$101,RANDBETWEEN(1,100))</f>
        <v>PRD031</v>
      </c>
      <c r="D32" t="str">
        <f ca="1">_xlfn.XLOOKUP(C32,Master_Product!A:A,Master_Product!D:D)</f>
        <v>SUP014</v>
      </c>
      <c r="E32" t="str">
        <f ca="1">_xlfn.XLOOKUP(C32,Master_Product!A:A,Master_Product!B:B)</f>
        <v>Coffee Machine Cleaner</v>
      </c>
      <c r="F32" t="str">
        <f ca="1">_xlfn.XLOOKUP(C33,Master_Product!A:A,Master_Product!C:C)</f>
        <v>CAT005</v>
      </c>
      <c r="G32" t="str">
        <f ca="1">VLOOKUP(F32,Master_Category!A:B,2,FALSE)</f>
        <v>Powder</v>
      </c>
      <c r="H32" t="str">
        <f ca="1">_xlfn.XLOOKUP(D32,Master_Supplier!A:A,Master_Supplier!B:B)</f>
        <v>PT Food Ingredients</v>
      </c>
      <c r="I32" t="str">
        <f ca="1">_xlfn.XLOOKUP(D32,Master_Supplier!A:A,Master_Supplier!E:E)</f>
        <v>Bandung</v>
      </c>
      <c r="J32">
        <f ca="1">_xlfn.XLOOKUP(C32,Master_Product!A:A,Master_Product!E:E)</f>
        <v>6013</v>
      </c>
      <c r="K32">
        <v>30</v>
      </c>
      <c r="L32">
        <f ca="1">Table_StockIn[[#This Row],[buy_price]]*Table_StockIn[[#This Row],[quantity]]</f>
        <v>180390</v>
      </c>
    </row>
    <row r="33" spans="1:12" x14ac:dyDescent="0.3">
      <c r="A33" t="str">
        <f t="shared" si="0"/>
        <v>PUR0032</v>
      </c>
      <c r="B33" s="1">
        <f t="shared" ca="1" si="1"/>
        <v>45801</v>
      </c>
      <c r="C33" t="str" cm="1">
        <f t="array" aca="1" ref="C33" ca="1">INDEX(Master_Product!$A$2:$A$101,RANDBETWEEN(1,100))</f>
        <v>PRD077</v>
      </c>
      <c r="D33" t="str">
        <f ca="1">_xlfn.XLOOKUP(C33,Master_Product!A:A,Master_Product!D:D)</f>
        <v>SUP026</v>
      </c>
      <c r="E33" t="str">
        <f ca="1">_xlfn.XLOOKUP(C33,Master_Product!A:A,Master_Product!B:B)</f>
        <v>Possimus Product</v>
      </c>
      <c r="F33" t="str">
        <f ca="1">_xlfn.XLOOKUP(C34,Master_Product!A:A,Master_Product!C:C)</f>
        <v>CAT008</v>
      </c>
      <c r="G33" t="str">
        <f ca="1">VLOOKUP(F33,Master_Category!A:B,2,FALSE)</f>
        <v>Snack</v>
      </c>
      <c r="H33" t="str">
        <f ca="1">_xlfn.XLOOKUP(D33,Master_Supplier!A:A,Master_Supplier!B:B)</f>
        <v>PT Robusta Indonesia</v>
      </c>
      <c r="I33" t="str">
        <f ca="1">_xlfn.XLOOKUP(D33,Master_Supplier!A:A,Master_Supplier!E:E)</f>
        <v>Malang</v>
      </c>
      <c r="J33">
        <f ca="1">_xlfn.XLOOKUP(C33,Master_Product!A:A,Master_Product!E:E)</f>
        <v>26241</v>
      </c>
      <c r="K33">
        <v>50</v>
      </c>
      <c r="L33">
        <f ca="1">Table_StockIn[[#This Row],[buy_price]]*Table_StockIn[[#This Row],[quantity]]</f>
        <v>1312050</v>
      </c>
    </row>
    <row r="34" spans="1:12" x14ac:dyDescent="0.3">
      <c r="A34" t="str">
        <f t="shared" si="0"/>
        <v>PUR0033</v>
      </c>
      <c r="B34" s="1">
        <f t="shared" ca="1" si="1"/>
        <v>45911</v>
      </c>
      <c r="C34" t="str" cm="1">
        <f t="array" aca="1" ref="C34" ca="1">INDEX(Master_Product!$A$2:$A$101,RANDBETWEEN(1,100))</f>
        <v>PRD029</v>
      </c>
      <c r="D34" t="str">
        <f ca="1">_xlfn.XLOOKUP(C34,Master_Product!A:A,Master_Product!D:D)</f>
        <v>SUP010</v>
      </c>
      <c r="E34" t="str">
        <f ca="1">_xlfn.XLOOKUP(C34,Master_Product!A:A,Master_Product!B:B)</f>
        <v>Croissant</v>
      </c>
      <c r="F34" t="str">
        <f ca="1">_xlfn.XLOOKUP(C35,Master_Product!A:A,Master_Product!C:C)</f>
        <v>CAT002</v>
      </c>
      <c r="G34" t="str">
        <f ca="1">VLOOKUP(F34,Master_Category!A:B,2,FALSE)</f>
        <v>Tea</v>
      </c>
      <c r="H34" t="str">
        <f ca="1">_xlfn.XLOOKUP(D34,Master_Supplier!A:A,Master_Supplier!B:B)</f>
        <v>PT Gula Manis</v>
      </c>
      <c r="I34" t="str">
        <f ca="1">_xlfn.XLOOKUP(D34,Master_Supplier!A:A,Master_Supplier!E:E)</f>
        <v>Malang</v>
      </c>
      <c r="J34">
        <f ca="1">_xlfn.XLOOKUP(C34,Master_Product!A:A,Master_Product!E:E)</f>
        <v>12180</v>
      </c>
      <c r="K34">
        <v>50</v>
      </c>
      <c r="L34">
        <f ca="1">Table_StockIn[[#This Row],[buy_price]]*Table_StockIn[[#This Row],[quantity]]</f>
        <v>609000</v>
      </c>
    </row>
    <row r="35" spans="1:12" x14ac:dyDescent="0.3">
      <c r="A35" t="str">
        <f t="shared" si="0"/>
        <v>PUR0034</v>
      </c>
      <c r="B35" s="1">
        <f t="shared" ca="1" si="1"/>
        <v>45983</v>
      </c>
      <c r="C35" t="str" cm="1">
        <f t="array" aca="1" ref="C35" ca="1">INDEX(Master_Product!$A$2:$A$101,RANDBETWEEN(1,100))</f>
        <v>PRD007</v>
      </c>
      <c r="D35" t="str">
        <f ca="1">_xlfn.XLOOKUP(C35,Master_Product!A:A,Master_Product!D:D)</f>
        <v>SUP022</v>
      </c>
      <c r="E35" t="str">
        <f ca="1">_xlfn.XLOOKUP(C35,Master_Product!A:A,Master_Product!B:B)</f>
        <v>Earl Grey</v>
      </c>
      <c r="F35" t="str">
        <f ca="1">_xlfn.XLOOKUP(C36,Master_Product!A:A,Master_Product!C:C)</f>
        <v>CAT005</v>
      </c>
      <c r="G35" t="str">
        <f ca="1">VLOOKUP(F35,Master_Category!A:B,2,FALSE)</f>
        <v>Powder</v>
      </c>
      <c r="H35" t="str">
        <f ca="1">_xlfn.XLOOKUP(D35,Master_Supplier!A:A,Master_Supplier!B:B)</f>
        <v>CV Biji Nusantara</v>
      </c>
      <c r="I35" t="str">
        <f ca="1">_xlfn.XLOOKUP(D35,Master_Supplier!A:A,Master_Supplier!E:E)</f>
        <v>Yogyakarta</v>
      </c>
      <c r="J35">
        <f ca="1">_xlfn.XLOOKUP(C35,Master_Product!A:A,Master_Product!E:E)</f>
        <v>45966</v>
      </c>
      <c r="K35">
        <v>80</v>
      </c>
      <c r="L35">
        <f ca="1">Table_StockIn[[#This Row],[buy_price]]*Table_StockIn[[#This Row],[quantity]]</f>
        <v>3677280</v>
      </c>
    </row>
    <row r="36" spans="1:12" x14ac:dyDescent="0.3">
      <c r="A36" t="str">
        <f t="shared" si="0"/>
        <v>PUR0035</v>
      </c>
      <c r="B36" s="1">
        <f t="shared" ca="1" si="1"/>
        <v>45899</v>
      </c>
      <c r="C36" t="str" cm="1">
        <f t="array" aca="1" ref="C36" ca="1">INDEX(Master_Product!$A$2:$A$101,RANDBETWEEN(1,100))</f>
        <v>PRD042</v>
      </c>
      <c r="D36" t="str">
        <f ca="1">_xlfn.XLOOKUP(C36,Master_Product!A:A,Master_Product!D:D)</f>
        <v>SUP027</v>
      </c>
      <c r="E36" t="str">
        <f ca="1">_xlfn.XLOOKUP(C36,Master_Product!A:A,Master_Product!B:B)</f>
        <v>Ipsam Product</v>
      </c>
      <c r="F36" t="str">
        <f ca="1">_xlfn.XLOOKUP(C37,Master_Product!A:A,Master_Product!C:C)</f>
        <v>CAT004</v>
      </c>
      <c r="G36" t="str">
        <f ca="1">VLOOKUP(F36,Master_Category!A:B,2,FALSE)</f>
        <v>Syrup</v>
      </c>
      <c r="H36" t="str">
        <f ca="1">_xlfn.XLOOKUP(D36,Master_Supplier!A:A,Master_Supplier!B:B)</f>
        <v>CV Premium Supplier</v>
      </c>
      <c r="I36" t="str">
        <f ca="1">_xlfn.XLOOKUP(D36,Master_Supplier!A:A,Master_Supplier!E:E)</f>
        <v>Bekasi</v>
      </c>
      <c r="J36">
        <f ca="1">_xlfn.XLOOKUP(C36,Master_Product!A:A,Master_Product!E:E)</f>
        <v>50793</v>
      </c>
      <c r="K36">
        <v>40</v>
      </c>
      <c r="L36">
        <f ca="1">Table_StockIn[[#This Row],[buy_price]]*Table_StockIn[[#This Row],[quantity]]</f>
        <v>2031720</v>
      </c>
    </row>
    <row r="37" spans="1:12" x14ac:dyDescent="0.3">
      <c r="A37" t="str">
        <f t="shared" si="0"/>
        <v>PUR0036</v>
      </c>
      <c r="B37" s="1">
        <f t="shared" ca="1" si="1"/>
        <v>45997</v>
      </c>
      <c r="C37" t="str" cm="1">
        <f t="array" aca="1" ref="C37" ca="1">INDEX(Master_Product!$A$2:$A$101,RANDBETWEEN(1,100))</f>
        <v>PRD066</v>
      </c>
      <c r="D37" t="str">
        <f ca="1">_xlfn.XLOOKUP(C37,Master_Product!A:A,Master_Product!D:D)</f>
        <v>SUP010</v>
      </c>
      <c r="E37" t="str">
        <f ca="1">_xlfn.XLOOKUP(C37,Master_Product!A:A,Master_Product!B:B)</f>
        <v>Aliquam Product</v>
      </c>
      <c r="F37" t="str">
        <f ca="1">_xlfn.XLOOKUP(C38,Master_Product!A:A,Master_Product!C:C)</f>
        <v>CAT003</v>
      </c>
      <c r="G37" t="str">
        <f ca="1">VLOOKUP(F37,Master_Category!A:B,2,FALSE)</f>
        <v>Milk</v>
      </c>
      <c r="H37" t="str">
        <f ca="1">_xlfn.XLOOKUP(D37,Master_Supplier!A:A,Master_Supplier!B:B)</f>
        <v>PT Gula Manis</v>
      </c>
      <c r="I37" t="str">
        <f ca="1">_xlfn.XLOOKUP(D37,Master_Supplier!A:A,Master_Supplier!E:E)</f>
        <v>Malang</v>
      </c>
      <c r="J37">
        <f ca="1">_xlfn.XLOOKUP(C37,Master_Product!A:A,Master_Product!E:E)</f>
        <v>52425</v>
      </c>
      <c r="K37">
        <v>50</v>
      </c>
      <c r="L37">
        <f ca="1">Table_StockIn[[#This Row],[buy_price]]*Table_StockIn[[#This Row],[quantity]]</f>
        <v>2621250</v>
      </c>
    </row>
    <row r="38" spans="1:12" x14ac:dyDescent="0.3">
      <c r="A38" t="str">
        <f t="shared" si="0"/>
        <v>PUR0037</v>
      </c>
      <c r="B38" s="1">
        <f t="shared" ca="1" si="1"/>
        <v>45932</v>
      </c>
      <c r="C38" t="str" cm="1">
        <f t="array" aca="1" ref="C38" ca="1">INDEX(Master_Product!$A$2:$A$101,RANDBETWEEN(1,100))</f>
        <v>PRD010</v>
      </c>
      <c r="D38" t="str">
        <f ca="1">_xlfn.XLOOKUP(C38,Master_Product!A:A,Master_Product!D:D)</f>
        <v>SUP019</v>
      </c>
      <c r="E38" t="str">
        <f ca="1">_xlfn.XLOOKUP(C38,Master_Product!A:A,Master_Product!B:B)</f>
        <v>Oat Milk</v>
      </c>
      <c r="F38" t="str">
        <f ca="1">_xlfn.XLOOKUP(C39,Master_Product!A:A,Master_Product!C:C)</f>
        <v>CAT009</v>
      </c>
      <c r="G38" t="str">
        <f ca="1">VLOOKUP(F38,Master_Category!A:B,2,FALSE)</f>
        <v>Machine Supply</v>
      </c>
      <c r="H38" t="str">
        <f ca="1">_xlfn.XLOOKUP(D38,Master_Supplier!A:A,Master_Supplier!B:B)</f>
        <v>PT Indo Beverage</v>
      </c>
      <c r="I38" t="str">
        <f ca="1">_xlfn.XLOOKUP(D38,Master_Supplier!A:A,Master_Supplier!E:E)</f>
        <v>Jakarta</v>
      </c>
      <c r="J38">
        <f ca="1">_xlfn.XLOOKUP(C38,Master_Product!A:A,Master_Product!E:E)</f>
        <v>22054</v>
      </c>
      <c r="K38">
        <v>80</v>
      </c>
      <c r="L38">
        <f ca="1">Table_StockIn[[#This Row],[buy_price]]*Table_StockIn[[#This Row],[quantity]]</f>
        <v>1764320</v>
      </c>
    </row>
    <row r="39" spans="1:12" x14ac:dyDescent="0.3">
      <c r="A39" t="str">
        <f t="shared" si="0"/>
        <v>PUR0038</v>
      </c>
      <c r="B39" s="1">
        <f t="shared" ca="1" si="1"/>
        <v>45945</v>
      </c>
      <c r="C39" t="str" cm="1">
        <f t="array" aca="1" ref="C39" ca="1">INDEX(Master_Product!$A$2:$A$101,RANDBETWEEN(1,100))</f>
        <v>PRD031</v>
      </c>
      <c r="D39" t="str">
        <f ca="1">_xlfn.XLOOKUP(C39,Master_Product!A:A,Master_Product!D:D)</f>
        <v>SUP014</v>
      </c>
      <c r="E39" t="str">
        <f ca="1">_xlfn.XLOOKUP(C39,Master_Product!A:A,Master_Product!B:B)</f>
        <v>Coffee Machine Cleaner</v>
      </c>
      <c r="F39" t="str">
        <f ca="1">_xlfn.XLOOKUP(C40,Master_Product!A:A,Master_Product!C:C)</f>
        <v>CAT007</v>
      </c>
      <c r="G39" t="str">
        <f ca="1">VLOOKUP(F39,Master_Category!A:B,2,FALSE)</f>
        <v>Cup &amp; Packaging</v>
      </c>
      <c r="H39" t="str">
        <f ca="1">_xlfn.XLOOKUP(D39,Master_Supplier!A:A,Master_Supplier!B:B)</f>
        <v>PT Food Ingredients</v>
      </c>
      <c r="I39" t="str">
        <f ca="1">_xlfn.XLOOKUP(D39,Master_Supplier!A:A,Master_Supplier!E:E)</f>
        <v>Bandung</v>
      </c>
      <c r="J39">
        <f ca="1">_xlfn.XLOOKUP(C39,Master_Product!A:A,Master_Product!E:E)</f>
        <v>6013</v>
      </c>
      <c r="K39">
        <v>30</v>
      </c>
      <c r="L39">
        <f ca="1">Table_StockIn[[#This Row],[buy_price]]*Table_StockIn[[#This Row],[quantity]]</f>
        <v>180390</v>
      </c>
    </row>
    <row r="40" spans="1:12" x14ac:dyDescent="0.3">
      <c r="A40" t="str">
        <f t="shared" si="0"/>
        <v>PUR0039</v>
      </c>
      <c r="B40" s="1">
        <f t="shared" ca="1" si="1"/>
        <v>45999</v>
      </c>
      <c r="C40" t="str" cm="1">
        <f t="array" aca="1" ref="C40" ca="1">INDEX(Master_Product!$A$2:$A$101,RANDBETWEEN(1,100))</f>
        <v>PRD026</v>
      </c>
      <c r="D40" t="str">
        <f ca="1">_xlfn.XLOOKUP(C40,Master_Product!A:A,Master_Product!D:D)</f>
        <v>SUP025</v>
      </c>
      <c r="E40" t="str">
        <f ca="1">_xlfn.XLOOKUP(C40,Master_Product!A:A,Master_Product!B:B)</f>
        <v>Plastic Lid</v>
      </c>
      <c r="F40" t="str">
        <f ca="1">_xlfn.XLOOKUP(C41,Master_Product!A:A,Master_Product!C:C)</f>
        <v>CAT005</v>
      </c>
      <c r="G40" t="str">
        <f ca="1">VLOOKUP(F40,Master_Category!A:B,2,FALSE)</f>
        <v>Powder</v>
      </c>
      <c r="H40" t="str">
        <f ca="1">_xlfn.XLOOKUP(D40,Master_Supplier!A:A,Master_Supplier!B:B)</f>
        <v>PT Arabica Indonesia</v>
      </c>
      <c r="I40" t="str">
        <f ca="1">_xlfn.XLOOKUP(D40,Master_Supplier!A:A,Master_Supplier!E:E)</f>
        <v>Semarang</v>
      </c>
      <c r="J40">
        <f ca="1">_xlfn.XLOOKUP(C40,Master_Product!A:A,Master_Product!E:E)</f>
        <v>59287</v>
      </c>
      <c r="K40">
        <v>80</v>
      </c>
      <c r="L40">
        <f ca="1">Table_StockIn[[#This Row],[buy_price]]*Table_StockIn[[#This Row],[quantity]]</f>
        <v>4742960</v>
      </c>
    </row>
    <row r="41" spans="1:12" x14ac:dyDescent="0.3">
      <c r="A41" t="str">
        <f t="shared" si="0"/>
        <v>PUR0040</v>
      </c>
      <c r="B41" s="1">
        <f t="shared" ca="1" si="1"/>
        <v>45988</v>
      </c>
      <c r="C41" t="str" cm="1">
        <f t="array" aca="1" ref="C41" ca="1">INDEX(Master_Product!$A$2:$A$101,RANDBETWEEN(1,100))</f>
        <v>PRD049</v>
      </c>
      <c r="D41" t="str">
        <f ca="1">_xlfn.XLOOKUP(C41,Master_Product!A:A,Master_Product!D:D)</f>
        <v>SUP015</v>
      </c>
      <c r="E41" t="str">
        <f ca="1">_xlfn.XLOOKUP(C41,Master_Product!A:A,Master_Product!B:B)</f>
        <v>Deleniti Product</v>
      </c>
      <c r="F41" t="str">
        <f ca="1">_xlfn.XLOOKUP(C42,Master_Product!A:A,Master_Product!C:C)</f>
        <v>CAT004</v>
      </c>
      <c r="G41" t="str">
        <f ca="1">VLOOKUP(F41,Master_Category!A:B,2,FALSE)</f>
        <v>Syrup</v>
      </c>
      <c r="H41" t="str">
        <f ca="1">_xlfn.XLOOKUP(D41,Master_Supplier!A:A,Master_Supplier!B:B)</f>
        <v>CV Kopi Indonesia</v>
      </c>
      <c r="I41" t="str">
        <f ca="1">_xlfn.XLOOKUP(D41,Master_Supplier!A:A,Master_Supplier!E:E)</f>
        <v>Depok</v>
      </c>
      <c r="J41">
        <f ca="1">_xlfn.XLOOKUP(C41,Master_Product!A:A,Master_Product!E:E)</f>
        <v>71497</v>
      </c>
      <c r="K41">
        <v>40</v>
      </c>
      <c r="L41">
        <f ca="1">Table_StockIn[[#This Row],[buy_price]]*Table_StockIn[[#This Row],[quantity]]</f>
        <v>2859880</v>
      </c>
    </row>
    <row r="42" spans="1:12" x14ac:dyDescent="0.3">
      <c r="A42" t="str">
        <f t="shared" si="0"/>
        <v>PUR0041</v>
      </c>
      <c r="B42" s="1">
        <f t="shared" ca="1" si="1"/>
        <v>45723</v>
      </c>
      <c r="C42" t="str" cm="1">
        <f t="array" aca="1" ref="C42" ca="1">INDEX(Master_Product!$A$2:$A$101,RANDBETWEEN(1,100))</f>
        <v>PRD088</v>
      </c>
      <c r="D42" t="str">
        <f ca="1">_xlfn.XLOOKUP(C42,Master_Product!A:A,Master_Product!D:D)</f>
        <v>SUP007</v>
      </c>
      <c r="E42" t="str">
        <f ca="1">_xlfn.XLOOKUP(C42,Master_Product!A:A,Master_Product!B:B)</f>
        <v>Nulla Product</v>
      </c>
      <c r="F42" t="str">
        <f ca="1">_xlfn.XLOOKUP(C43,Master_Product!A:A,Master_Product!C:C)</f>
        <v>CAT008</v>
      </c>
      <c r="G42" t="str">
        <f ca="1">VLOOKUP(F42,Master_Category!A:B,2,FALSE)</f>
        <v>Snack</v>
      </c>
      <c r="H42" t="e">
        <f ca="1">_xlfn.XLOOKUP(D42,Master_Supplier!A:A,Master_Supplier!B:B)</f>
        <v>#N/A</v>
      </c>
      <c r="I42" t="e">
        <f ca="1">_xlfn.XLOOKUP(D42,Master_Supplier!A:A,Master_Supplier!E:E)</f>
        <v>#N/A</v>
      </c>
      <c r="J42">
        <f ca="1">_xlfn.XLOOKUP(C42,Master_Product!A:A,Master_Product!E:E)</f>
        <v>15384</v>
      </c>
      <c r="K42">
        <v>100</v>
      </c>
      <c r="L42">
        <f ca="1">Table_StockIn[[#This Row],[buy_price]]*Table_StockIn[[#This Row],[quantity]]</f>
        <v>1538400</v>
      </c>
    </row>
    <row r="43" spans="1:12" x14ac:dyDescent="0.3">
      <c r="A43" t="str">
        <f t="shared" si="0"/>
        <v>PUR0042</v>
      </c>
      <c r="B43" s="1">
        <f t="shared" ca="1" si="1"/>
        <v>45838</v>
      </c>
      <c r="C43" t="str" cm="1">
        <f t="array" aca="1" ref="C43" ca="1">INDEX(Master_Product!$A$2:$A$101,RANDBETWEEN(1,100))</f>
        <v>PRD054</v>
      </c>
      <c r="D43" t="str">
        <f ca="1">_xlfn.XLOOKUP(C43,Master_Product!A:A,Master_Product!D:D)</f>
        <v>SUP029</v>
      </c>
      <c r="E43" t="str">
        <f ca="1">_xlfn.XLOOKUP(C43,Master_Product!A:A,Master_Product!B:B)</f>
        <v>Ullam Product</v>
      </c>
      <c r="F43" t="str">
        <f ca="1">_xlfn.XLOOKUP(C44,Master_Product!A:A,Master_Product!C:C)</f>
        <v>CAT003</v>
      </c>
      <c r="G43" t="str">
        <f ca="1">VLOOKUP(F43,Master_Category!A:B,2,FALSE)</f>
        <v>Milk</v>
      </c>
      <c r="H43" t="e">
        <f ca="1">_xlfn.XLOOKUP(D43,Master_Supplier!A:A,Master_Supplier!B:B)</f>
        <v>#N/A</v>
      </c>
      <c r="I43" t="e">
        <f ca="1">_xlfn.XLOOKUP(D43,Master_Supplier!A:A,Master_Supplier!E:E)</f>
        <v>#N/A</v>
      </c>
      <c r="J43">
        <f ca="1">_xlfn.XLOOKUP(C43,Master_Product!A:A,Master_Product!E:E)</f>
        <v>64050</v>
      </c>
      <c r="K43">
        <v>40</v>
      </c>
      <c r="L43">
        <f ca="1">Table_StockIn[[#This Row],[buy_price]]*Table_StockIn[[#This Row],[quantity]]</f>
        <v>2562000</v>
      </c>
    </row>
    <row r="44" spans="1:12" x14ac:dyDescent="0.3">
      <c r="A44" t="str">
        <f t="shared" si="0"/>
        <v>PUR0043</v>
      </c>
      <c r="B44" s="1">
        <f t="shared" ca="1" si="1"/>
        <v>45967</v>
      </c>
      <c r="C44" t="str" cm="1">
        <f t="array" aca="1" ref="C44" ca="1">INDEX(Master_Product!$A$2:$A$101,RANDBETWEEN(1,100))</f>
        <v>PRD063</v>
      </c>
      <c r="D44" t="str">
        <f ca="1">_xlfn.XLOOKUP(C44,Master_Product!A:A,Master_Product!D:D)</f>
        <v>SUP003</v>
      </c>
      <c r="E44" t="str">
        <f ca="1">_xlfn.XLOOKUP(C44,Master_Product!A:A,Master_Product!B:B)</f>
        <v>Doloremque Product</v>
      </c>
      <c r="F44" t="str">
        <f ca="1">_xlfn.XLOOKUP(C45,Master_Product!A:A,Master_Product!C:C)</f>
        <v>CAT006</v>
      </c>
      <c r="G44" t="str">
        <f ca="1">VLOOKUP(F44,Master_Category!A:B,2,FALSE)</f>
        <v>Topping</v>
      </c>
      <c r="H44" t="str">
        <f ca="1">_xlfn.XLOOKUP(D44,Master_Supplier!A:A,Master_Supplier!B:B)</f>
        <v>CV Barista Indonesia</v>
      </c>
      <c r="I44" t="str">
        <f ca="1">_xlfn.XLOOKUP(D44,Master_Supplier!A:A,Master_Supplier!E:E)</f>
        <v>Bekasi</v>
      </c>
      <c r="J44">
        <f ca="1">_xlfn.XLOOKUP(C44,Master_Product!A:A,Master_Product!E:E)</f>
        <v>21901</v>
      </c>
      <c r="K44">
        <v>50</v>
      </c>
      <c r="L44">
        <f ca="1">Table_StockIn[[#This Row],[buy_price]]*Table_StockIn[[#This Row],[quantity]]</f>
        <v>1095050</v>
      </c>
    </row>
    <row r="45" spans="1:12" x14ac:dyDescent="0.3">
      <c r="A45" t="str">
        <f t="shared" si="0"/>
        <v>PUR0044</v>
      </c>
      <c r="B45" s="1">
        <f t="shared" ca="1" si="1"/>
        <v>45838</v>
      </c>
      <c r="C45" t="str" cm="1">
        <f t="array" aca="1" ref="C45" ca="1">INDEX(Master_Product!$A$2:$A$101,RANDBETWEEN(1,100))</f>
        <v>PRD044</v>
      </c>
      <c r="D45" t="str">
        <f ca="1">_xlfn.XLOOKUP(C45,Master_Product!A:A,Master_Product!D:D)</f>
        <v>SUP021</v>
      </c>
      <c r="E45" t="str">
        <f ca="1">_xlfn.XLOOKUP(C45,Master_Product!A:A,Master_Product!B:B)</f>
        <v>Sit Product</v>
      </c>
      <c r="F45" t="str">
        <f ca="1">_xlfn.XLOOKUP(C46,Master_Product!A:A,Master_Product!C:C)</f>
        <v>CAT001</v>
      </c>
      <c r="G45" t="str">
        <f ca="1">VLOOKUP(F45,Master_Category!A:B,2,FALSE)</f>
        <v>Coffee Bean</v>
      </c>
      <c r="H45" t="str">
        <f ca="1">_xlfn.XLOOKUP(D45,Master_Supplier!A:A,Master_Supplier!B:B)</f>
        <v>PT Coffee Packaging</v>
      </c>
      <c r="I45" t="str">
        <f ca="1">_xlfn.XLOOKUP(D45,Master_Supplier!A:A,Master_Supplier!E:E)</f>
        <v>Depok</v>
      </c>
      <c r="J45">
        <f ca="1">_xlfn.XLOOKUP(C45,Master_Product!A:A,Master_Product!E:E)</f>
        <v>25036</v>
      </c>
      <c r="K45">
        <v>30</v>
      </c>
      <c r="L45">
        <f ca="1">Table_StockIn[[#This Row],[buy_price]]*Table_StockIn[[#This Row],[quantity]]</f>
        <v>751080</v>
      </c>
    </row>
    <row r="46" spans="1:12" x14ac:dyDescent="0.3">
      <c r="A46" t="str">
        <f t="shared" si="0"/>
        <v>PUR0045</v>
      </c>
      <c r="B46" s="1">
        <f t="shared" ca="1" si="1"/>
        <v>45742</v>
      </c>
      <c r="C46" t="str" cm="1">
        <f t="array" aca="1" ref="C46" ca="1">INDEX(Master_Product!$A$2:$A$101,RANDBETWEEN(1,100))</f>
        <v>PRD005</v>
      </c>
      <c r="D46" t="str">
        <f ca="1">_xlfn.XLOOKUP(C46,Master_Product!A:A,Master_Product!D:D)</f>
        <v>SUP029</v>
      </c>
      <c r="E46" t="str">
        <f ca="1">_xlfn.XLOOKUP(C46,Master_Product!A:A,Master_Product!B:B)</f>
        <v>House Blend</v>
      </c>
      <c r="F46" t="str">
        <f ca="1">_xlfn.XLOOKUP(C47,Master_Product!A:A,Master_Product!C:C)</f>
        <v>CAT004</v>
      </c>
      <c r="G46" t="str">
        <f ca="1">VLOOKUP(F46,Master_Category!A:B,2,FALSE)</f>
        <v>Syrup</v>
      </c>
      <c r="H46" t="e">
        <f ca="1">_xlfn.XLOOKUP(D46,Master_Supplier!A:A,Master_Supplier!B:B)</f>
        <v>#N/A</v>
      </c>
      <c r="I46" t="e">
        <f ca="1">_xlfn.XLOOKUP(D46,Master_Supplier!A:A,Master_Supplier!E:E)</f>
        <v>#N/A</v>
      </c>
      <c r="J46">
        <f ca="1">_xlfn.XLOOKUP(C46,Master_Product!A:A,Master_Product!E:E)</f>
        <v>33183</v>
      </c>
      <c r="K46">
        <v>40</v>
      </c>
      <c r="L46">
        <f ca="1">Table_StockIn[[#This Row],[buy_price]]*Table_StockIn[[#This Row],[quantity]]</f>
        <v>1327320</v>
      </c>
    </row>
    <row r="47" spans="1:12" x14ac:dyDescent="0.3">
      <c r="A47" t="str">
        <f t="shared" si="0"/>
        <v>PUR0046</v>
      </c>
      <c r="B47" s="1">
        <f t="shared" ca="1" si="1"/>
        <v>45951</v>
      </c>
      <c r="C47" t="str" cm="1">
        <f t="array" aca="1" ref="C47" ca="1">INDEX(Master_Product!$A$2:$A$101,RANDBETWEEN(1,100))</f>
        <v>PRD045</v>
      </c>
      <c r="D47" t="str">
        <f ca="1">_xlfn.XLOOKUP(C47,Master_Product!A:A,Master_Product!D:D)</f>
        <v>SUP019</v>
      </c>
      <c r="E47" t="str">
        <f ca="1">_xlfn.XLOOKUP(C47,Master_Product!A:A,Master_Product!B:B)</f>
        <v>Asperiores Product</v>
      </c>
      <c r="F47" t="str">
        <f ca="1">_xlfn.XLOOKUP(C48,Master_Product!A:A,Master_Product!C:C)</f>
        <v>CAT005</v>
      </c>
      <c r="G47" t="str">
        <f ca="1">VLOOKUP(F47,Master_Category!A:B,2,FALSE)</f>
        <v>Powder</v>
      </c>
      <c r="H47" t="str">
        <f ca="1">_xlfn.XLOOKUP(D47,Master_Supplier!A:A,Master_Supplier!B:B)</f>
        <v>PT Indo Beverage</v>
      </c>
      <c r="I47" t="str">
        <f ca="1">_xlfn.XLOOKUP(D47,Master_Supplier!A:A,Master_Supplier!E:E)</f>
        <v>Jakarta</v>
      </c>
      <c r="J47">
        <f ca="1">_xlfn.XLOOKUP(C47,Master_Product!A:A,Master_Product!E:E)</f>
        <v>69764</v>
      </c>
      <c r="K47">
        <v>100</v>
      </c>
      <c r="L47">
        <f ca="1">Table_StockIn[[#This Row],[buy_price]]*Table_StockIn[[#This Row],[quantity]]</f>
        <v>6976400</v>
      </c>
    </row>
    <row r="48" spans="1:12" x14ac:dyDescent="0.3">
      <c r="A48" t="str">
        <f t="shared" si="0"/>
        <v>PUR0047</v>
      </c>
      <c r="B48" s="1">
        <f t="shared" ca="1" si="1"/>
        <v>45837</v>
      </c>
      <c r="C48" t="str" cm="1">
        <f t="array" aca="1" ref="C48" ca="1">INDEX(Master_Product!$A$2:$A$101,RANDBETWEEN(1,100))</f>
        <v>PRD085</v>
      </c>
      <c r="D48" t="str">
        <f ca="1">_xlfn.XLOOKUP(C48,Master_Product!A:A,Master_Product!D:D)</f>
        <v>SUP030</v>
      </c>
      <c r="E48" t="str">
        <f ca="1">_xlfn.XLOOKUP(C48,Master_Product!A:A,Master_Product!B:B)</f>
        <v>Maiores Product</v>
      </c>
      <c r="F48" t="str">
        <f ca="1">_xlfn.XLOOKUP(C49,Master_Product!A:A,Master_Product!C:C)</f>
        <v>CAT004</v>
      </c>
      <c r="G48" t="str">
        <f ca="1">VLOOKUP(F48,Master_Category!A:B,2,FALSE)</f>
        <v>Syrup</v>
      </c>
      <c r="H48" t="str">
        <f ca="1">_xlfn.XLOOKUP(D48,Master_Supplier!A:A,Master_Supplier!B:B)</f>
        <v>PT Smart Packaging</v>
      </c>
      <c r="I48" t="str">
        <f ca="1">_xlfn.XLOOKUP(D48,Master_Supplier!A:A,Master_Supplier!E:E)</f>
        <v>Surabaya</v>
      </c>
      <c r="J48">
        <f ca="1">_xlfn.XLOOKUP(C48,Master_Product!A:A,Master_Product!E:E)</f>
        <v>34430</v>
      </c>
      <c r="K48">
        <v>30</v>
      </c>
      <c r="L48">
        <f ca="1">Table_StockIn[[#This Row],[buy_price]]*Table_StockIn[[#This Row],[quantity]]</f>
        <v>1032900</v>
      </c>
    </row>
    <row r="49" spans="1:12" x14ac:dyDescent="0.3">
      <c r="A49" t="str">
        <f t="shared" si="0"/>
        <v>PUR0048</v>
      </c>
      <c r="B49" s="1">
        <f t="shared" ca="1" si="1"/>
        <v>45968</v>
      </c>
      <c r="C49" t="str" cm="1">
        <f t="array" aca="1" ref="C49" ca="1">INDEX(Master_Product!$A$2:$A$101,RANDBETWEEN(1,100))</f>
        <v>PRD066</v>
      </c>
      <c r="D49" t="str">
        <f ca="1">_xlfn.XLOOKUP(C49,Master_Product!A:A,Master_Product!D:D)</f>
        <v>SUP010</v>
      </c>
      <c r="E49" t="str">
        <f ca="1">_xlfn.XLOOKUP(C49,Master_Product!A:A,Master_Product!B:B)</f>
        <v>Aliquam Product</v>
      </c>
      <c r="F49" t="str">
        <f ca="1">_xlfn.XLOOKUP(C50,Master_Product!A:A,Master_Product!C:C)</f>
        <v>CAT009</v>
      </c>
      <c r="G49" t="str">
        <f ca="1">VLOOKUP(F49,Master_Category!A:B,2,FALSE)</f>
        <v>Machine Supply</v>
      </c>
      <c r="H49" t="str">
        <f ca="1">_xlfn.XLOOKUP(D49,Master_Supplier!A:A,Master_Supplier!B:B)</f>
        <v>PT Gula Manis</v>
      </c>
      <c r="I49" t="str">
        <f ca="1">_xlfn.XLOOKUP(D49,Master_Supplier!A:A,Master_Supplier!E:E)</f>
        <v>Malang</v>
      </c>
      <c r="J49">
        <f ca="1">_xlfn.XLOOKUP(C49,Master_Product!A:A,Master_Product!E:E)</f>
        <v>52425</v>
      </c>
      <c r="K49">
        <v>50</v>
      </c>
      <c r="L49">
        <f ca="1">Table_StockIn[[#This Row],[buy_price]]*Table_StockIn[[#This Row],[quantity]]</f>
        <v>2621250</v>
      </c>
    </row>
    <row r="50" spans="1:12" x14ac:dyDescent="0.3">
      <c r="A50" t="str">
        <f t="shared" si="0"/>
        <v>PUR0049</v>
      </c>
      <c r="B50" s="1">
        <f t="shared" ca="1" si="1"/>
        <v>45784</v>
      </c>
      <c r="C50" t="str" cm="1">
        <f t="array" aca="1" ref="C50" ca="1">INDEX(Master_Product!$A$2:$A$101,RANDBETWEEN(1,100))</f>
        <v>PRD061</v>
      </c>
      <c r="D50" t="str">
        <f ca="1">_xlfn.XLOOKUP(C50,Master_Product!A:A,Master_Product!D:D)</f>
        <v>SUP022</v>
      </c>
      <c r="E50" t="str">
        <f ca="1">_xlfn.XLOOKUP(C50,Master_Product!A:A,Master_Product!B:B)</f>
        <v>Numquam Product</v>
      </c>
      <c r="F50" t="str">
        <f ca="1">_xlfn.XLOOKUP(C51,Master_Product!A:A,Master_Product!C:C)</f>
        <v>CAT006</v>
      </c>
      <c r="G50" t="str">
        <f ca="1">VLOOKUP(F50,Master_Category!A:B,2,FALSE)</f>
        <v>Topping</v>
      </c>
      <c r="H50" t="str">
        <f ca="1">_xlfn.XLOOKUP(D50,Master_Supplier!A:A,Master_Supplier!B:B)</f>
        <v>CV Biji Nusantara</v>
      </c>
      <c r="I50" t="str">
        <f ca="1">_xlfn.XLOOKUP(D50,Master_Supplier!A:A,Master_Supplier!E:E)</f>
        <v>Yogyakarta</v>
      </c>
      <c r="J50">
        <f ca="1">_xlfn.XLOOKUP(C50,Master_Product!A:A,Master_Product!E:E)</f>
        <v>48694</v>
      </c>
      <c r="K50">
        <v>20</v>
      </c>
      <c r="L50">
        <f ca="1">Table_StockIn[[#This Row],[buy_price]]*Table_StockIn[[#This Row],[quantity]]</f>
        <v>973880</v>
      </c>
    </row>
    <row r="51" spans="1:12" x14ac:dyDescent="0.3">
      <c r="A51" t="str">
        <f t="shared" si="0"/>
        <v>PUR0050</v>
      </c>
      <c r="B51" s="1">
        <f t="shared" ca="1" si="1"/>
        <v>45838</v>
      </c>
      <c r="C51" t="str" cm="1">
        <f t="array" aca="1" ref="C51" ca="1">INDEX(Master_Product!$A$2:$A$101,RANDBETWEEN(1,100))</f>
        <v>PRD064</v>
      </c>
      <c r="D51" t="str">
        <f ca="1">_xlfn.XLOOKUP(C51,Master_Product!A:A,Master_Product!D:D)</f>
        <v>SUP011</v>
      </c>
      <c r="E51" t="str">
        <f ca="1">_xlfn.XLOOKUP(C51,Master_Product!A:A,Master_Product!B:B)</f>
        <v>Blanditiis Product</v>
      </c>
      <c r="F51" t="str">
        <f ca="1">_xlfn.XLOOKUP(C52,Master_Product!A:A,Master_Product!C:C)</f>
        <v>CAT004</v>
      </c>
      <c r="G51" t="str">
        <f ca="1">VLOOKUP(F51,Master_Category!A:B,2,FALSE)</f>
        <v>Syrup</v>
      </c>
      <c r="H51" t="e">
        <f ca="1">_xlfn.XLOOKUP(D51,Master_Supplier!A:A,Master_Supplier!B:B)</f>
        <v>#N/A</v>
      </c>
      <c r="I51" t="e">
        <f ca="1">_xlfn.XLOOKUP(D51,Master_Supplier!A:A,Master_Supplier!E:E)</f>
        <v>#N/A</v>
      </c>
      <c r="J51">
        <f ca="1">_xlfn.XLOOKUP(C51,Master_Product!A:A,Master_Product!E:E)</f>
        <v>54372</v>
      </c>
      <c r="K51">
        <v>40</v>
      </c>
      <c r="L51">
        <f ca="1">Table_StockIn[[#This Row],[buy_price]]*Table_StockIn[[#This Row],[quantity]]</f>
        <v>2174880</v>
      </c>
    </row>
    <row r="52" spans="1:12" x14ac:dyDescent="0.3">
      <c r="A52" t="str">
        <f t="shared" si="0"/>
        <v>PUR0051</v>
      </c>
      <c r="B52" s="1">
        <f t="shared" ca="1" si="1"/>
        <v>45725</v>
      </c>
      <c r="C52" t="str" cm="1">
        <f t="array" aca="1" ref="C52" ca="1">INDEX(Master_Product!$A$2:$A$101,RANDBETWEEN(1,100))</f>
        <v>PRD045</v>
      </c>
      <c r="D52" t="str">
        <f ca="1">_xlfn.XLOOKUP(C52,Master_Product!A:A,Master_Product!D:D)</f>
        <v>SUP019</v>
      </c>
      <c r="E52" t="str">
        <f ca="1">_xlfn.XLOOKUP(C52,Master_Product!A:A,Master_Product!B:B)</f>
        <v>Asperiores Product</v>
      </c>
      <c r="F52" t="str">
        <f ca="1">_xlfn.XLOOKUP(C53,Master_Product!A:A,Master_Product!C:C)</f>
        <v>CAT008</v>
      </c>
      <c r="G52" t="str">
        <f ca="1">VLOOKUP(F52,Master_Category!A:B,2,FALSE)</f>
        <v>Snack</v>
      </c>
      <c r="H52" t="str">
        <f ca="1">_xlfn.XLOOKUP(D52,Master_Supplier!A:A,Master_Supplier!B:B)</f>
        <v>PT Indo Beverage</v>
      </c>
      <c r="I52" t="str">
        <f ca="1">_xlfn.XLOOKUP(D52,Master_Supplier!A:A,Master_Supplier!E:E)</f>
        <v>Jakarta</v>
      </c>
      <c r="J52">
        <f ca="1">_xlfn.XLOOKUP(C52,Master_Product!A:A,Master_Product!E:E)</f>
        <v>69764</v>
      </c>
      <c r="K52">
        <v>30</v>
      </c>
      <c r="L52">
        <f ca="1">Table_StockIn[[#This Row],[buy_price]]*Table_StockIn[[#This Row],[quantity]]</f>
        <v>2092920</v>
      </c>
    </row>
    <row r="53" spans="1:12" x14ac:dyDescent="0.3">
      <c r="A53" t="str">
        <f t="shared" si="0"/>
        <v>PUR0052</v>
      </c>
      <c r="B53" s="1">
        <f t="shared" ca="1" si="1"/>
        <v>45943</v>
      </c>
      <c r="C53" t="str" cm="1">
        <f t="array" aca="1" ref="C53" ca="1">INDEX(Master_Product!$A$2:$A$101,RANDBETWEEN(1,100))</f>
        <v>PRD050</v>
      </c>
      <c r="D53" t="str">
        <f ca="1">_xlfn.XLOOKUP(C53,Master_Product!A:A,Master_Product!D:D)</f>
        <v>SUP010</v>
      </c>
      <c r="E53" t="str">
        <f ca="1">_xlfn.XLOOKUP(C53,Master_Product!A:A,Master_Product!B:B)</f>
        <v>Earum Product</v>
      </c>
      <c r="F53" t="str">
        <f ca="1">_xlfn.XLOOKUP(C54,Master_Product!A:A,Master_Product!C:C)</f>
        <v>CAT008</v>
      </c>
      <c r="G53" t="str">
        <f ca="1">VLOOKUP(F53,Master_Category!A:B,2,FALSE)</f>
        <v>Snack</v>
      </c>
      <c r="H53" t="str">
        <f ca="1">_xlfn.XLOOKUP(D53,Master_Supplier!A:A,Master_Supplier!B:B)</f>
        <v>PT Gula Manis</v>
      </c>
      <c r="I53" t="str">
        <f ca="1">_xlfn.XLOOKUP(D53,Master_Supplier!A:A,Master_Supplier!E:E)</f>
        <v>Malang</v>
      </c>
      <c r="J53">
        <f ca="1">_xlfn.XLOOKUP(C53,Master_Product!A:A,Master_Product!E:E)</f>
        <v>12456</v>
      </c>
      <c r="K53">
        <v>50</v>
      </c>
      <c r="L53">
        <f ca="1">Table_StockIn[[#This Row],[buy_price]]*Table_StockIn[[#This Row],[quantity]]</f>
        <v>622800</v>
      </c>
    </row>
    <row r="54" spans="1:12" x14ac:dyDescent="0.3">
      <c r="A54" t="str">
        <f t="shared" si="0"/>
        <v>PUR0053</v>
      </c>
      <c r="B54" s="1">
        <f t="shared" ca="1" si="1"/>
        <v>45829</v>
      </c>
      <c r="C54" t="str" cm="1">
        <f t="array" aca="1" ref="C54" ca="1">INDEX(Master_Product!$A$2:$A$101,RANDBETWEEN(1,100))</f>
        <v>PRD070</v>
      </c>
      <c r="D54" t="str">
        <f ca="1">_xlfn.XLOOKUP(C54,Master_Product!A:A,Master_Product!D:D)</f>
        <v>SUP029</v>
      </c>
      <c r="E54" t="str">
        <f ca="1">_xlfn.XLOOKUP(C54,Master_Product!A:A,Master_Product!B:B)</f>
        <v>Harum Product</v>
      </c>
      <c r="F54" t="str">
        <f ca="1">_xlfn.XLOOKUP(C55,Master_Product!A:A,Master_Product!C:C)</f>
        <v>CAT005</v>
      </c>
      <c r="G54" t="str">
        <f ca="1">VLOOKUP(F54,Master_Category!A:B,2,FALSE)</f>
        <v>Powder</v>
      </c>
      <c r="H54" t="e">
        <f ca="1">_xlfn.XLOOKUP(D54,Master_Supplier!A:A,Master_Supplier!B:B)</f>
        <v>#N/A</v>
      </c>
      <c r="I54" t="e">
        <f ca="1">_xlfn.XLOOKUP(D54,Master_Supplier!A:A,Master_Supplier!E:E)</f>
        <v>#N/A</v>
      </c>
      <c r="J54">
        <f ca="1">_xlfn.XLOOKUP(C54,Master_Product!A:A,Master_Product!E:E)</f>
        <v>9947</v>
      </c>
      <c r="K54">
        <v>40</v>
      </c>
      <c r="L54">
        <f ca="1">Table_StockIn[[#This Row],[buy_price]]*Table_StockIn[[#This Row],[quantity]]</f>
        <v>397880</v>
      </c>
    </row>
    <row r="55" spans="1:12" x14ac:dyDescent="0.3">
      <c r="A55" t="str">
        <f t="shared" si="0"/>
        <v>PUR0054</v>
      </c>
      <c r="B55" s="1">
        <f t="shared" ca="1" si="1"/>
        <v>45961</v>
      </c>
      <c r="C55" t="str" cm="1">
        <f t="array" aca="1" ref="C55" ca="1">INDEX(Master_Product!$A$2:$A$101,RANDBETWEEN(1,100))</f>
        <v>PRD077</v>
      </c>
      <c r="D55" t="str">
        <f ca="1">_xlfn.XLOOKUP(C55,Master_Product!A:A,Master_Product!D:D)</f>
        <v>SUP026</v>
      </c>
      <c r="E55" t="str">
        <f ca="1">_xlfn.XLOOKUP(C55,Master_Product!A:A,Master_Product!B:B)</f>
        <v>Possimus Product</v>
      </c>
      <c r="F55" t="str">
        <f ca="1">_xlfn.XLOOKUP(C56,Master_Product!A:A,Master_Product!C:C)</f>
        <v>CAT005</v>
      </c>
      <c r="G55" t="str">
        <f ca="1">VLOOKUP(F55,Master_Category!A:B,2,FALSE)</f>
        <v>Powder</v>
      </c>
      <c r="H55" t="str">
        <f ca="1">_xlfn.XLOOKUP(D55,Master_Supplier!A:A,Master_Supplier!B:B)</f>
        <v>PT Robusta Indonesia</v>
      </c>
      <c r="I55" t="str">
        <f ca="1">_xlfn.XLOOKUP(D55,Master_Supplier!A:A,Master_Supplier!E:E)</f>
        <v>Malang</v>
      </c>
      <c r="J55">
        <f ca="1">_xlfn.XLOOKUP(C55,Master_Product!A:A,Master_Product!E:E)</f>
        <v>26241</v>
      </c>
      <c r="K55">
        <v>30</v>
      </c>
      <c r="L55">
        <f ca="1">Table_StockIn[[#This Row],[buy_price]]*Table_StockIn[[#This Row],[quantity]]</f>
        <v>787230</v>
      </c>
    </row>
    <row r="56" spans="1:12" x14ac:dyDescent="0.3">
      <c r="A56" t="str">
        <f t="shared" si="0"/>
        <v>PUR0055</v>
      </c>
      <c r="B56" s="1">
        <f t="shared" ca="1" si="1"/>
        <v>45783</v>
      </c>
      <c r="C56" t="str" cm="1">
        <f t="array" aca="1" ref="C56" ca="1">INDEX(Master_Product!$A$2:$A$101,RANDBETWEEN(1,100))</f>
        <v>PRD019</v>
      </c>
      <c r="D56" t="str">
        <f ca="1">_xlfn.XLOOKUP(C56,Master_Product!A:A,Master_Product!D:D)</f>
        <v>SUP006</v>
      </c>
      <c r="E56" t="str">
        <f ca="1">_xlfn.XLOOKUP(C56,Master_Product!A:A,Master_Product!B:B)</f>
        <v>Red Velvet Powder</v>
      </c>
      <c r="F56" t="str">
        <f ca="1">_xlfn.XLOOKUP(C57,Master_Product!A:A,Master_Product!C:C)</f>
        <v>CAT001</v>
      </c>
      <c r="G56" t="str">
        <f ca="1">VLOOKUP(F56,Master_Category!A:B,2,FALSE)</f>
        <v>Coffee Bean</v>
      </c>
      <c r="H56" t="str">
        <f ca="1">_xlfn.XLOOKUP(D56,Master_Supplier!A:A,Master_Supplier!B:B)</f>
        <v>CV Java Coffee</v>
      </c>
      <c r="I56" t="str">
        <f ca="1">_xlfn.XLOOKUP(D56,Master_Supplier!A:A,Master_Supplier!E:E)</f>
        <v>Bogor</v>
      </c>
      <c r="J56">
        <f ca="1">_xlfn.XLOOKUP(C56,Master_Product!A:A,Master_Product!E:E)</f>
        <v>49541</v>
      </c>
      <c r="K56">
        <v>30</v>
      </c>
      <c r="L56">
        <f ca="1">Table_StockIn[[#This Row],[buy_price]]*Table_StockIn[[#This Row],[quantity]]</f>
        <v>1486230</v>
      </c>
    </row>
    <row r="57" spans="1:12" x14ac:dyDescent="0.3">
      <c r="A57" t="str">
        <f t="shared" si="0"/>
        <v>PUR0056</v>
      </c>
      <c r="B57" s="1">
        <f t="shared" ca="1" si="1"/>
        <v>45928</v>
      </c>
      <c r="C57" t="str" cm="1">
        <f t="array" aca="1" ref="C57" ca="1">INDEX(Master_Product!$A$2:$A$101,RANDBETWEEN(1,100))</f>
        <v>PRD053</v>
      </c>
      <c r="D57" t="str">
        <f ca="1">_xlfn.XLOOKUP(C57,Master_Product!A:A,Master_Product!D:D)</f>
        <v>SUP017</v>
      </c>
      <c r="E57" t="str">
        <f ca="1">_xlfn.XLOOKUP(C57,Master_Product!A:A,Master_Product!B:B)</f>
        <v>Quae Product</v>
      </c>
      <c r="F57" t="str">
        <f ca="1">_xlfn.XLOOKUP(C58,Master_Product!A:A,Master_Product!C:C)</f>
        <v>CAT009</v>
      </c>
      <c r="G57" t="str">
        <f ca="1">VLOOKUP(F57,Master_Category!A:B,2,FALSE)</f>
        <v>Machine Supply</v>
      </c>
      <c r="H57" t="str">
        <f ca="1">_xlfn.XLOOKUP(D57,Master_Supplier!A:A,Master_Supplier!B:B)</f>
        <v>PT Premium Beans</v>
      </c>
      <c r="I57" t="str">
        <f ca="1">_xlfn.XLOOKUP(D57,Master_Supplier!A:A,Master_Supplier!E:E)</f>
        <v>Yogyakarta</v>
      </c>
      <c r="J57">
        <f ca="1">_xlfn.XLOOKUP(C57,Master_Product!A:A,Master_Product!E:E)</f>
        <v>47143</v>
      </c>
      <c r="K57">
        <v>30</v>
      </c>
      <c r="L57">
        <f ca="1">Table_StockIn[[#This Row],[buy_price]]*Table_StockIn[[#This Row],[quantity]]</f>
        <v>1414290</v>
      </c>
    </row>
    <row r="58" spans="1:12" x14ac:dyDescent="0.3">
      <c r="A58" t="str">
        <f t="shared" si="0"/>
        <v>PUR0057</v>
      </c>
      <c r="B58" s="1">
        <f t="shared" ca="1" si="1"/>
        <v>45715</v>
      </c>
      <c r="C58" t="str" cm="1">
        <f t="array" aca="1" ref="C58" ca="1">INDEX(Master_Product!$A$2:$A$101,RANDBETWEEN(1,100))</f>
        <v>PRD031</v>
      </c>
      <c r="D58" t="str">
        <f ca="1">_xlfn.XLOOKUP(C58,Master_Product!A:A,Master_Product!D:D)</f>
        <v>SUP014</v>
      </c>
      <c r="E58" t="str">
        <f ca="1">_xlfn.XLOOKUP(C58,Master_Product!A:A,Master_Product!B:B)</f>
        <v>Coffee Machine Cleaner</v>
      </c>
      <c r="F58" t="str">
        <f ca="1">_xlfn.XLOOKUP(C59,Master_Product!A:A,Master_Product!C:C)</f>
        <v>CAT009</v>
      </c>
      <c r="G58" t="str">
        <f ca="1">VLOOKUP(F58,Master_Category!A:B,2,FALSE)</f>
        <v>Machine Supply</v>
      </c>
      <c r="H58" t="str">
        <f ca="1">_xlfn.XLOOKUP(D58,Master_Supplier!A:A,Master_Supplier!B:B)</f>
        <v>PT Food Ingredients</v>
      </c>
      <c r="I58" t="str">
        <f ca="1">_xlfn.XLOOKUP(D58,Master_Supplier!A:A,Master_Supplier!E:E)</f>
        <v>Bandung</v>
      </c>
      <c r="J58">
        <f ca="1">_xlfn.XLOOKUP(C58,Master_Product!A:A,Master_Product!E:E)</f>
        <v>6013</v>
      </c>
      <c r="K58">
        <v>50</v>
      </c>
      <c r="L58">
        <f ca="1">Table_StockIn[[#This Row],[buy_price]]*Table_StockIn[[#This Row],[quantity]]</f>
        <v>300650</v>
      </c>
    </row>
    <row r="59" spans="1:12" x14ac:dyDescent="0.3">
      <c r="A59" t="str">
        <f t="shared" si="0"/>
        <v>PUR0058</v>
      </c>
      <c r="B59" s="1">
        <f t="shared" ca="1" si="1"/>
        <v>45867</v>
      </c>
      <c r="C59" t="str" cm="1">
        <f t="array" aca="1" ref="C59" ca="1">INDEX(Master_Product!$A$2:$A$101,RANDBETWEEN(1,100))</f>
        <v>PRD033</v>
      </c>
      <c r="D59" t="str">
        <f ca="1">_xlfn.XLOOKUP(C59,Master_Product!A:A,Master_Product!D:D)</f>
        <v>SUP028</v>
      </c>
      <c r="E59" t="str">
        <f ca="1">_xlfn.XLOOKUP(C59,Master_Product!A:A,Master_Product!B:B)</f>
        <v>Milk Pitcher</v>
      </c>
      <c r="F59" t="str">
        <f ca="1">_xlfn.XLOOKUP(C60,Master_Product!A:A,Master_Product!C:C)</f>
        <v>CAT008</v>
      </c>
      <c r="G59" t="str">
        <f ca="1">VLOOKUP(F59,Master_Category!A:B,2,FALSE)</f>
        <v>Snack</v>
      </c>
      <c r="H59" t="str">
        <f ca="1">_xlfn.XLOOKUP(D59,Master_Supplier!A:A,Master_Supplier!B:B)</f>
        <v>PT Beverage Nusantara</v>
      </c>
      <c r="I59" t="str">
        <f ca="1">_xlfn.XLOOKUP(D59,Master_Supplier!A:A,Master_Supplier!E:E)</f>
        <v>Jakarta</v>
      </c>
      <c r="J59">
        <f ca="1">_xlfn.XLOOKUP(C59,Master_Product!A:A,Master_Product!E:E)</f>
        <v>51421</v>
      </c>
      <c r="K59">
        <v>50</v>
      </c>
      <c r="L59">
        <f ca="1">Table_StockIn[[#This Row],[buy_price]]*Table_StockIn[[#This Row],[quantity]]</f>
        <v>2571050</v>
      </c>
    </row>
    <row r="60" spans="1:12" x14ac:dyDescent="0.3">
      <c r="A60" t="str">
        <f t="shared" si="0"/>
        <v>PUR0059</v>
      </c>
      <c r="B60" s="1">
        <f t="shared" ca="1" si="1"/>
        <v>45741</v>
      </c>
      <c r="C60" t="str" cm="1">
        <f t="array" aca="1" ref="C60" ca="1">INDEX(Master_Product!$A$2:$A$101,RANDBETWEEN(1,100))</f>
        <v>PRD028</v>
      </c>
      <c r="D60" t="str">
        <f ca="1">_xlfn.XLOOKUP(C60,Master_Product!A:A,Master_Product!D:D)</f>
        <v>SUP002</v>
      </c>
      <c r="E60" t="str">
        <f ca="1">_xlfn.XLOOKUP(C60,Master_Product!A:A,Master_Product!B:B)</f>
        <v>Cookies</v>
      </c>
      <c r="F60" t="str">
        <f ca="1">_xlfn.XLOOKUP(C61,Master_Product!A:A,Master_Product!C:C)</f>
        <v>CAT002</v>
      </c>
      <c r="G60" t="str">
        <f ca="1">VLOOKUP(F60,Master_Category!A:B,2,FALSE)</f>
        <v>Tea</v>
      </c>
      <c r="H60" t="e">
        <f ca="1">_xlfn.XLOOKUP(D60,Master_Supplier!A:A,Master_Supplier!B:B)</f>
        <v>#N/A</v>
      </c>
      <c r="I60" t="e">
        <f ca="1">_xlfn.XLOOKUP(D60,Master_Supplier!A:A,Master_Supplier!E:E)</f>
        <v>#N/A</v>
      </c>
      <c r="J60">
        <f ca="1">_xlfn.XLOOKUP(C60,Master_Product!A:A,Master_Product!E:E)</f>
        <v>74066</v>
      </c>
      <c r="K60">
        <v>40</v>
      </c>
      <c r="L60">
        <f ca="1">Table_StockIn[[#This Row],[buy_price]]*Table_StockIn[[#This Row],[quantity]]</f>
        <v>2962640</v>
      </c>
    </row>
    <row r="61" spans="1:12" x14ac:dyDescent="0.3">
      <c r="A61" t="str">
        <f t="shared" si="0"/>
        <v>PUR0060</v>
      </c>
      <c r="B61" s="1">
        <f t="shared" ca="1" si="1"/>
        <v>45661</v>
      </c>
      <c r="C61" t="str" cm="1">
        <f t="array" aca="1" ref="C61" ca="1">INDEX(Master_Product!$A$2:$A$101,RANDBETWEEN(1,100))</f>
        <v>PRD081</v>
      </c>
      <c r="D61" t="str">
        <f ca="1">_xlfn.XLOOKUP(C61,Master_Product!A:A,Master_Product!D:D)</f>
        <v>SUP005</v>
      </c>
      <c r="E61" t="str">
        <f ca="1">_xlfn.XLOOKUP(C61,Master_Product!A:A,Master_Product!B:B)</f>
        <v>Rem Product</v>
      </c>
      <c r="F61" t="str">
        <f ca="1">_xlfn.XLOOKUP(C62,Master_Product!A:A,Master_Product!C:C)</f>
        <v>CAT006</v>
      </c>
      <c r="G61" t="str">
        <f ca="1">VLOOKUP(F61,Master_Category!A:B,2,FALSE)</f>
        <v>Topping</v>
      </c>
      <c r="H61" t="str">
        <f ca="1">_xlfn.XLOOKUP(D61,Master_Supplier!A:A,Master_Supplier!B:B)</f>
        <v>PT Beverage Supply</v>
      </c>
      <c r="I61" t="str">
        <f ca="1">_xlfn.XLOOKUP(D61,Master_Supplier!A:A,Master_Supplier!E:E)</f>
        <v>Depok</v>
      </c>
      <c r="J61">
        <f ca="1">_xlfn.XLOOKUP(C61,Master_Product!A:A,Master_Product!E:E)</f>
        <v>63893</v>
      </c>
      <c r="K61">
        <v>100</v>
      </c>
      <c r="L61">
        <f ca="1">Table_StockIn[[#This Row],[buy_price]]*Table_StockIn[[#This Row],[quantity]]</f>
        <v>6389300</v>
      </c>
    </row>
    <row r="62" spans="1:12" x14ac:dyDescent="0.3">
      <c r="A62" t="str">
        <f t="shared" si="0"/>
        <v>PUR0061</v>
      </c>
      <c r="B62" s="1">
        <f t="shared" ca="1" si="1"/>
        <v>45666</v>
      </c>
      <c r="C62" t="str" cm="1">
        <f t="array" aca="1" ref="C62" ca="1">INDEX(Master_Product!$A$2:$A$101,RANDBETWEEN(1,100))</f>
        <v>PRD064</v>
      </c>
      <c r="D62" t="str">
        <f ca="1">_xlfn.XLOOKUP(C62,Master_Product!A:A,Master_Product!D:D)</f>
        <v>SUP011</v>
      </c>
      <c r="E62" t="str">
        <f ca="1">_xlfn.XLOOKUP(C62,Master_Product!A:A,Master_Product!B:B)</f>
        <v>Blanditiis Product</v>
      </c>
      <c r="F62" t="str">
        <f ca="1">_xlfn.XLOOKUP(C63,Master_Product!A:A,Master_Product!C:C)</f>
        <v>CAT002</v>
      </c>
      <c r="G62" t="str">
        <f ca="1">VLOOKUP(F62,Master_Category!A:B,2,FALSE)</f>
        <v>Tea</v>
      </c>
      <c r="H62" t="e">
        <f ca="1">_xlfn.XLOOKUP(D62,Master_Supplier!A:A,Master_Supplier!B:B)</f>
        <v>#N/A</v>
      </c>
      <c r="I62" t="e">
        <f ca="1">_xlfn.XLOOKUP(D62,Master_Supplier!A:A,Master_Supplier!E:E)</f>
        <v>#N/A</v>
      </c>
      <c r="J62">
        <f ca="1">_xlfn.XLOOKUP(C62,Master_Product!A:A,Master_Product!E:E)</f>
        <v>54372</v>
      </c>
      <c r="K62">
        <v>30</v>
      </c>
      <c r="L62">
        <f ca="1">Table_StockIn[[#This Row],[buy_price]]*Table_StockIn[[#This Row],[quantity]]</f>
        <v>1631160</v>
      </c>
    </row>
    <row r="63" spans="1:12" x14ac:dyDescent="0.3">
      <c r="A63" t="str">
        <f t="shared" si="0"/>
        <v>PUR0062</v>
      </c>
      <c r="B63" s="1">
        <f t="shared" ca="1" si="1"/>
        <v>45870</v>
      </c>
      <c r="C63" t="str" cm="1">
        <f t="array" aca="1" ref="C63" ca="1">INDEX(Master_Product!$A$2:$A$101,RANDBETWEEN(1,100))</f>
        <v>PRD078</v>
      </c>
      <c r="D63" t="str">
        <f ca="1">_xlfn.XLOOKUP(C63,Master_Product!A:A,Master_Product!D:D)</f>
        <v>SUP016</v>
      </c>
      <c r="E63" t="str">
        <f ca="1">_xlfn.XLOOKUP(C63,Master_Product!A:A,Master_Product!B:B)</f>
        <v>Quo Product</v>
      </c>
      <c r="F63" t="str">
        <f ca="1">_xlfn.XLOOKUP(C64,Master_Product!A:A,Master_Product!C:C)</f>
        <v>CAT001</v>
      </c>
      <c r="G63" t="str">
        <f ca="1">VLOOKUP(F63,Master_Category!A:B,2,FALSE)</f>
        <v>Coffee Bean</v>
      </c>
      <c r="H63" t="str">
        <f ca="1">_xlfn.XLOOKUP(D63,Master_Supplier!A:A,Master_Supplier!B:B)</f>
        <v>PT Espresso Supply</v>
      </c>
      <c r="I63" t="str">
        <f ca="1">_xlfn.XLOOKUP(D63,Master_Supplier!A:A,Master_Supplier!E:E)</f>
        <v>Depok</v>
      </c>
      <c r="J63">
        <f ca="1">_xlfn.XLOOKUP(C63,Master_Product!A:A,Master_Product!E:E)</f>
        <v>37768</v>
      </c>
      <c r="K63">
        <v>20</v>
      </c>
      <c r="L63">
        <f ca="1">Table_StockIn[[#This Row],[buy_price]]*Table_StockIn[[#This Row],[quantity]]</f>
        <v>755360</v>
      </c>
    </row>
    <row r="64" spans="1:12" x14ac:dyDescent="0.3">
      <c r="A64" t="str">
        <f t="shared" si="0"/>
        <v>PUR0063</v>
      </c>
      <c r="B64" s="1">
        <f t="shared" ca="1" si="1"/>
        <v>45871</v>
      </c>
      <c r="C64" t="str" cm="1">
        <f t="array" aca="1" ref="C64" ca="1">INDEX(Master_Product!$A$2:$A$101,RANDBETWEEN(1,100))</f>
        <v>PRD053</v>
      </c>
      <c r="D64" t="str">
        <f ca="1">_xlfn.XLOOKUP(C64,Master_Product!A:A,Master_Product!D:D)</f>
        <v>SUP017</v>
      </c>
      <c r="E64" t="str">
        <f ca="1">_xlfn.XLOOKUP(C64,Master_Product!A:A,Master_Product!B:B)</f>
        <v>Quae Product</v>
      </c>
      <c r="F64" t="str">
        <f ca="1">_xlfn.XLOOKUP(C65,Master_Product!A:A,Master_Product!C:C)</f>
        <v>CAT007</v>
      </c>
      <c r="G64" t="str">
        <f ca="1">VLOOKUP(F64,Master_Category!A:B,2,FALSE)</f>
        <v>Cup &amp; Packaging</v>
      </c>
      <c r="H64" t="str">
        <f ca="1">_xlfn.XLOOKUP(D64,Master_Supplier!A:A,Master_Supplier!B:B)</f>
        <v>PT Premium Beans</v>
      </c>
      <c r="I64" t="str">
        <f ca="1">_xlfn.XLOOKUP(D64,Master_Supplier!A:A,Master_Supplier!E:E)</f>
        <v>Yogyakarta</v>
      </c>
      <c r="J64">
        <f ca="1">_xlfn.XLOOKUP(C64,Master_Product!A:A,Master_Product!E:E)</f>
        <v>47143</v>
      </c>
      <c r="K64">
        <v>30</v>
      </c>
      <c r="L64">
        <f ca="1">Table_StockIn[[#This Row],[buy_price]]*Table_StockIn[[#This Row],[quantity]]</f>
        <v>1414290</v>
      </c>
    </row>
    <row r="65" spans="1:12" x14ac:dyDescent="0.3">
      <c r="A65" t="str">
        <f t="shared" si="0"/>
        <v>PUR0064</v>
      </c>
      <c r="B65" s="1">
        <f t="shared" ca="1" si="1"/>
        <v>45991</v>
      </c>
      <c r="C65" t="str" cm="1">
        <f t="array" aca="1" ref="C65" ca="1">INDEX(Master_Product!$A$2:$A$101,RANDBETWEEN(1,100))</f>
        <v>PRD025</v>
      </c>
      <c r="D65" t="str">
        <f ca="1">_xlfn.XLOOKUP(C65,Master_Product!A:A,Master_Product!D:D)</f>
        <v>SUP014</v>
      </c>
      <c r="E65" t="str">
        <f ca="1">_xlfn.XLOOKUP(C65,Master_Product!A:A,Master_Product!B:B)</f>
        <v>Paper Bag</v>
      </c>
      <c r="F65" t="str">
        <f ca="1">_xlfn.XLOOKUP(C66,Master_Product!A:A,Master_Product!C:C)</f>
        <v>CAT005</v>
      </c>
      <c r="G65" t="str">
        <f ca="1">VLOOKUP(F65,Master_Category!A:B,2,FALSE)</f>
        <v>Powder</v>
      </c>
      <c r="H65" t="str">
        <f ca="1">_xlfn.XLOOKUP(D65,Master_Supplier!A:A,Master_Supplier!B:B)</f>
        <v>PT Food Ingredients</v>
      </c>
      <c r="I65" t="str">
        <f ca="1">_xlfn.XLOOKUP(D65,Master_Supplier!A:A,Master_Supplier!E:E)</f>
        <v>Bandung</v>
      </c>
      <c r="J65">
        <f ca="1">_xlfn.XLOOKUP(C65,Master_Product!A:A,Master_Product!E:E)</f>
        <v>40665</v>
      </c>
      <c r="K65">
        <v>30</v>
      </c>
      <c r="L65">
        <f ca="1">Table_StockIn[[#This Row],[buy_price]]*Table_StockIn[[#This Row],[quantity]]</f>
        <v>1219950</v>
      </c>
    </row>
    <row r="66" spans="1:12" x14ac:dyDescent="0.3">
      <c r="A66" t="str">
        <f t="shared" si="0"/>
        <v>PUR0065</v>
      </c>
      <c r="B66" s="1">
        <f t="shared" ca="1" si="1"/>
        <v>46012</v>
      </c>
      <c r="C66" t="str" cm="1">
        <f t="array" aca="1" ref="C66" ca="1">INDEX(Master_Product!$A$2:$A$101,RANDBETWEEN(1,100))</f>
        <v>PRD080</v>
      </c>
      <c r="D66" t="str">
        <f ca="1">_xlfn.XLOOKUP(C66,Master_Product!A:A,Master_Product!D:D)</f>
        <v>SUP025</v>
      </c>
      <c r="E66" t="str">
        <f ca="1">_xlfn.XLOOKUP(C66,Master_Product!A:A,Master_Product!B:B)</f>
        <v>Culpa Product</v>
      </c>
      <c r="F66" t="str">
        <f ca="1">_xlfn.XLOOKUP(C67,Master_Product!A:A,Master_Product!C:C)</f>
        <v>CAT007</v>
      </c>
      <c r="G66" t="str">
        <f ca="1">VLOOKUP(F66,Master_Category!A:B,2,FALSE)</f>
        <v>Cup &amp; Packaging</v>
      </c>
      <c r="H66" t="str">
        <f ca="1">_xlfn.XLOOKUP(D66,Master_Supplier!A:A,Master_Supplier!B:B)</f>
        <v>PT Arabica Indonesia</v>
      </c>
      <c r="I66" t="str">
        <f ca="1">_xlfn.XLOOKUP(D66,Master_Supplier!A:A,Master_Supplier!E:E)</f>
        <v>Semarang</v>
      </c>
      <c r="J66">
        <f ca="1">_xlfn.XLOOKUP(C66,Master_Product!A:A,Master_Product!E:E)</f>
        <v>21341</v>
      </c>
      <c r="K66">
        <v>40</v>
      </c>
      <c r="L66">
        <f ca="1">Table_StockIn[[#This Row],[buy_price]]*Table_StockIn[[#This Row],[quantity]]</f>
        <v>853640</v>
      </c>
    </row>
    <row r="67" spans="1:12" x14ac:dyDescent="0.3">
      <c r="A67" t="str">
        <f t="shared" ref="A67:A130" si="2">"PUR"&amp;TEXT(ROW()-1,"0000")</f>
        <v>PUR0066</v>
      </c>
      <c r="B67" s="1">
        <f t="shared" ref="B67:B130" ca="1" si="3">DATE(2025,1,1)+RANDBETWEEN(0,364)</f>
        <v>45968</v>
      </c>
      <c r="C67" t="str" cm="1">
        <f t="array" aca="1" ref="C67" ca="1">INDEX(Master_Product!$A$2:$A$101,RANDBETWEEN(1,100))</f>
        <v>PRD023</v>
      </c>
      <c r="D67" t="str">
        <f ca="1">_xlfn.XLOOKUP(C67,Master_Product!A:A,Master_Product!D:D)</f>
        <v>SUP029</v>
      </c>
      <c r="E67" t="str">
        <f ca="1">_xlfn.XLOOKUP(C67,Master_Product!A:A,Master_Product!B:B)</f>
        <v>Cup 12 oz</v>
      </c>
      <c r="F67" t="str">
        <f ca="1">_xlfn.XLOOKUP(C68,Master_Product!A:A,Master_Product!C:C)</f>
        <v>CAT005</v>
      </c>
      <c r="G67" t="str">
        <f ca="1">VLOOKUP(F67,Master_Category!A:B,2,FALSE)</f>
        <v>Powder</v>
      </c>
      <c r="H67" t="e">
        <f ca="1">_xlfn.XLOOKUP(D67,Master_Supplier!A:A,Master_Supplier!B:B)</f>
        <v>#N/A</v>
      </c>
      <c r="I67" t="e">
        <f ca="1">_xlfn.XLOOKUP(D67,Master_Supplier!A:A,Master_Supplier!E:E)</f>
        <v>#N/A</v>
      </c>
      <c r="J67">
        <f ca="1">_xlfn.XLOOKUP(C67,Master_Product!A:A,Master_Product!E:E)</f>
        <v>79395</v>
      </c>
      <c r="K67">
        <v>50</v>
      </c>
      <c r="L67">
        <f ca="1">Table_StockIn[[#This Row],[buy_price]]*Table_StockIn[[#This Row],[quantity]]</f>
        <v>3969750</v>
      </c>
    </row>
    <row r="68" spans="1:12" x14ac:dyDescent="0.3">
      <c r="A68" t="str">
        <f t="shared" si="2"/>
        <v>PUR0067</v>
      </c>
      <c r="B68" s="1">
        <f t="shared" ca="1" si="3"/>
        <v>45954</v>
      </c>
      <c r="C68" t="str" cm="1">
        <f t="array" aca="1" ref="C68" ca="1">INDEX(Master_Product!$A$2:$A$101,RANDBETWEEN(1,100))</f>
        <v>PRD016</v>
      </c>
      <c r="D68" t="str">
        <f ca="1">_xlfn.XLOOKUP(C68,Master_Product!A:A,Master_Product!D:D)</f>
        <v>SUP028</v>
      </c>
      <c r="E68" t="str">
        <f ca="1">_xlfn.XLOOKUP(C68,Master_Product!A:A,Master_Product!B:B)</f>
        <v>Matcha Powder</v>
      </c>
      <c r="F68" t="str">
        <f ca="1">_xlfn.XLOOKUP(C69,Master_Product!A:A,Master_Product!C:C)</f>
        <v>CAT004</v>
      </c>
      <c r="G68" t="str">
        <f ca="1">VLOOKUP(F68,Master_Category!A:B,2,FALSE)</f>
        <v>Syrup</v>
      </c>
      <c r="H68" t="str">
        <f ca="1">_xlfn.XLOOKUP(D68,Master_Supplier!A:A,Master_Supplier!B:B)</f>
        <v>PT Beverage Nusantara</v>
      </c>
      <c r="I68" t="str">
        <f ca="1">_xlfn.XLOOKUP(D68,Master_Supplier!A:A,Master_Supplier!E:E)</f>
        <v>Jakarta</v>
      </c>
      <c r="J68">
        <f ca="1">_xlfn.XLOOKUP(C68,Master_Product!A:A,Master_Product!E:E)</f>
        <v>34643</v>
      </c>
      <c r="K68">
        <v>50</v>
      </c>
      <c r="L68">
        <f ca="1">Table_StockIn[[#This Row],[buy_price]]*Table_StockIn[[#This Row],[quantity]]</f>
        <v>1732150</v>
      </c>
    </row>
    <row r="69" spans="1:12" x14ac:dyDescent="0.3">
      <c r="A69" t="str">
        <f t="shared" si="2"/>
        <v>PUR0068</v>
      </c>
      <c r="B69" s="1">
        <f t="shared" ca="1" si="3"/>
        <v>46016</v>
      </c>
      <c r="C69" t="str" cm="1">
        <f t="array" aca="1" ref="C69" ca="1">INDEX(Master_Product!$A$2:$A$101,RANDBETWEEN(1,100))</f>
        <v>PRD043</v>
      </c>
      <c r="D69" t="str">
        <f ca="1">_xlfn.XLOOKUP(C69,Master_Product!A:A,Master_Product!D:D)</f>
        <v>SUP009</v>
      </c>
      <c r="E69" t="str">
        <f ca="1">_xlfn.XLOOKUP(C69,Master_Product!A:A,Master_Product!B:B)</f>
        <v>Odio Product</v>
      </c>
      <c r="F69" t="str">
        <f ca="1">_xlfn.XLOOKUP(C70,Master_Product!A:A,Master_Product!C:C)</f>
        <v>CAT010</v>
      </c>
      <c r="G69" t="str">
        <f ca="1">VLOOKUP(F69,Master_Category!A:B,2,FALSE)</f>
        <v>Cleaning</v>
      </c>
      <c r="H69" t="str">
        <f ca="1">_xlfn.XLOOKUP(D69,Master_Supplier!A:A,Master_Supplier!B:B)</f>
        <v>CV Nusantara Food</v>
      </c>
      <c r="I69" t="str">
        <f ca="1">_xlfn.XLOOKUP(D69,Master_Supplier!A:A,Master_Supplier!E:E)</f>
        <v>Bandung</v>
      </c>
      <c r="J69">
        <f ca="1">_xlfn.XLOOKUP(C69,Master_Product!A:A,Master_Product!E:E)</f>
        <v>35968</v>
      </c>
      <c r="K69">
        <v>100</v>
      </c>
      <c r="L69">
        <f ca="1">Table_StockIn[[#This Row],[buy_price]]*Table_StockIn[[#This Row],[quantity]]</f>
        <v>3596800</v>
      </c>
    </row>
    <row r="70" spans="1:12" x14ac:dyDescent="0.3">
      <c r="A70" t="str">
        <f t="shared" si="2"/>
        <v>PUR0069</v>
      </c>
      <c r="B70" s="1">
        <f t="shared" ca="1" si="3"/>
        <v>45903</v>
      </c>
      <c r="C70" t="str" cm="1">
        <f t="array" aca="1" ref="C70" ca="1">INDEX(Master_Product!$A$2:$A$101,RANDBETWEEN(1,100))</f>
        <v>PRD038</v>
      </c>
      <c r="D70" t="str">
        <f ca="1">_xlfn.XLOOKUP(C70,Master_Product!A:A,Master_Product!D:D)</f>
        <v>SUP004</v>
      </c>
      <c r="E70" t="str">
        <f ca="1">_xlfn.XLOOKUP(C70,Master_Product!A:A,Master_Product!B:B)</f>
        <v>Porro Product</v>
      </c>
      <c r="F70" t="str">
        <f ca="1">_xlfn.XLOOKUP(C71,Master_Product!A:A,Master_Product!C:C)</f>
        <v>CAT002</v>
      </c>
      <c r="G70" t="str">
        <f ca="1">VLOOKUP(F70,Master_Category!A:B,2,FALSE)</f>
        <v>Tea</v>
      </c>
      <c r="H70" t="str">
        <f ca="1">_xlfn.XLOOKUP(D70,Master_Supplier!A:A,Master_Supplier!B:B)</f>
        <v>PT Dairy Fresh</v>
      </c>
      <c r="I70" t="str">
        <f ca="1">_xlfn.XLOOKUP(D70,Master_Supplier!A:A,Master_Supplier!E:E)</f>
        <v>Depok</v>
      </c>
      <c r="J70">
        <f ca="1">_xlfn.XLOOKUP(C70,Master_Product!A:A,Master_Product!E:E)</f>
        <v>16551</v>
      </c>
      <c r="K70">
        <v>80</v>
      </c>
      <c r="L70">
        <f ca="1">Table_StockIn[[#This Row],[buy_price]]*Table_StockIn[[#This Row],[quantity]]</f>
        <v>1324080</v>
      </c>
    </row>
    <row r="71" spans="1:12" x14ac:dyDescent="0.3">
      <c r="A71" t="str">
        <f t="shared" si="2"/>
        <v>PUR0070</v>
      </c>
      <c r="B71" s="1">
        <f t="shared" ca="1" si="3"/>
        <v>45776</v>
      </c>
      <c r="C71" t="str" cm="1">
        <f t="array" aca="1" ref="C71" ca="1">INDEX(Master_Product!$A$2:$A$101,RANDBETWEEN(1,100))</f>
        <v>PRD008</v>
      </c>
      <c r="D71" t="str">
        <f ca="1">_xlfn.XLOOKUP(C71,Master_Product!A:A,Master_Product!D:D)</f>
        <v>SUP016</v>
      </c>
      <c r="E71" t="str">
        <f ca="1">_xlfn.XLOOKUP(C71,Master_Product!A:A,Master_Product!B:B)</f>
        <v>Chamomile</v>
      </c>
      <c r="F71" t="str">
        <f ca="1">_xlfn.XLOOKUP(C72,Master_Product!A:A,Master_Product!C:C)</f>
        <v>CAT001</v>
      </c>
      <c r="G71" t="str">
        <f ca="1">VLOOKUP(F71,Master_Category!A:B,2,FALSE)</f>
        <v>Coffee Bean</v>
      </c>
      <c r="H71" t="str">
        <f ca="1">_xlfn.XLOOKUP(D71,Master_Supplier!A:A,Master_Supplier!B:B)</f>
        <v>PT Espresso Supply</v>
      </c>
      <c r="I71" t="str">
        <f ca="1">_xlfn.XLOOKUP(D71,Master_Supplier!A:A,Master_Supplier!E:E)</f>
        <v>Depok</v>
      </c>
      <c r="J71">
        <f ca="1">_xlfn.XLOOKUP(C71,Master_Product!A:A,Master_Product!E:E)</f>
        <v>25006</v>
      </c>
      <c r="K71">
        <v>100</v>
      </c>
      <c r="L71">
        <f ca="1">Table_StockIn[[#This Row],[buy_price]]*Table_StockIn[[#This Row],[quantity]]</f>
        <v>2500600</v>
      </c>
    </row>
    <row r="72" spans="1:12" x14ac:dyDescent="0.3">
      <c r="A72" t="str">
        <f t="shared" si="2"/>
        <v>PUR0071</v>
      </c>
      <c r="B72" s="1">
        <f t="shared" ca="1" si="3"/>
        <v>45916</v>
      </c>
      <c r="C72" t="str" cm="1">
        <f t="array" aca="1" ref="C72" ca="1">INDEX(Master_Product!$A$2:$A$101,RANDBETWEEN(1,100))</f>
        <v>PRD005</v>
      </c>
      <c r="D72" t="str">
        <f ca="1">_xlfn.XLOOKUP(C72,Master_Product!A:A,Master_Product!D:D)</f>
        <v>SUP029</v>
      </c>
      <c r="E72" t="str">
        <f ca="1">_xlfn.XLOOKUP(C72,Master_Product!A:A,Master_Product!B:B)</f>
        <v>House Blend</v>
      </c>
      <c r="F72" t="str">
        <f ca="1">_xlfn.XLOOKUP(C73,Master_Product!A:A,Master_Product!C:C)</f>
        <v>CAT006</v>
      </c>
      <c r="G72" t="str">
        <f ca="1">VLOOKUP(F72,Master_Category!A:B,2,FALSE)</f>
        <v>Topping</v>
      </c>
      <c r="H72" t="e">
        <f ca="1">_xlfn.XLOOKUP(D72,Master_Supplier!A:A,Master_Supplier!B:B)</f>
        <v>#N/A</v>
      </c>
      <c r="I72" t="e">
        <f ca="1">_xlfn.XLOOKUP(D72,Master_Supplier!A:A,Master_Supplier!E:E)</f>
        <v>#N/A</v>
      </c>
      <c r="J72">
        <f ca="1">_xlfn.XLOOKUP(C72,Master_Product!A:A,Master_Product!E:E)</f>
        <v>33183</v>
      </c>
      <c r="K72">
        <v>50</v>
      </c>
      <c r="L72">
        <f ca="1">Table_StockIn[[#This Row],[buy_price]]*Table_StockIn[[#This Row],[quantity]]</f>
        <v>1659150</v>
      </c>
    </row>
    <row r="73" spans="1:12" x14ac:dyDescent="0.3">
      <c r="A73" t="str">
        <f t="shared" si="2"/>
        <v>PUR0072</v>
      </c>
      <c r="B73" s="1">
        <f t="shared" ca="1" si="3"/>
        <v>45783</v>
      </c>
      <c r="C73" t="str" cm="1">
        <f t="array" aca="1" ref="C73" ca="1">INDEX(Master_Product!$A$2:$A$101,RANDBETWEEN(1,100))</f>
        <v>PRD051</v>
      </c>
      <c r="D73" t="str">
        <f ca="1">_xlfn.XLOOKUP(C73,Master_Product!A:A,Master_Product!D:D)</f>
        <v>SUP019</v>
      </c>
      <c r="E73" t="str">
        <f ca="1">_xlfn.XLOOKUP(C73,Master_Product!A:A,Master_Product!B:B)</f>
        <v>Molestiae Product</v>
      </c>
      <c r="F73" t="str">
        <f ca="1">_xlfn.XLOOKUP(C74,Master_Product!A:A,Master_Product!C:C)</f>
        <v>CAT005</v>
      </c>
      <c r="G73" t="str">
        <f ca="1">VLOOKUP(F73,Master_Category!A:B,2,FALSE)</f>
        <v>Powder</v>
      </c>
      <c r="H73" t="str">
        <f ca="1">_xlfn.XLOOKUP(D73,Master_Supplier!A:A,Master_Supplier!B:B)</f>
        <v>PT Indo Beverage</v>
      </c>
      <c r="I73" t="str">
        <f ca="1">_xlfn.XLOOKUP(D73,Master_Supplier!A:A,Master_Supplier!E:E)</f>
        <v>Jakarta</v>
      </c>
      <c r="J73">
        <f ca="1">_xlfn.XLOOKUP(C73,Master_Product!A:A,Master_Product!E:E)</f>
        <v>71462</v>
      </c>
      <c r="K73">
        <v>100</v>
      </c>
      <c r="L73">
        <f ca="1">Table_StockIn[[#This Row],[buy_price]]*Table_StockIn[[#This Row],[quantity]]</f>
        <v>7146200</v>
      </c>
    </row>
    <row r="74" spans="1:12" x14ac:dyDescent="0.3">
      <c r="A74" t="str">
        <f t="shared" si="2"/>
        <v>PUR0073</v>
      </c>
      <c r="B74" s="1">
        <f t="shared" ca="1" si="3"/>
        <v>46001</v>
      </c>
      <c r="C74" t="str" cm="1">
        <f t="array" aca="1" ref="C74" ca="1">INDEX(Master_Product!$A$2:$A$101,RANDBETWEEN(1,100))</f>
        <v>PRD085</v>
      </c>
      <c r="D74" t="str">
        <f ca="1">_xlfn.XLOOKUP(C74,Master_Product!A:A,Master_Product!D:D)</f>
        <v>SUP030</v>
      </c>
      <c r="E74" t="str">
        <f ca="1">_xlfn.XLOOKUP(C74,Master_Product!A:A,Master_Product!B:B)</f>
        <v>Maiores Product</v>
      </c>
      <c r="F74" t="str">
        <f ca="1">_xlfn.XLOOKUP(C75,Master_Product!A:A,Master_Product!C:C)</f>
        <v>CAT002</v>
      </c>
      <c r="G74" t="str">
        <f ca="1">VLOOKUP(F74,Master_Category!A:B,2,FALSE)</f>
        <v>Tea</v>
      </c>
      <c r="H74" t="str">
        <f ca="1">_xlfn.XLOOKUP(D74,Master_Supplier!A:A,Master_Supplier!B:B)</f>
        <v>PT Smart Packaging</v>
      </c>
      <c r="I74" t="str">
        <f ca="1">_xlfn.XLOOKUP(D74,Master_Supplier!A:A,Master_Supplier!E:E)</f>
        <v>Surabaya</v>
      </c>
      <c r="J74">
        <f ca="1">_xlfn.XLOOKUP(C74,Master_Product!A:A,Master_Product!E:E)</f>
        <v>34430</v>
      </c>
      <c r="K74">
        <v>40</v>
      </c>
      <c r="L74">
        <f ca="1">Table_StockIn[[#This Row],[buy_price]]*Table_StockIn[[#This Row],[quantity]]</f>
        <v>1377200</v>
      </c>
    </row>
    <row r="75" spans="1:12" x14ac:dyDescent="0.3">
      <c r="A75" t="str">
        <f t="shared" si="2"/>
        <v>PUR0074</v>
      </c>
      <c r="B75" s="1">
        <f t="shared" ca="1" si="3"/>
        <v>45685</v>
      </c>
      <c r="C75" t="str" cm="1">
        <f t="array" aca="1" ref="C75" ca="1">INDEX(Master_Product!$A$2:$A$101,RANDBETWEEN(1,100))</f>
        <v>PRD096</v>
      </c>
      <c r="D75" t="str">
        <f ca="1">_xlfn.XLOOKUP(C75,Master_Product!A:A,Master_Product!D:D)</f>
        <v>SUP003</v>
      </c>
      <c r="E75" t="str">
        <f ca="1">_xlfn.XLOOKUP(C75,Master_Product!A:A,Master_Product!B:B)</f>
        <v>Aliquid Product</v>
      </c>
      <c r="F75" t="str">
        <f ca="1">_xlfn.XLOOKUP(C76,Master_Product!A:A,Master_Product!C:C)</f>
        <v>CAT005</v>
      </c>
      <c r="G75" t="str">
        <f ca="1">VLOOKUP(F75,Master_Category!A:B,2,FALSE)</f>
        <v>Powder</v>
      </c>
      <c r="H75" t="str">
        <f ca="1">_xlfn.XLOOKUP(D75,Master_Supplier!A:A,Master_Supplier!B:B)</f>
        <v>CV Barista Indonesia</v>
      </c>
      <c r="I75" t="str">
        <f ca="1">_xlfn.XLOOKUP(D75,Master_Supplier!A:A,Master_Supplier!E:E)</f>
        <v>Bekasi</v>
      </c>
      <c r="J75">
        <f ca="1">_xlfn.XLOOKUP(C75,Master_Product!A:A,Master_Product!E:E)</f>
        <v>73614</v>
      </c>
      <c r="K75">
        <v>30</v>
      </c>
      <c r="L75">
        <f ca="1">Table_StockIn[[#This Row],[buy_price]]*Table_StockIn[[#This Row],[quantity]]</f>
        <v>2208420</v>
      </c>
    </row>
    <row r="76" spans="1:12" x14ac:dyDescent="0.3">
      <c r="A76" t="str">
        <f t="shared" si="2"/>
        <v>PUR0075</v>
      </c>
      <c r="B76" s="1">
        <f t="shared" ca="1" si="3"/>
        <v>45898</v>
      </c>
      <c r="C76" t="str" cm="1">
        <f t="array" aca="1" ref="C76" ca="1">INDEX(Master_Product!$A$2:$A$101,RANDBETWEEN(1,100))</f>
        <v>PRD094</v>
      </c>
      <c r="D76" t="str">
        <f ca="1">_xlfn.XLOOKUP(C76,Master_Product!A:A,Master_Product!D:D)</f>
        <v>SUP020</v>
      </c>
      <c r="E76" t="str">
        <f ca="1">_xlfn.XLOOKUP(C76,Master_Product!A:A,Master_Product!B:B)</f>
        <v>Expedita Product</v>
      </c>
      <c r="F76" t="str">
        <f ca="1">_xlfn.XLOOKUP(C77,Master_Product!A:A,Master_Product!C:C)</f>
        <v>CAT002</v>
      </c>
      <c r="G76" t="str">
        <f ca="1">VLOOKUP(F76,Master_Category!A:B,2,FALSE)</f>
        <v>Tea</v>
      </c>
      <c r="H76" t="str">
        <f ca="1">_xlfn.XLOOKUP(D76,Master_Supplier!A:A,Master_Supplier!B:B)</f>
        <v>PT Clean Solution</v>
      </c>
      <c r="I76" t="str">
        <f ca="1">_xlfn.XLOOKUP(D76,Master_Supplier!A:A,Master_Supplier!E:E)</f>
        <v>Yogyakarta</v>
      </c>
      <c r="J76">
        <f ca="1">_xlfn.XLOOKUP(C76,Master_Product!A:A,Master_Product!E:E)</f>
        <v>43177</v>
      </c>
      <c r="K76">
        <v>100</v>
      </c>
      <c r="L76">
        <f ca="1">Table_StockIn[[#This Row],[buy_price]]*Table_StockIn[[#This Row],[quantity]]</f>
        <v>4317700</v>
      </c>
    </row>
    <row r="77" spans="1:12" x14ac:dyDescent="0.3">
      <c r="A77" t="str">
        <f t="shared" si="2"/>
        <v>PUR0076</v>
      </c>
      <c r="B77" s="1">
        <f t="shared" ca="1" si="3"/>
        <v>45973</v>
      </c>
      <c r="C77" t="str" cm="1">
        <f t="array" aca="1" ref="C77" ca="1">INDEX(Master_Product!$A$2:$A$101,RANDBETWEEN(1,100))</f>
        <v>PRD078</v>
      </c>
      <c r="D77" t="str">
        <f ca="1">_xlfn.XLOOKUP(C77,Master_Product!A:A,Master_Product!D:D)</f>
        <v>SUP016</v>
      </c>
      <c r="E77" t="str">
        <f ca="1">_xlfn.XLOOKUP(C77,Master_Product!A:A,Master_Product!B:B)</f>
        <v>Quo Product</v>
      </c>
      <c r="F77" t="str">
        <f ca="1">_xlfn.XLOOKUP(C78,Master_Product!A:A,Master_Product!C:C)</f>
        <v>CAT005</v>
      </c>
      <c r="G77" t="str">
        <f ca="1">VLOOKUP(F77,Master_Category!A:B,2,FALSE)</f>
        <v>Powder</v>
      </c>
      <c r="H77" t="str">
        <f ca="1">_xlfn.XLOOKUP(D77,Master_Supplier!A:A,Master_Supplier!B:B)</f>
        <v>PT Espresso Supply</v>
      </c>
      <c r="I77" t="str">
        <f ca="1">_xlfn.XLOOKUP(D77,Master_Supplier!A:A,Master_Supplier!E:E)</f>
        <v>Depok</v>
      </c>
      <c r="J77">
        <f ca="1">_xlfn.XLOOKUP(C77,Master_Product!A:A,Master_Product!E:E)</f>
        <v>37768</v>
      </c>
      <c r="K77">
        <v>50</v>
      </c>
      <c r="L77">
        <f ca="1">Table_StockIn[[#This Row],[buy_price]]*Table_StockIn[[#This Row],[quantity]]</f>
        <v>1888400</v>
      </c>
    </row>
    <row r="78" spans="1:12" x14ac:dyDescent="0.3">
      <c r="A78" t="str">
        <f t="shared" si="2"/>
        <v>PUR0077</v>
      </c>
      <c r="B78" s="1">
        <f t="shared" ca="1" si="3"/>
        <v>45718</v>
      </c>
      <c r="C78" t="str" cm="1">
        <f t="array" aca="1" ref="C78" ca="1">INDEX(Master_Product!$A$2:$A$101,RANDBETWEEN(1,100))</f>
        <v>PRD085</v>
      </c>
      <c r="D78" t="str">
        <f ca="1">_xlfn.XLOOKUP(C78,Master_Product!A:A,Master_Product!D:D)</f>
        <v>SUP030</v>
      </c>
      <c r="E78" t="str">
        <f ca="1">_xlfn.XLOOKUP(C78,Master_Product!A:A,Master_Product!B:B)</f>
        <v>Maiores Product</v>
      </c>
      <c r="F78" t="str">
        <f ca="1">_xlfn.XLOOKUP(C79,Master_Product!A:A,Master_Product!C:C)</f>
        <v>CAT001</v>
      </c>
      <c r="G78" t="str">
        <f ca="1">VLOOKUP(F78,Master_Category!A:B,2,FALSE)</f>
        <v>Coffee Bean</v>
      </c>
      <c r="H78" t="str">
        <f ca="1">_xlfn.XLOOKUP(D78,Master_Supplier!A:A,Master_Supplier!B:B)</f>
        <v>PT Smart Packaging</v>
      </c>
      <c r="I78" t="str">
        <f ca="1">_xlfn.XLOOKUP(D78,Master_Supplier!A:A,Master_Supplier!E:E)</f>
        <v>Surabaya</v>
      </c>
      <c r="J78">
        <f ca="1">_xlfn.XLOOKUP(C78,Master_Product!A:A,Master_Product!E:E)</f>
        <v>34430</v>
      </c>
      <c r="K78">
        <v>30</v>
      </c>
      <c r="L78">
        <f ca="1">Table_StockIn[[#This Row],[buy_price]]*Table_StockIn[[#This Row],[quantity]]</f>
        <v>1032900</v>
      </c>
    </row>
    <row r="79" spans="1:12" x14ac:dyDescent="0.3">
      <c r="A79" t="str">
        <f t="shared" si="2"/>
        <v>PUR0078</v>
      </c>
      <c r="B79" s="1">
        <f t="shared" ca="1" si="3"/>
        <v>45731</v>
      </c>
      <c r="C79" t="str" cm="1">
        <f t="array" aca="1" ref="C79" ca="1">INDEX(Master_Product!$A$2:$A$101,RANDBETWEEN(1,100))</f>
        <v>PRD004</v>
      </c>
      <c r="D79" t="str">
        <f ca="1">_xlfn.XLOOKUP(C79,Master_Product!A:A,Master_Product!D:D)</f>
        <v>SUP021</v>
      </c>
      <c r="E79" t="str">
        <f ca="1">_xlfn.XLOOKUP(C79,Master_Product!A:A,Master_Product!B:B)</f>
        <v>Robusta Lampung</v>
      </c>
      <c r="F79" t="str">
        <f ca="1">_xlfn.XLOOKUP(C80,Master_Product!A:A,Master_Product!C:C)</f>
        <v>CAT007</v>
      </c>
      <c r="G79" t="str">
        <f ca="1">VLOOKUP(F79,Master_Category!A:B,2,FALSE)</f>
        <v>Cup &amp; Packaging</v>
      </c>
      <c r="H79" t="str">
        <f ca="1">_xlfn.XLOOKUP(D79,Master_Supplier!A:A,Master_Supplier!B:B)</f>
        <v>PT Coffee Packaging</v>
      </c>
      <c r="I79" t="str">
        <f ca="1">_xlfn.XLOOKUP(D79,Master_Supplier!A:A,Master_Supplier!E:E)</f>
        <v>Depok</v>
      </c>
      <c r="J79">
        <f ca="1">_xlfn.XLOOKUP(C79,Master_Product!A:A,Master_Product!E:E)</f>
        <v>19996</v>
      </c>
      <c r="K79">
        <v>40</v>
      </c>
      <c r="L79">
        <f ca="1">Table_StockIn[[#This Row],[buy_price]]*Table_StockIn[[#This Row],[quantity]]</f>
        <v>799840</v>
      </c>
    </row>
    <row r="80" spans="1:12" x14ac:dyDescent="0.3">
      <c r="A80" t="str">
        <f t="shared" si="2"/>
        <v>PUR0079</v>
      </c>
      <c r="B80" s="1">
        <f t="shared" ca="1" si="3"/>
        <v>45894</v>
      </c>
      <c r="C80" t="str" cm="1">
        <f t="array" aca="1" ref="C80" ca="1">INDEX(Master_Product!$A$2:$A$101,RANDBETWEEN(1,100))</f>
        <v>PRD025</v>
      </c>
      <c r="D80" t="str">
        <f ca="1">_xlfn.XLOOKUP(C80,Master_Product!A:A,Master_Product!D:D)</f>
        <v>SUP014</v>
      </c>
      <c r="E80" t="str">
        <f ca="1">_xlfn.XLOOKUP(C80,Master_Product!A:A,Master_Product!B:B)</f>
        <v>Paper Bag</v>
      </c>
      <c r="F80" t="str">
        <f ca="1">_xlfn.XLOOKUP(C81,Master_Product!A:A,Master_Product!C:C)</f>
        <v>CAT010</v>
      </c>
      <c r="G80" t="str">
        <f ca="1">VLOOKUP(F80,Master_Category!A:B,2,FALSE)</f>
        <v>Cleaning</v>
      </c>
      <c r="H80" t="str">
        <f ca="1">_xlfn.XLOOKUP(D80,Master_Supplier!A:A,Master_Supplier!B:B)</f>
        <v>PT Food Ingredients</v>
      </c>
      <c r="I80" t="str">
        <f ca="1">_xlfn.XLOOKUP(D80,Master_Supplier!A:A,Master_Supplier!E:E)</f>
        <v>Bandung</v>
      </c>
      <c r="J80">
        <f ca="1">_xlfn.XLOOKUP(C80,Master_Product!A:A,Master_Product!E:E)</f>
        <v>40665</v>
      </c>
      <c r="K80">
        <v>80</v>
      </c>
      <c r="L80">
        <f ca="1">Table_StockIn[[#This Row],[buy_price]]*Table_StockIn[[#This Row],[quantity]]</f>
        <v>3253200</v>
      </c>
    </row>
    <row r="81" spans="1:12" x14ac:dyDescent="0.3">
      <c r="A81" t="str">
        <f t="shared" si="2"/>
        <v>PUR0080</v>
      </c>
      <c r="B81" s="1">
        <f t="shared" ca="1" si="3"/>
        <v>45884</v>
      </c>
      <c r="C81" t="str" cm="1">
        <f t="array" aca="1" ref="C81" ca="1">INDEX(Master_Product!$A$2:$A$101,RANDBETWEEN(1,100))</f>
        <v>PRD087</v>
      </c>
      <c r="D81" t="str">
        <f ca="1">_xlfn.XLOOKUP(C81,Master_Product!A:A,Master_Product!D:D)</f>
        <v>SUP016</v>
      </c>
      <c r="E81" t="str">
        <f ca="1">_xlfn.XLOOKUP(C81,Master_Product!A:A,Master_Product!B:B)</f>
        <v>Animi Product</v>
      </c>
      <c r="F81" t="str">
        <f ca="1">_xlfn.XLOOKUP(C82,Master_Product!A:A,Master_Product!C:C)</f>
        <v>CAT005</v>
      </c>
      <c r="G81" t="str">
        <f ca="1">VLOOKUP(F81,Master_Category!A:B,2,FALSE)</f>
        <v>Powder</v>
      </c>
      <c r="H81" t="str">
        <f ca="1">_xlfn.XLOOKUP(D81,Master_Supplier!A:A,Master_Supplier!B:B)</f>
        <v>PT Espresso Supply</v>
      </c>
      <c r="I81" t="str">
        <f ca="1">_xlfn.XLOOKUP(D81,Master_Supplier!A:A,Master_Supplier!E:E)</f>
        <v>Depok</v>
      </c>
      <c r="J81">
        <f ca="1">_xlfn.XLOOKUP(C81,Master_Product!A:A,Master_Product!E:E)</f>
        <v>23191</v>
      </c>
      <c r="K81">
        <v>100</v>
      </c>
      <c r="L81">
        <f ca="1">Table_StockIn[[#This Row],[buy_price]]*Table_StockIn[[#This Row],[quantity]]</f>
        <v>2319100</v>
      </c>
    </row>
    <row r="82" spans="1:12" x14ac:dyDescent="0.3">
      <c r="A82" t="str">
        <f t="shared" si="2"/>
        <v>PUR0081</v>
      </c>
      <c r="B82" s="1">
        <f t="shared" ca="1" si="3"/>
        <v>45919</v>
      </c>
      <c r="C82" t="str" cm="1">
        <f t="array" aca="1" ref="C82" ca="1">INDEX(Master_Product!$A$2:$A$101,RANDBETWEEN(1,100))</f>
        <v>PRD094</v>
      </c>
      <c r="D82" t="str">
        <f ca="1">_xlfn.XLOOKUP(C82,Master_Product!A:A,Master_Product!D:D)</f>
        <v>SUP020</v>
      </c>
      <c r="E82" t="str">
        <f ca="1">_xlfn.XLOOKUP(C82,Master_Product!A:A,Master_Product!B:B)</f>
        <v>Expedita Product</v>
      </c>
      <c r="F82" t="str">
        <f ca="1">_xlfn.XLOOKUP(C83,Master_Product!A:A,Master_Product!C:C)</f>
        <v>CAT002</v>
      </c>
      <c r="G82" t="str">
        <f ca="1">VLOOKUP(F82,Master_Category!A:B,2,FALSE)</f>
        <v>Tea</v>
      </c>
      <c r="H82" t="str">
        <f ca="1">_xlfn.XLOOKUP(D82,Master_Supplier!A:A,Master_Supplier!B:B)</f>
        <v>PT Clean Solution</v>
      </c>
      <c r="I82" t="str">
        <f ca="1">_xlfn.XLOOKUP(D82,Master_Supplier!A:A,Master_Supplier!E:E)</f>
        <v>Yogyakarta</v>
      </c>
      <c r="J82">
        <f ca="1">_xlfn.XLOOKUP(C82,Master_Product!A:A,Master_Product!E:E)</f>
        <v>43177</v>
      </c>
      <c r="K82">
        <v>30</v>
      </c>
      <c r="L82">
        <f ca="1">Table_StockIn[[#This Row],[buy_price]]*Table_StockIn[[#This Row],[quantity]]</f>
        <v>1295310</v>
      </c>
    </row>
    <row r="83" spans="1:12" x14ac:dyDescent="0.3">
      <c r="A83" t="str">
        <f t="shared" si="2"/>
        <v>PUR0082</v>
      </c>
      <c r="B83" s="1">
        <f t="shared" ca="1" si="3"/>
        <v>45900</v>
      </c>
      <c r="C83" t="str" cm="1">
        <f t="array" aca="1" ref="C83" ca="1">INDEX(Master_Product!$A$2:$A$101,RANDBETWEEN(1,100))</f>
        <v>PRD052</v>
      </c>
      <c r="D83" t="str">
        <f ca="1">_xlfn.XLOOKUP(C83,Master_Product!A:A,Master_Product!D:D)</f>
        <v>SUP019</v>
      </c>
      <c r="E83" t="str">
        <f ca="1">_xlfn.XLOOKUP(C83,Master_Product!A:A,Master_Product!B:B)</f>
        <v>Ratione Product</v>
      </c>
      <c r="F83" t="str">
        <f ca="1">_xlfn.XLOOKUP(C84,Master_Product!A:A,Master_Product!C:C)</f>
        <v>CAT001</v>
      </c>
      <c r="G83" t="str">
        <f ca="1">VLOOKUP(F83,Master_Category!A:B,2,FALSE)</f>
        <v>Coffee Bean</v>
      </c>
      <c r="H83" t="str">
        <f ca="1">_xlfn.XLOOKUP(D83,Master_Supplier!A:A,Master_Supplier!B:B)</f>
        <v>PT Indo Beverage</v>
      </c>
      <c r="I83" t="str">
        <f ca="1">_xlfn.XLOOKUP(D83,Master_Supplier!A:A,Master_Supplier!E:E)</f>
        <v>Jakarta</v>
      </c>
      <c r="J83">
        <f ca="1">_xlfn.XLOOKUP(C83,Master_Product!A:A,Master_Product!E:E)</f>
        <v>63947</v>
      </c>
      <c r="K83">
        <v>40</v>
      </c>
      <c r="L83">
        <f ca="1">Table_StockIn[[#This Row],[buy_price]]*Table_StockIn[[#This Row],[quantity]]</f>
        <v>2557880</v>
      </c>
    </row>
    <row r="84" spans="1:12" x14ac:dyDescent="0.3">
      <c r="A84" t="str">
        <f t="shared" si="2"/>
        <v>PUR0083</v>
      </c>
      <c r="B84" s="1">
        <f t="shared" ca="1" si="3"/>
        <v>45773</v>
      </c>
      <c r="C84" t="str" cm="1">
        <f t="array" aca="1" ref="C84" ca="1">INDEX(Master_Product!$A$2:$A$101,RANDBETWEEN(1,100))</f>
        <v>PRD075</v>
      </c>
      <c r="D84" t="str">
        <f ca="1">_xlfn.XLOOKUP(C84,Master_Product!A:A,Master_Product!D:D)</f>
        <v>SUP019</v>
      </c>
      <c r="E84" t="str">
        <f ca="1">_xlfn.XLOOKUP(C84,Master_Product!A:A,Master_Product!B:B)</f>
        <v>Officia Product</v>
      </c>
      <c r="F84" t="str">
        <f ca="1">_xlfn.XLOOKUP(C85,Master_Product!A:A,Master_Product!C:C)</f>
        <v>CAT004</v>
      </c>
      <c r="G84" t="str">
        <f ca="1">VLOOKUP(F84,Master_Category!A:B,2,FALSE)</f>
        <v>Syrup</v>
      </c>
      <c r="H84" t="str">
        <f ca="1">_xlfn.XLOOKUP(D84,Master_Supplier!A:A,Master_Supplier!B:B)</f>
        <v>PT Indo Beverage</v>
      </c>
      <c r="I84" t="str">
        <f ca="1">_xlfn.XLOOKUP(D84,Master_Supplier!A:A,Master_Supplier!E:E)</f>
        <v>Jakarta</v>
      </c>
      <c r="J84">
        <f ca="1">_xlfn.XLOOKUP(C84,Master_Product!A:A,Master_Product!E:E)</f>
        <v>30430</v>
      </c>
      <c r="K84">
        <v>40</v>
      </c>
      <c r="L84">
        <f ca="1">Table_StockIn[[#This Row],[buy_price]]*Table_StockIn[[#This Row],[quantity]]</f>
        <v>1217200</v>
      </c>
    </row>
    <row r="85" spans="1:12" x14ac:dyDescent="0.3">
      <c r="A85" t="str">
        <f t="shared" si="2"/>
        <v>PUR0084</v>
      </c>
      <c r="B85" s="1">
        <f t="shared" ca="1" si="3"/>
        <v>45975</v>
      </c>
      <c r="C85" t="str" cm="1">
        <f t="array" aca="1" ref="C85" ca="1">INDEX(Master_Product!$A$2:$A$101,RANDBETWEEN(1,100))</f>
        <v>PRD013</v>
      </c>
      <c r="D85" t="str">
        <f ca="1">_xlfn.XLOOKUP(C85,Master_Product!A:A,Master_Product!D:D)</f>
        <v>SUP019</v>
      </c>
      <c r="E85" t="str">
        <f ca="1">_xlfn.XLOOKUP(C85,Master_Product!A:A,Master_Product!B:B)</f>
        <v>Caramel Syrup</v>
      </c>
      <c r="F85" t="str">
        <f ca="1">_xlfn.XLOOKUP(C86,Master_Product!A:A,Master_Product!C:C)</f>
        <v>CAT001</v>
      </c>
      <c r="G85" t="str">
        <f ca="1">VLOOKUP(F85,Master_Category!A:B,2,FALSE)</f>
        <v>Coffee Bean</v>
      </c>
      <c r="H85" t="str">
        <f ca="1">_xlfn.XLOOKUP(D85,Master_Supplier!A:A,Master_Supplier!B:B)</f>
        <v>PT Indo Beverage</v>
      </c>
      <c r="I85" t="str">
        <f ca="1">_xlfn.XLOOKUP(D85,Master_Supplier!A:A,Master_Supplier!E:E)</f>
        <v>Jakarta</v>
      </c>
      <c r="J85">
        <f ca="1">_xlfn.XLOOKUP(C85,Master_Product!A:A,Master_Product!E:E)</f>
        <v>45953</v>
      </c>
      <c r="K85">
        <v>20</v>
      </c>
      <c r="L85">
        <f ca="1">Table_StockIn[[#This Row],[buy_price]]*Table_StockIn[[#This Row],[quantity]]</f>
        <v>919060</v>
      </c>
    </row>
    <row r="86" spans="1:12" x14ac:dyDescent="0.3">
      <c r="A86" t="str">
        <f t="shared" si="2"/>
        <v>PUR0085</v>
      </c>
      <c r="B86" s="1">
        <f t="shared" ca="1" si="3"/>
        <v>45928</v>
      </c>
      <c r="C86" t="str" cm="1">
        <f t="array" aca="1" ref="C86" ca="1">INDEX(Master_Product!$A$2:$A$101,RANDBETWEEN(1,100))</f>
        <v>PRD002</v>
      </c>
      <c r="D86" t="str">
        <f ca="1">_xlfn.XLOOKUP(C86,Master_Product!A:A,Master_Product!D:D)</f>
        <v>SUP013</v>
      </c>
      <c r="E86" t="str">
        <f ca="1">_xlfn.XLOOKUP(C86,Master_Product!A:A,Master_Product!B:B)</f>
        <v>Arabica Gayo</v>
      </c>
      <c r="F86" t="str">
        <f ca="1">_xlfn.XLOOKUP(C87,Master_Product!A:A,Master_Product!C:C)</f>
        <v>CAT004</v>
      </c>
      <c r="G86" t="str">
        <f ca="1">VLOOKUP(F86,Master_Category!A:B,2,FALSE)</f>
        <v>Syrup</v>
      </c>
      <c r="H86" t="str">
        <f ca="1">_xlfn.XLOOKUP(D86,Master_Supplier!A:A,Master_Supplier!B:B)</f>
        <v>PT Coffee Trading</v>
      </c>
      <c r="I86" t="str">
        <f ca="1">_xlfn.XLOOKUP(D86,Master_Supplier!A:A,Master_Supplier!E:E)</f>
        <v>Jakarta</v>
      </c>
      <c r="J86">
        <f ca="1">_xlfn.XLOOKUP(C86,Master_Product!A:A,Master_Product!E:E)</f>
        <v>76874</v>
      </c>
      <c r="K86">
        <v>100</v>
      </c>
      <c r="L86">
        <f ca="1">Table_StockIn[[#This Row],[buy_price]]*Table_StockIn[[#This Row],[quantity]]</f>
        <v>7687400</v>
      </c>
    </row>
    <row r="87" spans="1:12" x14ac:dyDescent="0.3">
      <c r="A87" t="str">
        <f t="shared" si="2"/>
        <v>PUR0086</v>
      </c>
      <c r="B87" s="1">
        <f t="shared" ca="1" si="3"/>
        <v>45775</v>
      </c>
      <c r="C87" t="str" cm="1">
        <f t="array" aca="1" ref="C87" ca="1">INDEX(Master_Product!$A$2:$A$101,RANDBETWEEN(1,100))</f>
        <v>PRD012</v>
      </c>
      <c r="D87" t="str">
        <f ca="1">_xlfn.XLOOKUP(C87,Master_Product!A:A,Master_Product!D:D)</f>
        <v>SUP024</v>
      </c>
      <c r="E87" t="str">
        <f ca="1">_xlfn.XLOOKUP(C87,Master_Product!A:A,Master_Product!B:B)</f>
        <v>Hazelnut Syrup</v>
      </c>
      <c r="F87" t="str">
        <f ca="1">_xlfn.XLOOKUP(C88,Master_Product!A:A,Master_Product!C:C)</f>
        <v>CAT009</v>
      </c>
      <c r="G87" t="str">
        <f ca="1">VLOOKUP(F87,Master_Category!A:B,2,FALSE)</f>
        <v>Machine Supply</v>
      </c>
      <c r="H87" t="str">
        <f ca="1">_xlfn.XLOOKUP(D87,Master_Supplier!A:A,Master_Supplier!B:B)</f>
        <v>PT Coffee Chemical</v>
      </c>
      <c r="I87" t="str">
        <f ca="1">_xlfn.XLOOKUP(D87,Master_Supplier!A:A,Master_Supplier!E:E)</f>
        <v>Depok</v>
      </c>
      <c r="J87">
        <f ca="1">_xlfn.XLOOKUP(C87,Master_Product!A:A,Master_Product!E:E)</f>
        <v>60435</v>
      </c>
      <c r="K87">
        <v>30</v>
      </c>
      <c r="L87">
        <f ca="1">Table_StockIn[[#This Row],[buy_price]]*Table_StockIn[[#This Row],[quantity]]</f>
        <v>1813050</v>
      </c>
    </row>
    <row r="88" spans="1:12" x14ac:dyDescent="0.3">
      <c r="A88" t="str">
        <f t="shared" si="2"/>
        <v>PUR0087</v>
      </c>
      <c r="B88" s="1">
        <f t="shared" ca="1" si="3"/>
        <v>45670</v>
      </c>
      <c r="C88" t="str" cm="1">
        <f t="array" aca="1" ref="C88" ca="1">INDEX(Master_Product!$A$2:$A$101,RANDBETWEEN(1,100))</f>
        <v>PRD031</v>
      </c>
      <c r="D88" t="str">
        <f ca="1">_xlfn.XLOOKUP(C88,Master_Product!A:A,Master_Product!D:D)</f>
        <v>SUP014</v>
      </c>
      <c r="E88" t="str">
        <f ca="1">_xlfn.XLOOKUP(C88,Master_Product!A:A,Master_Product!B:B)</f>
        <v>Coffee Machine Cleaner</v>
      </c>
      <c r="F88" t="str">
        <f ca="1">_xlfn.XLOOKUP(C89,Master_Product!A:A,Master_Product!C:C)</f>
        <v>CAT010</v>
      </c>
      <c r="G88" t="str">
        <f ca="1">VLOOKUP(F88,Master_Category!A:B,2,FALSE)</f>
        <v>Cleaning</v>
      </c>
      <c r="H88" t="str">
        <f ca="1">_xlfn.XLOOKUP(D88,Master_Supplier!A:A,Master_Supplier!B:B)</f>
        <v>PT Food Ingredients</v>
      </c>
      <c r="I88" t="str">
        <f ca="1">_xlfn.XLOOKUP(D88,Master_Supplier!A:A,Master_Supplier!E:E)</f>
        <v>Bandung</v>
      </c>
      <c r="J88">
        <f ca="1">_xlfn.XLOOKUP(C88,Master_Product!A:A,Master_Product!E:E)</f>
        <v>6013</v>
      </c>
      <c r="K88">
        <v>100</v>
      </c>
      <c r="L88">
        <f ca="1">Table_StockIn[[#This Row],[buy_price]]*Table_StockIn[[#This Row],[quantity]]</f>
        <v>601300</v>
      </c>
    </row>
    <row r="89" spans="1:12" x14ac:dyDescent="0.3">
      <c r="A89" t="str">
        <f t="shared" si="2"/>
        <v>PUR0088</v>
      </c>
      <c r="B89" s="1">
        <f t="shared" ca="1" si="3"/>
        <v>45783</v>
      </c>
      <c r="C89" t="str" cm="1">
        <f t="array" aca="1" ref="C89" ca="1">INDEX(Master_Product!$A$2:$A$101,RANDBETWEEN(1,100))</f>
        <v>PRD087</v>
      </c>
      <c r="D89" t="str">
        <f ca="1">_xlfn.XLOOKUP(C89,Master_Product!A:A,Master_Product!D:D)</f>
        <v>SUP016</v>
      </c>
      <c r="E89" t="str">
        <f ca="1">_xlfn.XLOOKUP(C89,Master_Product!A:A,Master_Product!B:B)</f>
        <v>Animi Product</v>
      </c>
      <c r="F89" t="str">
        <f ca="1">_xlfn.XLOOKUP(C90,Master_Product!A:A,Master_Product!C:C)</f>
        <v>CAT002</v>
      </c>
      <c r="G89" t="str">
        <f ca="1">VLOOKUP(F89,Master_Category!A:B,2,FALSE)</f>
        <v>Tea</v>
      </c>
      <c r="H89" t="str">
        <f ca="1">_xlfn.XLOOKUP(D89,Master_Supplier!A:A,Master_Supplier!B:B)</f>
        <v>PT Espresso Supply</v>
      </c>
      <c r="I89" t="str">
        <f ca="1">_xlfn.XLOOKUP(D89,Master_Supplier!A:A,Master_Supplier!E:E)</f>
        <v>Depok</v>
      </c>
      <c r="J89">
        <f ca="1">_xlfn.XLOOKUP(C89,Master_Product!A:A,Master_Product!E:E)</f>
        <v>23191</v>
      </c>
      <c r="K89">
        <v>50</v>
      </c>
      <c r="L89">
        <f ca="1">Table_StockIn[[#This Row],[buy_price]]*Table_StockIn[[#This Row],[quantity]]</f>
        <v>1159550</v>
      </c>
    </row>
    <row r="90" spans="1:12" x14ac:dyDescent="0.3">
      <c r="A90" t="str">
        <f t="shared" si="2"/>
        <v>PUR0089</v>
      </c>
      <c r="B90" s="1">
        <f t="shared" ca="1" si="3"/>
        <v>46012</v>
      </c>
      <c r="C90" t="str" cm="1">
        <f t="array" aca="1" ref="C90" ca="1">INDEX(Master_Product!$A$2:$A$101,RANDBETWEEN(1,100))</f>
        <v>PRD081</v>
      </c>
      <c r="D90" t="str">
        <f ca="1">_xlfn.XLOOKUP(C90,Master_Product!A:A,Master_Product!D:D)</f>
        <v>SUP005</v>
      </c>
      <c r="E90" t="str">
        <f ca="1">_xlfn.XLOOKUP(C90,Master_Product!A:A,Master_Product!B:B)</f>
        <v>Rem Product</v>
      </c>
      <c r="F90" t="str">
        <f ca="1">_xlfn.XLOOKUP(C91,Master_Product!A:A,Master_Product!C:C)</f>
        <v>CAT002</v>
      </c>
      <c r="G90" t="str">
        <f ca="1">VLOOKUP(F90,Master_Category!A:B,2,FALSE)</f>
        <v>Tea</v>
      </c>
      <c r="H90" t="str">
        <f ca="1">_xlfn.XLOOKUP(D90,Master_Supplier!A:A,Master_Supplier!B:B)</f>
        <v>PT Beverage Supply</v>
      </c>
      <c r="I90" t="str">
        <f ca="1">_xlfn.XLOOKUP(D90,Master_Supplier!A:A,Master_Supplier!E:E)</f>
        <v>Depok</v>
      </c>
      <c r="J90">
        <f ca="1">_xlfn.XLOOKUP(C90,Master_Product!A:A,Master_Product!E:E)</f>
        <v>63893</v>
      </c>
      <c r="K90">
        <v>50</v>
      </c>
      <c r="L90">
        <f ca="1">Table_StockIn[[#This Row],[buy_price]]*Table_StockIn[[#This Row],[quantity]]</f>
        <v>3194650</v>
      </c>
    </row>
    <row r="91" spans="1:12" x14ac:dyDescent="0.3">
      <c r="A91" t="str">
        <f t="shared" si="2"/>
        <v>PUR0090</v>
      </c>
      <c r="B91" s="1">
        <f t="shared" ca="1" si="3"/>
        <v>45838</v>
      </c>
      <c r="C91" t="str" cm="1">
        <f t="array" aca="1" ref="C91" ca="1">INDEX(Master_Product!$A$2:$A$101,RANDBETWEEN(1,100))</f>
        <v>PRD006</v>
      </c>
      <c r="D91" t="str">
        <f ca="1">_xlfn.XLOOKUP(C91,Master_Product!A:A,Master_Product!D:D)</f>
        <v>SUP013</v>
      </c>
      <c r="E91" t="str">
        <f ca="1">_xlfn.XLOOKUP(C91,Master_Product!A:A,Master_Product!B:B)</f>
        <v>Green Tea</v>
      </c>
      <c r="F91" t="str">
        <f ca="1">_xlfn.XLOOKUP(C92,Master_Product!A:A,Master_Product!C:C)</f>
        <v>CAT008</v>
      </c>
      <c r="G91" t="str">
        <f ca="1">VLOOKUP(F91,Master_Category!A:B,2,FALSE)</f>
        <v>Snack</v>
      </c>
      <c r="H91" t="str">
        <f ca="1">_xlfn.XLOOKUP(D91,Master_Supplier!A:A,Master_Supplier!B:B)</f>
        <v>PT Coffee Trading</v>
      </c>
      <c r="I91" t="str">
        <f ca="1">_xlfn.XLOOKUP(D91,Master_Supplier!A:A,Master_Supplier!E:E)</f>
        <v>Jakarta</v>
      </c>
      <c r="J91">
        <f ca="1">_xlfn.XLOOKUP(C91,Master_Product!A:A,Master_Product!E:E)</f>
        <v>49424</v>
      </c>
      <c r="K91">
        <v>100</v>
      </c>
      <c r="L91">
        <f ca="1">Table_StockIn[[#This Row],[buy_price]]*Table_StockIn[[#This Row],[quantity]]</f>
        <v>4942400</v>
      </c>
    </row>
    <row r="92" spans="1:12" x14ac:dyDescent="0.3">
      <c r="A92" t="str">
        <f t="shared" si="2"/>
        <v>PUR0091</v>
      </c>
      <c r="B92" s="1">
        <f t="shared" ca="1" si="3"/>
        <v>45829</v>
      </c>
      <c r="C92" t="str" cm="1">
        <f t="array" aca="1" ref="C92" ca="1">INDEX(Master_Product!$A$2:$A$101,RANDBETWEEN(1,100))</f>
        <v>PRD030</v>
      </c>
      <c r="D92" t="str">
        <f ca="1">_xlfn.XLOOKUP(C92,Master_Product!A:A,Master_Product!D:D)</f>
        <v>SUP010</v>
      </c>
      <c r="E92" t="str">
        <f ca="1">_xlfn.XLOOKUP(C92,Master_Product!A:A,Master_Product!B:B)</f>
        <v>Muffin</v>
      </c>
      <c r="F92" t="str">
        <f ca="1">_xlfn.XLOOKUP(C93,Master_Product!A:A,Master_Product!C:C)</f>
        <v>CAT008</v>
      </c>
      <c r="G92" t="str">
        <f ca="1">VLOOKUP(F92,Master_Category!A:B,2,FALSE)</f>
        <v>Snack</v>
      </c>
      <c r="H92" t="str">
        <f ca="1">_xlfn.XLOOKUP(D92,Master_Supplier!A:A,Master_Supplier!B:B)</f>
        <v>PT Gula Manis</v>
      </c>
      <c r="I92" t="str">
        <f ca="1">_xlfn.XLOOKUP(D92,Master_Supplier!A:A,Master_Supplier!E:E)</f>
        <v>Malang</v>
      </c>
      <c r="J92">
        <f ca="1">_xlfn.XLOOKUP(C92,Master_Product!A:A,Master_Product!E:E)</f>
        <v>22987</v>
      </c>
      <c r="K92">
        <v>20</v>
      </c>
      <c r="L92">
        <f ca="1">Table_StockIn[[#This Row],[buy_price]]*Table_StockIn[[#This Row],[quantity]]</f>
        <v>459740</v>
      </c>
    </row>
    <row r="93" spans="1:12" x14ac:dyDescent="0.3">
      <c r="A93" t="str">
        <f t="shared" si="2"/>
        <v>PUR0092</v>
      </c>
      <c r="B93" s="1">
        <f t="shared" ca="1" si="3"/>
        <v>46016</v>
      </c>
      <c r="C93" t="str" cm="1">
        <f t="array" aca="1" ref="C93" ca="1">INDEX(Master_Product!$A$2:$A$101,RANDBETWEEN(1,100))</f>
        <v>PRD028</v>
      </c>
      <c r="D93" t="str">
        <f ca="1">_xlfn.XLOOKUP(C93,Master_Product!A:A,Master_Product!D:D)</f>
        <v>SUP002</v>
      </c>
      <c r="E93" t="str">
        <f ca="1">_xlfn.XLOOKUP(C93,Master_Product!A:A,Master_Product!B:B)</f>
        <v>Cookies</v>
      </c>
      <c r="F93" t="str">
        <f ca="1">_xlfn.XLOOKUP(C94,Master_Product!A:A,Master_Product!C:C)</f>
        <v>CAT007</v>
      </c>
      <c r="G93" t="str">
        <f ca="1">VLOOKUP(F93,Master_Category!A:B,2,FALSE)</f>
        <v>Cup &amp; Packaging</v>
      </c>
      <c r="H93" t="e">
        <f ca="1">_xlfn.XLOOKUP(D93,Master_Supplier!A:A,Master_Supplier!B:B)</f>
        <v>#N/A</v>
      </c>
      <c r="I93" t="e">
        <f ca="1">_xlfn.XLOOKUP(D93,Master_Supplier!A:A,Master_Supplier!E:E)</f>
        <v>#N/A</v>
      </c>
      <c r="J93">
        <f ca="1">_xlfn.XLOOKUP(C93,Master_Product!A:A,Master_Product!E:E)</f>
        <v>74066</v>
      </c>
      <c r="K93">
        <v>20</v>
      </c>
      <c r="L93">
        <f ca="1">Table_StockIn[[#This Row],[buy_price]]*Table_StockIn[[#This Row],[quantity]]</f>
        <v>1481320</v>
      </c>
    </row>
    <row r="94" spans="1:12" x14ac:dyDescent="0.3">
      <c r="A94" t="str">
        <f t="shared" si="2"/>
        <v>PUR0093</v>
      </c>
      <c r="B94" s="1">
        <f t="shared" ca="1" si="3"/>
        <v>45681</v>
      </c>
      <c r="C94" t="str" cm="1">
        <f t="array" aca="1" ref="C94" ca="1">INDEX(Master_Product!$A$2:$A$101,RANDBETWEEN(1,100))</f>
        <v>PRD024</v>
      </c>
      <c r="D94" t="str">
        <f ca="1">_xlfn.XLOOKUP(C94,Master_Product!A:A,Master_Product!D:D)</f>
        <v>SUP002</v>
      </c>
      <c r="E94" t="str">
        <f ca="1">_xlfn.XLOOKUP(C94,Master_Product!A:A,Master_Product!B:B)</f>
        <v>Cup 16 oz</v>
      </c>
      <c r="F94" t="str">
        <f ca="1">_xlfn.XLOOKUP(C95,Master_Product!A:A,Master_Product!C:C)</f>
        <v>CAT004</v>
      </c>
      <c r="G94" t="str">
        <f ca="1">VLOOKUP(F94,Master_Category!A:B,2,FALSE)</f>
        <v>Syrup</v>
      </c>
      <c r="H94" t="e">
        <f ca="1">_xlfn.XLOOKUP(D94,Master_Supplier!A:A,Master_Supplier!B:B)</f>
        <v>#N/A</v>
      </c>
      <c r="I94" t="e">
        <f ca="1">_xlfn.XLOOKUP(D94,Master_Supplier!A:A,Master_Supplier!E:E)</f>
        <v>#N/A</v>
      </c>
      <c r="J94">
        <f ca="1">_xlfn.XLOOKUP(C94,Master_Product!A:A,Master_Product!E:E)</f>
        <v>25632</v>
      </c>
      <c r="K94">
        <v>100</v>
      </c>
      <c r="L94">
        <f ca="1">Table_StockIn[[#This Row],[buy_price]]*Table_StockIn[[#This Row],[quantity]]</f>
        <v>2563200</v>
      </c>
    </row>
    <row r="95" spans="1:12" x14ac:dyDescent="0.3">
      <c r="A95" t="str">
        <f t="shared" si="2"/>
        <v>PUR0094</v>
      </c>
      <c r="B95" s="1">
        <f t="shared" ca="1" si="3"/>
        <v>45666</v>
      </c>
      <c r="C95" t="str" cm="1">
        <f t="array" aca="1" ref="C95" ca="1">INDEX(Master_Product!$A$2:$A$101,RANDBETWEEN(1,100))</f>
        <v>PRD012</v>
      </c>
      <c r="D95" t="str">
        <f ca="1">_xlfn.XLOOKUP(C95,Master_Product!A:A,Master_Product!D:D)</f>
        <v>SUP024</v>
      </c>
      <c r="E95" t="str">
        <f ca="1">_xlfn.XLOOKUP(C95,Master_Product!A:A,Master_Product!B:B)</f>
        <v>Hazelnut Syrup</v>
      </c>
      <c r="F95" t="str">
        <f ca="1">_xlfn.XLOOKUP(C96,Master_Product!A:A,Master_Product!C:C)</f>
        <v>CAT005</v>
      </c>
      <c r="G95" t="str">
        <f ca="1">VLOOKUP(F95,Master_Category!A:B,2,FALSE)</f>
        <v>Powder</v>
      </c>
      <c r="H95" t="str">
        <f ca="1">_xlfn.XLOOKUP(D95,Master_Supplier!A:A,Master_Supplier!B:B)</f>
        <v>PT Coffee Chemical</v>
      </c>
      <c r="I95" t="str">
        <f ca="1">_xlfn.XLOOKUP(D95,Master_Supplier!A:A,Master_Supplier!E:E)</f>
        <v>Depok</v>
      </c>
      <c r="J95">
        <f ca="1">_xlfn.XLOOKUP(C95,Master_Product!A:A,Master_Product!E:E)</f>
        <v>60435</v>
      </c>
      <c r="K95">
        <v>50</v>
      </c>
      <c r="L95">
        <f ca="1">Table_StockIn[[#This Row],[buy_price]]*Table_StockIn[[#This Row],[quantity]]</f>
        <v>3021750</v>
      </c>
    </row>
    <row r="96" spans="1:12" x14ac:dyDescent="0.3">
      <c r="A96" t="str">
        <f t="shared" si="2"/>
        <v>PUR0095</v>
      </c>
      <c r="B96" s="1">
        <f t="shared" ca="1" si="3"/>
        <v>45762</v>
      </c>
      <c r="C96" t="str" cm="1">
        <f t="array" aca="1" ref="C96" ca="1">INDEX(Master_Product!$A$2:$A$101,RANDBETWEEN(1,100))</f>
        <v>PRD077</v>
      </c>
      <c r="D96" t="str">
        <f ca="1">_xlfn.XLOOKUP(C96,Master_Product!A:A,Master_Product!D:D)</f>
        <v>SUP026</v>
      </c>
      <c r="E96" t="str">
        <f ca="1">_xlfn.XLOOKUP(C96,Master_Product!A:A,Master_Product!B:B)</f>
        <v>Possimus Product</v>
      </c>
      <c r="F96" t="str">
        <f ca="1">_xlfn.XLOOKUP(C97,Master_Product!A:A,Master_Product!C:C)</f>
        <v>CAT010</v>
      </c>
      <c r="G96" t="str">
        <f ca="1">VLOOKUP(F96,Master_Category!A:B,2,FALSE)</f>
        <v>Cleaning</v>
      </c>
      <c r="H96" t="str">
        <f ca="1">_xlfn.XLOOKUP(D96,Master_Supplier!A:A,Master_Supplier!B:B)</f>
        <v>PT Robusta Indonesia</v>
      </c>
      <c r="I96" t="str">
        <f ca="1">_xlfn.XLOOKUP(D96,Master_Supplier!A:A,Master_Supplier!E:E)</f>
        <v>Malang</v>
      </c>
      <c r="J96">
        <f ca="1">_xlfn.XLOOKUP(C96,Master_Product!A:A,Master_Product!E:E)</f>
        <v>26241</v>
      </c>
      <c r="K96">
        <v>50</v>
      </c>
      <c r="L96">
        <f ca="1">Table_StockIn[[#This Row],[buy_price]]*Table_StockIn[[#This Row],[quantity]]</f>
        <v>1312050</v>
      </c>
    </row>
    <row r="97" spans="1:12" x14ac:dyDescent="0.3">
      <c r="A97" t="str">
        <f t="shared" si="2"/>
        <v>PUR0096</v>
      </c>
      <c r="B97" s="1">
        <f t="shared" ca="1" si="3"/>
        <v>45795</v>
      </c>
      <c r="C97" t="str" cm="1">
        <f t="array" aca="1" ref="C97" ca="1">INDEX(Master_Product!$A$2:$A$101,RANDBETWEEN(1,100))</f>
        <v>PRD073</v>
      </c>
      <c r="D97" t="str">
        <f ca="1">_xlfn.XLOOKUP(C97,Master_Product!A:A,Master_Product!D:D)</f>
        <v>SUP025</v>
      </c>
      <c r="E97" t="str">
        <f ca="1">_xlfn.XLOOKUP(C97,Master_Product!A:A,Master_Product!B:B)</f>
        <v>Illo Product</v>
      </c>
      <c r="F97" t="str">
        <f ca="1">_xlfn.XLOOKUP(C98,Master_Product!A:A,Master_Product!C:C)</f>
        <v>CAT008</v>
      </c>
      <c r="G97" t="str">
        <f ca="1">VLOOKUP(F97,Master_Category!A:B,2,FALSE)</f>
        <v>Snack</v>
      </c>
      <c r="H97" t="str">
        <f ca="1">_xlfn.XLOOKUP(D97,Master_Supplier!A:A,Master_Supplier!B:B)</f>
        <v>PT Arabica Indonesia</v>
      </c>
      <c r="I97" t="str">
        <f ca="1">_xlfn.XLOOKUP(D97,Master_Supplier!A:A,Master_Supplier!E:E)</f>
        <v>Semarang</v>
      </c>
      <c r="J97">
        <f ca="1">_xlfn.XLOOKUP(C97,Master_Product!A:A,Master_Product!E:E)</f>
        <v>63222</v>
      </c>
      <c r="K97">
        <v>100</v>
      </c>
      <c r="L97">
        <f ca="1">Table_StockIn[[#This Row],[buy_price]]*Table_StockIn[[#This Row],[quantity]]</f>
        <v>6322200</v>
      </c>
    </row>
    <row r="98" spans="1:12" x14ac:dyDescent="0.3">
      <c r="A98" t="str">
        <f t="shared" si="2"/>
        <v>PUR0097</v>
      </c>
      <c r="B98" s="1">
        <f t="shared" ca="1" si="3"/>
        <v>45943</v>
      </c>
      <c r="C98" t="str" cm="1">
        <f t="array" aca="1" ref="C98" ca="1">INDEX(Master_Product!$A$2:$A$101,RANDBETWEEN(1,100))</f>
        <v>PRD027</v>
      </c>
      <c r="D98" t="str">
        <f ca="1">_xlfn.XLOOKUP(C98,Master_Product!A:A,Master_Product!D:D)</f>
        <v>SUP010</v>
      </c>
      <c r="E98" t="str">
        <f ca="1">_xlfn.XLOOKUP(C98,Master_Product!A:A,Master_Product!B:B)</f>
        <v>Brownies</v>
      </c>
      <c r="F98" t="str">
        <f ca="1">_xlfn.XLOOKUP(C99,Master_Product!A:A,Master_Product!C:C)</f>
        <v>CAT006</v>
      </c>
      <c r="G98" t="str">
        <f ca="1">VLOOKUP(F98,Master_Category!A:B,2,FALSE)</f>
        <v>Topping</v>
      </c>
      <c r="H98" t="str">
        <f ca="1">_xlfn.XLOOKUP(D98,Master_Supplier!A:A,Master_Supplier!B:B)</f>
        <v>PT Gula Manis</v>
      </c>
      <c r="I98" t="str">
        <f ca="1">_xlfn.XLOOKUP(D98,Master_Supplier!A:A,Master_Supplier!E:E)</f>
        <v>Malang</v>
      </c>
      <c r="J98">
        <f ca="1">_xlfn.XLOOKUP(C98,Master_Product!A:A,Master_Product!E:E)</f>
        <v>50242</v>
      </c>
      <c r="K98">
        <v>20</v>
      </c>
      <c r="L98">
        <f ca="1">Table_StockIn[[#This Row],[buy_price]]*Table_StockIn[[#This Row],[quantity]]</f>
        <v>1004840</v>
      </c>
    </row>
    <row r="99" spans="1:12" x14ac:dyDescent="0.3">
      <c r="A99" t="str">
        <f t="shared" si="2"/>
        <v>PUR0098</v>
      </c>
      <c r="B99" s="1">
        <f t="shared" ca="1" si="3"/>
        <v>45990</v>
      </c>
      <c r="C99" t="str" cm="1">
        <f t="array" aca="1" ref="C99" ca="1">INDEX(Master_Product!$A$2:$A$101,RANDBETWEEN(1,100))</f>
        <v>PRD044</v>
      </c>
      <c r="D99" t="str">
        <f ca="1">_xlfn.XLOOKUP(C99,Master_Product!A:A,Master_Product!D:D)</f>
        <v>SUP021</v>
      </c>
      <c r="E99" t="str">
        <f ca="1">_xlfn.XLOOKUP(C99,Master_Product!A:A,Master_Product!B:B)</f>
        <v>Sit Product</v>
      </c>
      <c r="F99" t="str">
        <f ca="1">_xlfn.XLOOKUP(C100,Master_Product!A:A,Master_Product!C:C)</f>
        <v>CAT005</v>
      </c>
      <c r="G99" t="str">
        <f ca="1">VLOOKUP(F99,Master_Category!A:B,2,FALSE)</f>
        <v>Powder</v>
      </c>
      <c r="H99" t="str">
        <f ca="1">_xlfn.XLOOKUP(D99,Master_Supplier!A:A,Master_Supplier!B:B)</f>
        <v>PT Coffee Packaging</v>
      </c>
      <c r="I99" t="str">
        <f ca="1">_xlfn.XLOOKUP(D99,Master_Supplier!A:A,Master_Supplier!E:E)</f>
        <v>Depok</v>
      </c>
      <c r="J99">
        <f ca="1">_xlfn.XLOOKUP(C99,Master_Product!A:A,Master_Product!E:E)</f>
        <v>25036</v>
      </c>
      <c r="K99">
        <v>100</v>
      </c>
      <c r="L99">
        <f ca="1">Table_StockIn[[#This Row],[buy_price]]*Table_StockIn[[#This Row],[quantity]]</f>
        <v>2503600</v>
      </c>
    </row>
    <row r="100" spans="1:12" x14ac:dyDescent="0.3">
      <c r="A100" t="str">
        <f t="shared" si="2"/>
        <v>PUR0099</v>
      </c>
      <c r="B100" s="1">
        <f t="shared" ca="1" si="3"/>
        <v>45821</v>
      </c>
      <c r="C100" t="str" cm="1">
        <f t="array" aca="1" ref="C100" ca="1">INDEX(Master_Product!$A$2:$A$101,RANDBETWEEN(1,100))</f>
        <v>PRD080</v>
      </c>
      <c r="D100" t="str">
        <f ca="1">_xlfn.XLOOKUP(C100,Master_Product!A:A,Master_Product!D:D)</f>
        <v>SUP025</v>
      </c>
      <c r="E100" t="str">
        <f ca="1">_xlfn.XLOOKUP(C100,Master_Product!A:A,Master_Product!B:B)</f>
        <v>Culpa Product</v>
      </c>
      <c r="F100" t="str">
        <f ca="1">_xlfn.XLOOKUP(C101,Master_Product!A:A,Master_Product!C:C)</f>
        <v>CAT005</v>
      </c>
      <c r="G100" t="str">
        <f ca="1">VLOOKUP(F100,Master_Category!A:B,2,FALSE)</f>
        <v>Powder</v>
      </c>
      <c r="H100" t="str">
        <f ca="1">_xlfn.XLOOKUP(D100,Master_Supplier!A:A,Master_Supplier!B:B)</f>
        <v>PT Arabica Indonesia</v>
      </c>
      <c r="I100" t="str">
        <f ca="1">_xlfn.XLOOKUP(D100,Master_Supplier!A:A,Master_Supplier!E:E)</f>
        <v>Semarang</v>
      </c>
      <c r="J100">
        <f ca="1">_xlfn.XLOOKUP(C100,Master_Product!A:A,Master_Product!E:E)</f>
        <v>21341</v>
      </c>
      <c r="K100">
        <v>50</v>
      </c>
      <c r="L100">
        <f ca="1">Table_StockIn[[#This Row],[buy_price]]*Table_StockIn[[#This Row],[quantity]]</f>
        <v>1067050</v>
      </c>
    </row>
    <row r="101" spans="1:12" x14ac:dyDescent="0.3">
      <c r="A101" t="str">
        <f t="shared" si="2"/>
        <v>PUR0100</v>
      </c>
      <c r="B101" s="1">
        <f t="shared" ca="1" si="3"/>
        <v>45910</v>
      </c>
      <c r="C101" t="str" cm="1">
        <f t="array" aca="1" ref="C101" ca="1">INDEX(Master_Product!$A$2:$A$101,RANDBETWEEN(1,100))</f>
        <v>PRD098</v>
      </c>
      <c r="D101" t="str">
        <f ca="1">_xlfn.XLOOKUP(C101,Master_Product!A:A,Master_Product!D:D)</f>
        <v>SUP002</v>
      </c>
      <c r="E101" t="str">
        <f ca="1">_xlfn.XLOOKUP(C101,Master_Product!A:A,Master_Product!B:B)</f>
        <v>Fuga Product</v>
      </c>
      <c r="F101" t="str">
        <f ca="1">_xlfn.XLOOKUP(C102,Master_Product!A:A,Master_Product!C:C)</f>
        <v>CAT010</v>
      </c>
      <c r="G101" t="str">
        <f ca="1">VLOOKUP(F101,Master_Category!A:B,2,FALSE)</f>
        <v>Cleaning</v>
      </c>
      <c r="H101" t="e">
        <f ca="1">_xlfn.XLOOKUP(D101,Master_Supplier!A:A,Master_Supplier!B:B)</f>
        <v>#N/A</v>
      </c>
      <c r="I101" t="e">
        <f ca="1">_xlfn.XLOOKUP(D101,Master_Supplier!A:A,Master_Supplier!E:E)</f>
        <v>#N/A</v>
      </c>
      <c r="J101">
        <f ca="1">_xlfn.XLOOKUP(C101,Master_Product!A:A,Master_Product!E:E)</f>
        <v>56177</v>
      </c>
      <c r="K101">
        <v>100</v>
      </c>
      <c r="L101">
        <f ca="1">Table_StockIn[[#This Row],[buy_price]]*Table_StockIn[[#This Row],[quantity]]</f>
        <v>5617700</v>
      </c>
    </row>
    <row r="102" spans="1:12" x14ac:dyDescent="0.3">
      <c r="A102" t="str">
        <f t="shared" si="2"/>
        <v>PUR0101</v>
      </c>
      <c r="B102" s="1">
        <f t="shared" ca="1" si="3"/>
        <v>46018</v>
      </c>
      <c r="C102" t="str" cm="1">
        <f t="array" aca="1" ref="C102" ca="1">INDEX(Master_Product!$A$2:$A$101,RANDBETWEEN(1,100))</f>
        <v>PRD039</v>
      </c>
      <c r="D102" t="str">
        <f ca="1">_xlfn.XLOOKUP(C102,Master_Product!A:A,Master_Product!D:D)</f>
        <v>SUP013</v>
      </c>
      <c r="E102" t="str">
        <f ca="1">_xlfn.XLOOKUP(C102,Master_Product!A:A,Master_Product!B:B)</f>
        <v>Illo Product</v>
      </c>
      <c r="F102" t="str">
        <f ca="1">_xlfn.XLOOKUP(C103,Master_Product!A:A,Master_Product!C:C)</f>
        <v>CAT002</v>
      </c>
      <c r="G102" t="str">
        <f ca="1">VLOOKUP(F102,Master_Category!A:B,2,FALSE)</f>
        <v>Tea</v>
      </c>
      <c r="H102" t="str">
        <f ca="1">_xlfn.XLOOKUP(D102,Master_Supplier!A:A,Master_Supplier!B:B)</f>
        <v>PT Coffee Trading</v>
      </c>
      <c r="I102" t="str">
        <f ca="1">_xlfn.XLOOKUP(D102,Master_Supplier!A:A,Master_Supplier!E:E)</f>
        <v>Jakarta</v>
      </c>
      <c r="J102">
        <f ca="1">_xlfn.XLOOKUP(C102,Master_Product!A:A,Master_Product!E:E)</f>
        <v>57487</v>
      </c>
      <c r="K102">
        <v>100</v>
      </c>
      <c r="L102">
        <f ca="1">Table_StockIn[[#This Row],[buy_price]]*Table_StockIn[[#This Row],[quantity]]</f>
        <v>5748700</v>
      </c>
    </row>
    <row r="103" spans="1:12" x14ac:dyDescent="0.3">
      <c r="A103" t="str">
        <f t="shared" si="2"/>
        <v>PUR0102</v>
      </c>
      <c r="B103" s="1">
        <f t="shared" ca="1" si="3"/>
        <v>45732</v>
      </c>
      <c r="C103" t="str" cm="1">
        <f t="array" aca="1" ref="C103" ca="1">INDEX(Master_Product!$A$2:$A$101,RANDBETWEEN(1,100))</f>
        <v>PRD057</v>
      </c>
      <c r="D103" t="str">
        <f ca="1">_xlfn.XLOOKUP(C103,Master_Product!A:A,Master_Product!D:D)</f>
        <v>SUP010</v>
      </c>
      <c r="E103" t="str">
        <f ca="1">_xlfn.XLOOKUP(C103,Master_Product!A:A,Master_Product!B:B)</f>
        <v>Vitae Product</v>
      </c>
      <c r="F103" t="str">
        <f ca="1">_xlfn.XLOOKUP(C104,Master_Product!A:A,Master_Product!C:C)</f>
        <v>CAT007</v>
      </c>
      <c r="G103" t="str">
        <f ca="1">VLOOKUP(F103,Master_Category!A:B,2,FALSE)</f>
        <v>Cup &amp; Packaging</v>
      </c>
      <c r="H103" t="str">
        <f ca="1">_xlfn.XLOOKUP(D103,Master_Supplier!A:A,Master_Supplier!B:B)</f>
        <v>PT Gula Manis</v>
      </c>
      <c r="I103" t="str">
        <f ca="1">_xlfn.XLOOKUP(D103,Master_Supplier!A:A,Master_Supplier!E:E)</f>
        <v>Malang</v>
      </c>
      <c r="J103">
        <f ca="1">_xlfn.XLOOKUP(C103,Master_Product!A:A,Master_Product!E:E)</f>
        <v>52696</v>
      </c>
      <c r="K103">
        <v>20</v>
      </c>
      <c r="L103">
        <f ca="1">Table_StockIn[[#This Row],[buy_price]]*Table_StockIn[[#This Row],[quantity]]</f>
        <v>1053920</v>
      </c>
    </row>
    <row r="104" spans="1:12" x14ac:dyDescent="0.3">
      <c r="A104" t="str">
        <f t="shared" si="2"/>
        <v>PUR0103</v>
      </c>
      <c r="B104" s="1">
        <f t="shared" ca="1" si="3"/>
        <v>45946</v>
      </c>
      <c r="C104" t="str" cm="1">
        <f t="array" aca="1" ref="C104" ca="1">INDEX(Master_Product!$A$2:$A$101,RANDBETWEEN(1,100))</f>
        <v>PRD023</v>
      </c>
      <c r="D104" t="str">
        <f ca="1">_xlfn.XLOOKUP(C104,Master_Product!A:A,Master_Product!D:D)</f>
        <v>SUP029</v>
      </c>
      <c r="E104" t="str">
        <f ca="1">_xlfn.XLOOKUP(C104,Master_Product!A:A,Master_Product!B:B)</f>
        <v>Cup 12 oz</v>
      </c>
      <c r="F104" t="str">
        <f ca="1">_xlfn.XLOOKUP(C105,Master_Product!A:A,Master_Product!C:C)</f>
        <v>CAT009</v>
      </c>
      <c r="G104" t="str">
        <f ca="1">VLOOKUP(F104,Master_Category!A:B,2,FALSE)</f>
        <v>Machine Supply</v>
      </c>
      <c r="H104" t="e">
        <f ca="1">_xlfn.XLOOKUP(D104,Master_Supplier!A:A,Master_Supplier!B:B)</f>
        <v>#N/A</v>
      </c>
      <c r="I104" t="e">
        <f ca="1">_xlfn.XLOOKUP(D104,Master_Supplier!A:A,Master_Supplier!E:E)</f>
        <v>#N/A</v>
      </c>
      <c r="J104">
        <f ca="1">_xlfn.XLOOKUP(C104,Master_Product!A:A,Master_Product!E:E)</f>
        <v>79395</v>
      </c>
      <c r="K104">
        <v>50</v>
      </c>
      <c r="L104">
        <f ca="1">Table_StockIn[[#This Row],[buy_price]]*Table_StockIn[[#This Row],[quantity]]</f>
        <v>3969750</v>
      </c>
    </row>
    <row r="105" spans="1:12" x14ac:dyDescent="0.3">
      <c r="A105" t="str">
        <f t="shared" si="2"/>
        <v>PUR0104</v>
      </c>
      <c r="B105" s="1">
        <f t="shared" ca="1" si="3"/>
        <v>45766</v>
      </c>
      <c r="C105" t="str" cm="1">
        <f t="array" aca="1" ref="C105" ca="1">INDEX(Master_Product!$A$2:$A$101,RANDBETWEEN(1,100))</f>
        <v>PRD032</v>
      </c>
      <c r="D105" t="str">
        <f ca="1">_xlfn.XLOOKUP(C105,Master_Product!A:A,Master_Product!D:D)</f>
        <v>SUP008</v>
      </c>
      <c r="E105" t="str">
        <f ca="1">_xlfn.XLOOKUP(C105,Master_Product!A:A,Master_Product!B:B)</f>
        <v>Filter Paper</v>
      </c>
      <c r="F105" t="str">
        <f ca="1">_xlfn.XLOOKUP(C106,Master_Product!A:A,Master_Product!C:C)</f>
        <v>CAT002</v>
      </c>
      <c r="G105" t="str">
        <f ca="1">VLOOKUP(F105,Master_Category!A:B,2,FALSE)</f>
        <v>Tea</v>
      </c>
      <c r="H105" t="str">
        <f ca="1">_xlfn.XLOOKUP(D105,Master_Supplier!A:A,Master_Supplier!B:B)</f>
        <v>PT Packaging Solution</v>
      </c>
      <c r="I105" t="str">
        <f ca="1">_xlfn.XLOOKUP(D105,Master_Supplier!A:A,Master_Supplier!E:E)</f>
        <v>Yogyakarta</v>
      </c>
      <c r="J105">
        <f ca="1">_xlfn.XLOOKUP(C105,Master_Product!A:A,Master_Product!E:E)</f>
        <v>54834</v>
      </c>
      <c r="K105">
        <v>80</v>
      </c>
      <c r="L105">
        <f ca="1">Table_StockIn[[#This Row],[buy_price]]*Table_StockIn[[#This Row],[quantity]]</f>
        <v>4386720</v>
      </c>
    </row>
    <row r="106" spans="1:12" x14ac:dyDescent="0.3">
      <c r="A106" t="str">
        <f t="shared" si="2"/>
        <v>PUR0105</v>
      </c>
      <c r="B106" s="1">
        <f t="shared" ca="1" si="3"/>
        <v>45778</v>
      </c>
      <c r="C106" t="str" cm="1">
        <f t="array" aca="1" ref="C106" ca="1">INDEX(Master_Product!$A$2:$A$101,RANDBETWEEN(1,100))</f>
        <v>PRD007</v>
      </c>
      <c r="D106" t="str">
        <f ca="1">_xlfn.XLOOKUP(C106,Master_Product!A:A,Master_Product!D:D)</f>
        <v>SUP022</v>
      </c>
      <c r="E106" t="str">
        <f ca="1">_xlfn.XLOOKUP(C106,Master_Product!A:A,Master_Product!B:B)</f>
        <v>Earl Grey</v>
      </c>
      <c r="F106" t="str">
        <f ca="1">_xlfn.XLOOKUP(C107,Master_Product!A:A,Master_Product!C:C)</f>
        <v>CAT004</v>
      </c>
      <c r="G106" t="str">
        <f ca="1">VLOOKUP(F106,Master_Category!A:B,2,FALSE)</f>
        <v>Syrup</v>
      </c>
      <c r="H106" t="str">
        <f ca="1">_xlfn.XLOOKUP(D106,Master_Supplier!A:A,Master_Supplier!B:B)</f>
        <v>CV Biji Nusantara</v>
      </c>
      <c r="I106" t="str">
        <f ca="1">_xlfn.XLOOKUP(D106,Master_Supplier!A:A,Master_Supplier!E:E)</f>
        <v>Yogyakarta</v>
      </c>
      <c r="J106">
        <f ca="1">_xlfn.XLOOKUP(C106,Master_Product!A:A,Master_Product!E:E)</f>
        <v>45966</v>
      </c>
      <c r="K106">
        <v>30</v>
      </c>
      <c r="L106">
        <f ca="1">Table_StockIn[[#This Row],[buy_price]]*Table_StockIn[[#This Row],[quantity]]</f>
        <v>1378980</v>
      </c>
    </row>
    <row r="107" spans="1:12" x14ac:dyDescent="0.3">
      <c r="A107" t="str">
        <f t="shared" si="2"/>
        <v>PUR0106</v>
      </c>
      <c r="B107" s="1">
        <f t="shared" ca="1" si="3"/>
        <v>45664</v>
      </c>
      <c r="C107" t="str" cm="1">
        <f t="array" aca="1" ref="C107" ca="1">INDEX(Master_Product!$A$2:$A$101,RANDBETWEEN(1,100))</f>
        <v>PRD043</v>
      </c>
      <c r="D107" t="str">
        <f ca="1">_xlfn.XLOOKUP(C107,Master_Product!A:A,Master_Product!D:D)</f>
        <v>SUP009</v>
      </c>
      <c r="E107" t="str">
        <f ca="1">_xlfn.XLOOKUP(C107,Master_Product!A:A,Master_Product!B:B)</f>
        <v>Odio Product</v>
      </c>
      <c r="F107" t="str">
        <f ca="1">_xlfn.XLOOKUP(C108,Master_Product!A:A,Master_Product!C:C)</f>
        <v>CAT006</v>
      </c>
      <c r="G107" t="str">
        <f ca="1">VLOOKUP(F107,Master_Category!A:B,2,FALSE)</f>
        <v>Topping</v>
      </c>
      <c r="H107" t="str">
        <f ca="1">_xlfn.XLOOKUP(D107,Master_Supplier!A:A,Master_Supplier!B:B)</f>
        <v>CV Nusantara Food</v>
      </c>
      <c r="I107" t="str">
        <f ca="1">_xlfn.XLOOKUP(D107,Master_Supplier!A:A,Master_Supplier!E:E)</f>
        <v>Bandung</v>
      </c>
      <c r="J107">
        <f ca="1">_xlfn.XLOOKUP(C107,Master_Product!A:A,Master_Product!E:E)</f>
        <v>35968</v>
      </c>
      <c r="K107">
        <v>30</v>
      </c>
      <c r="L107">
        <f ca="1">Table_StockIn[[#This Row],[buy_price]]*Table_StockIn[[#This Row],[quantity]]</f>
        <v>1079040</v>
      </c>
    </row>
    <row r="108" spans="1:12" x14ac:dyDescent="0.3">
      <c r="A108" t="str">
        <f t="shared" si="2"/>
        <v>PUR0107</v>
      </c>
      <c r="B108" s="1">
        <f t="shared" ca="1" si="3"/>
        <v>45821</v>
      </c>
      <c r="C108" t="str" cm="1">
        <f t="array" aca="1" ref="C108" ca="1">INDEX(Master_Product!$A$2:$A$101,RANDBETWEEN(1,100))</f>
        <v>PRD064</v>
      </c>
      <c r="D108" t="str">
        <f ca="1">_xlfn.XLOOKUP(C108,Master_Product!A:A,Master_Product!D:D)</f>
        <v>SUP011</v>
      </c>
      <c r="E108" t="str">
        <f ca="1">_xlfn.XLOOKUP(C108,Master_Product!A:A,Master_Product!B:B)</f>
        <v>Blanditiis Product</v>
      </c>
      <c r="F108" t="str">
        <f ca="1">_xlfn.XLOOKUP(C109,Master_Product!A:A,Master_Product!C:C)</f>
        <v>CAT007</v>
      </c>
      <c r="G108" t="str">
        <f ca="1">VLOOKUP(F108,Master_Category!A:B,2,FALSE)</f>
        <v>Cup &amp; Packaging</v>
      </c>
      <c r="H108" t="e">
        <f ca="1">_xlfn.XLOOKUP(D108,Master_Supplier!A:A,Master_Supplier!B:B)</f>
        <v>#N/A</v>
      </c>
      <c r="I108" t="e">
        <f ca="1">_xlfn.XLOOKUP(D108,Master_Supplier!A:A,Master_Supplier!E:E)</f>
        <v>#N/A</v>
      </c>
      <c r="J108">
        <f ca="1">_xlfn.XLOOKUP(C108,Master_Product!A:A,Master_Product!E:E)</f>
        <v>54372</v>
      </c>
      <c r="K108">
        <v>100</v>
      </c>
      <c r="L108">
        <f ca="1">Table_StockIn[[#This Row],[buy_price]]*Table_StockIn[[#This Row],[quantity]]</f>
        <v>5437200</v>
      </c>
    </row>
    <row r="109" spans="1:12" x14ac:dyDescent="0.3">
      <c r="A109" t="str">
        <f t="shared" si="2"/>
        <v>PUR0108</v>
      </c>
      <c r="B109" s="1">
        <f t="shared" ca="1" si="3"/>
        <v>46009</v>
      </c>
      <c r="C109" t="str" cm="1">
        <f t="array" aca="1" ref="C109" ca="1">INDEX(Master_Product!$A$2:$A$101,RANDBETWEEN(1,100))</f>
        <v>PRD026</v>
      </c>
      <c r="D109" t="str">
        <f ca="1">_xlfn.XLOOKUP(C109,Master_Product!A:A,Master_Product!D:D)</f>
        <v>SUP025</v>
      </c>
      <c r="E109" t="str">
        <f ca="1">_xlfn.XLOOKUP(C109,Master_Product!A:A,Master_Product!B:B)</f>
        <v>Plastic Lid</v>
      </c>
      <c r="F109" t="str">
        <f ca="1">_xlfn.XLOOKUP(C110,Master_Product!A:A,Master_Product!C:C)</f>
        <v>CAT005</v>
      </c>
      <c r="G109" t="str">
        <f ca="1">VLOOKUP(F109,Master_Category!A:B,2,FALSE)</f>
        <v>Powder</v>
      </c>
      <c r="H109" t="str">
        <f ca="1">_xlfn.XLOOKUP(D109,Master_Supplier!A:A,Master_Supplier!B:B)</f>
        <v>PT Arabica Indonesia</v>
      </c>
      <c r="I109" t="str">
        <f ca="1">_xlfn.XLOOKUP(D109,Master_Supplier!A:A,Master_Supplier!E:E)</f>
        <v>Semarang</v>
      </c>
      <c r="J109">
        <f ca="1">_xlfn.XLOOKUP(C109,Master_Product!A:A,Master_Product!E:E)</f>
        <v>59287</v>
      </c>
      <c r="K109">
        <v>20</v>
      </c>
      <c r="L109">
        <f ca="1">Table_StockIn[[#This Row],[buy_price]]*Table_StockIn[[#This Row],[quantity]]</f>
        <v>1185740</v>
      </c>
    </row>
    <row r="110" spans="1:12" x14ac:dyDescent="0.3">
      <c r="A110" t="str">
        <f t="shared" si="2"/>
        <v>PUR0109</v>
      </c>
      <c r="B110" s="1">
        <f t="shared" ca="1" si="3"/>
        <v>45858</v>
      </c>
      <c r="C110" t="str" cm="1">
        <f t="array" aca="1" ref="C110" ca="1">INDEX(Master_Product!$A$2:$A$101,RANDBETWEEN(1,100))</f>
        <v>PRD072</v>
      </c>
      <c r="D110" t="str">
        <f ca="1">_xlfn.XLOOKUP(C110,Master_Product!A:A,Master_Product!D:D)</f>
        <v>SUP012</v>
      </c>
      <c r="E110" t="str">
        <f ca="1">_xlfn.XLOOKUP(C110,Master_Product!A:A,Master_Product!B:B)</f>
        <v>Quidem Product</v>
      </c>
      <c r="F110" t="str">
        <f ca="1">_xlfn.XLOOKUP(C111,Master_Product!A:A,Master_Product!C:C)</f>
        <v>CAT007</v>
      </c>
      <c r="G110" t="str">
        <f ca="1">VLOOKUP(F110,Master_Category!A:B,2,FALSE)</f>
        <v>Cup &amp; Packaging</v>
      </c>
      <c r="H110" t="str">
        <f ca="1">_xlfn.XLOOKUP(D110,Master_Supplier!A:A,Master_Supplier!B:B)</f>
        <v>PT Tea Indonesia</v>
      </c>
      <c r="I110" t="str">
        <f ca="1">_xlfn.XLOOKUP(D110,Master_Supplier!A:A,Master_Supplier!E:E)</f>
        <v>Jakarta</v>
      </c>
      <c r="J110">
        <f ca="1">_xlfn.XLOOKUP(C110,Master_Product!A:A,Master_Product!E:E)</f>
        <v>62366</v>
      </c>
      <c r="K110">
        <v>30</v>
      </c>
      <c r="L110">
        <f ca="1">Table_StockIn[[#This Row],[buy_price]]*Table_StockIn[[#This Row],[quantity]]</f>
        <v>1870980</v>
      </c>
    </row>
    <row r="111" spans="1:12" x14ac:dyDescent="0.3">
      <c r="A111" t="str">
        <f t="shared" si="2"/>
        <v>PUR0110</v>
      </c>
      <c r="B111" s="1">
        <f t="shared" ca="1" si="3"/>
        <v>45712</v>
      </c>
      <c r="C111" t="str" cm="1">
        <f t="array" aca="1" ref="C111" ca="1">INDEX(Master_Product!$A$2:$A$101,RANDBETWEEN(1,100))</f>
        <v>PRD025</v>
      </c>
      <c r="D111" t="str">
        <f ca="1">_xlfn.XLOOKUP(C111,Master_Product!A:A,Master_Product!D:D)</f>
        <v>SUP014</v>
      </c>
      <c r="E111" t="str">
        <f ca="1">_xlfn.XLOOKUP(C111,Master_Product!A:A,Master_Product!B:B)</f>
        <v>Paper Bag</v>
      </c>
      <c r="F111" t="str">
        <f ca="1">_xlfn.XLOOKUP(C112,Master_Product!A:A,Master_Product!C:C)</f>
        <v>CAT010</v>
      </c>
      <c r="G111" t="str">
        <f ca="1">VLOOKUP(F111,Master_Category!A:B,2,FALSE)</f>
        <v>Cleaning</v>
      </c>
      <c r="H111" t="str">
        <f ca="1">_xlfn.XLOOKUP(D111,Master_Supplier!A:A,Master_Supplier!B:B)</f>
        <v>PT Food Ingredients</v>
      </c>
      <c r="I111" t="str">
        <f ca="1">_xlfn.XLOOKUP(D111,Master_Supplier!A:A,Master_Supplier!E:E)</f>
        <v>Bandung</v>
      </c>
      <c r="J111">
        <f ca="1">_xlfn.XLOOKUP(C111,Master_Product!A:A,Master_Product!E:E)</f>
        <v>40665</v>
      </c>
      <c r="K111">
        <v>30</v>
      </c>
      <c r="L111">
        <f ca="1">Table_StockIn[[#This Row],[buy_price]]*Table_StockIn[[#This Row],[quantity]]</f>
        <v>1219950</v>
      </c>
    </row>
    <row r="112" spans="1:12" x14ac:dyDescent="0.3">
      <c r="A112" t="str">
        <f t="shared" si="2"/>
        <v>PUR0111</v>
      </c>
      <c r="B112" s="1">
        <f t="shared" ca="1" si="3"/>
        <v>46020</v>
      </c>
      <c r="C112" t="str" cm="1">
        <f t="array" aca="1" ref="C112" ca="1">INDEX(Master_Product!$A$2:$A$101,RANDBETWEEN(1,100))</f>
        <v>PRD055</v>
      </c>
      <c r="D112" t="str">
        <f ca="1">_xlfn.XLOOKUP(C112,Master_Product!A:A,Master_Product!D:D)</f>
        <v>SUP006</v>
      </c>
      <c r="E112" t="str">
        <f ca="1">_xlfn.XLOOKUP(C112,Master_Product!A:A,Master_Product!B:B)</f>
        <v>Possimus Product</v>
      </c>
      <c r="F112" t="str">
        <f ca="1">_xlfn.XLOOKUP(C113,Master_Product!A:A,Master_Product!C:C)</f>
        <v>CAT003</v>
      </c>
      <c r="G112" t="str">
        <f ca="1">VLOOKUP(F112,Master_Category!A:B,2,FALSE)</f>
        <v>Milk</v>
      </c>
      <c r="H112" t="str">
        <f ca="1">_xlfn.XLOOKUP(D112,Master_Supplier!A:A,Master_Supplier!B:B)</f>
        <v>CV Java Coffee</v>
      </c>
      <c r="I112" t="str">
        <f ca="1">_xlfn.XLOOKUP(D112,Master_Supplier!A:A,Master_Supplier!E:E)</f>
        <v>Bogor</v>
      </c>
      <c r="J112">
        <f ca="1">_xlfn.XLOOKUP(C112,Master_Product!A:A,Master_Product!E:E)</f>
        <v>16053</v>
      </c>
      <c r="K112">
        <v>80</v>
      </c>
      <c r="L112">
        <f ca="1">Table_StockIn[[#This Row],[buy_price]]*Table_StockIn[[#This Row],[quantity]]</f>
        <v>1284240</v>
      </c>
    </row>
    <row r="113" spans="1:12" x14ac:dyDescent="0.3">
      <c r="A113" t="str">
        <f t="shared" si="2"/>
        <v>PUR0112</v>
      </c>
      <c r="B113" s="1">
        <f t="shared" ca="1" si="3"/>
        <v>45667</v>
      </c>
      <c r="C113" t="str" cm="1">
        <f t="array" aca="1" ref="C113" ca="1">INDEX(Master_Product!$A$2:$A$101,RANDBETWEEN(1,100))</f>
        <v>PRD009</v>
      </c>
      <c r="D113" t="str">
        <f ca="1">_xlfn.XLOOKUP(C113,Master_Product!A:A,Master_Product!D:D)</f>
        <v>SUP004</v>
      </c>
      <c r="E113" t="str">
        <f ca="1">_xlfn.XLOOKUP(C113,Master_Product!A:A,Master_Product!B:B)</f>
        <v>Fresh Milk</v>
      </c>
      <c r="F113" t="str">
        <f ca="1">_xlfn.XLOOKUP(C114,Master_Product!A:A,Master_Product!C:C)</f>
        <v>CAT008</v>
      </c>
      <c r="G113" t="str">
        <f ca="1">VLOOKUP(F113,Master_Category!A:B,2,FALSE)</f>
        <v>Snack</v>
      </c>
      <c r="H113" t="str">
        <f ca="1">_xlfn.XLOOKUP(D113,Master_Supplier!A:A,Master_Supplier!B:B)</f>
        <v>PT Dairy Fresh</v>
      </c>
      <c r="I113" t="str">
        <f ca="1">_xlfn.XLOOKUP(D113,Master_Supplier!A:A,Master_Supplier!E:E)</f>
        <v>Depok</v>
      </c>
      <c r="J113">
        <f ca="1">_xlfn.XLOOKUP(C113,Master_Product!A:A,Master_Product!E:E)</f>
        <v>16188</v>
      </c>
      <c r="K113">
        <v>40</v>
      </c>
      <c r="L113">
        <f ca="1">Table_StockIn[[#This Row],[buy_price]]*Table_StockIn[[#This Row],[quantity]]</f>
        <v>647520</v>
      </c>
    </row>
    <row r="114" spans="1:12" x14ac:dyDescent="0.3">
      <c r="A114" t="str">
        <f t="shared" si="2"/>
        <v>PUR0113</v>
      </c>
      <c r="B114" s="1">
        <f t="shared" ca="1" si="3"/>
        <v>45734</v>
      </c>
      <c r="C114" t="str" cm="1">
        <f t="array" aca="1" ref="C114" ca="1">INDEX(Master_Product!$A$2:$A$101,RANDBETWEEN(1,100))</f>
        <v>PRD070</v>
      </c>
      <c r="D114" t="str">
        <f ca="1">_xlfn.XLOOKUP(C114,Master_Product!A:A,Master_Product!D:D)</f>
        <v>SUP029</v>
      </c>
      <c r="E114" t="str">
        <f ca="1">_xlfn.XLOOKUP(C114,Master_Product!A:A,Master_Product!B:B)</f>
        <v>Harum Product</v>
      </c>
      <c r="F114" t="str">
        <f ca="1">_xlfn.XLOOKUP(C115,Master_Product!A:A,Master_Product!C:C)</f>
        <v>CAT002</v>
      </c>
      <c r="G114" t="str">
        <f ca="1">VLOOKUP(F114,Master_Category!A:B,2,FALSE)</f>
        <v>Tea</v>
      </c>
      <c r="H114" t="e">
        <f ca="1">_xlfn.XLOOKUP(D114,Master_Supplier!A:A,Master_Supplier!B:B)</f>
        <v>#N/A</v>
      </c>
      <c r="I114" t="e">
        <f ca="1">_xlfn.XLOOKUP(D114,Master_Supplier!A:A,Master_Supplier!E:E)</f>
        <v>#N/A</v>
      </c>
      <c r="J114">
        <f ca="1">_xlfn.XLOOKUP(C114,Master_Product!A:A,Master_Product!E:E)</f>
        <v>9947</v>
      </c>
      <c r="K114">
        <v>80</v>
      </c>
      <c r="L114">
        <f ca="1">Table_StockIn[[#This Row],[buy_price]]*Table_StockIn[[#This Row],[quantity]]</f>
        <v>795760</v>
      </c>
    </row>
    <row r="115" spans="1:12" x14ac:dyDescent="0.3">
      <c r="A115" t="str">
        <f t="shared" si="2"/>
        <v>PUR0114</v>
      </c>
      <c r="B115" s="1">
        <f t="shared" ca="1" si="3"/>
        <v>45722</v>
      </c>
      <c r="C115" t="str" cm="1">
        <f t="array" aca="1" ref="C115" ca="1">INDEX(Master_Product!$A$2:$A$101,RANDBETWEEN(1,100))</f>
        <v>PRD096</v>
      </c>
      <c r="D115" t="str">
        <f ca="1">_xlfn.XLOOKUP(C115,Master_Product!A:A,Master_Product!D:D)</f>
        <v>SUP003</v>
      </c>
      <c r="E115" t="str">
        <f ca="1">_xlfn.XLOOKUP(C115,Master_Product!A:A,Master_Product!B:B)</f>
        <v>Aliquid Product</v>
      </c>
      <c r="F115" t="str">
        <f ca="1">_xlfn.XLOOKUP(C116,Master_Product!A:A,Master_Product!C:C)</f>
        <v>CAT010</v>
      </c>
      <c r="G115" t="str">
        <f ca="1">VLOOKUP(F115,Master_Category!A:B,2,FALSE)</f>
        <v>Cleaning</v>
      </c>
      <c r="H115" t="str">
        <f ca="1">_xlfn.XLOOKUP(D115,Master_Supplier!A:A,Master_Supplier!B:B)</f>
        <v>CV Barista Indonesia</v>
      </c>
      <c r="I115" t="str">
        <f ca="1">_xlfn.XLOOKUP(D115,Master_Supplier!A:A,Master_Supplier!E:E)</f>
        <v>Bekasi</v>
      </c>
      <c r="J115">
        <f ca="1">_xlfn.XLOOKUP(C115,Master_Product!A:A,Master_Product!E:E)</f>
        <v>73614</v>
      </c>
      <c r="K115">
        <v>100</v>
      </c>
      <c r="L115">
        <f ca="1">Table_StockIn[[#This Row],[buy_price]]*Table_StockIn[[#This Row],[quantity]]</f>
        <v>7361400</v>
      </c>
    </row>
    <row r="116" spans="1:12" x14ac:dyDescent="0.3">
      <c r="A116" t="str">
        <f t="shared" si="2"/>
        <v>PUR0115</v>
      </c>
      <c r="B116" s="1">
        <f t="shared" ca="1" si="3"/>
        <v>45760</v>
      </c>
      <c r="C116" t="str" cm="1">
        <f t="array" aca="1" ref="C116" ca="1">INDEX(Master_Product!$A$2:$A$101,RANDBETWEEN(1,100))</f>
        <v>PRD039</v>
      </c>
      <c r="D116" t="str">
        <f ca="1">_xlfn.XLOOKUP(C116,Master_Product!A:A,Master_Product!D:D)</f>
        <v>SUP013</v>
      </c>
      <c r="E116" t="str">
        <f ca="1">_xlfn.XLOOKUP(C116,Master_Product!A:A,Master_Product!B:B)</f>
        <v>Illo Product</v>
      </c>
      <c r="F116" t="str">
        <f ca="1">_xlfn.XLOOKUP(C117,Master_Product!A:A,Master_Product!C:C)</f>
        <v>CAT006</v>
      </c>
      <c r="G116" t="str">
        <f ca="1">VLOOKUP(F116,Master_Category!A:B,2,FALSE)</f>
        <v>Topping</v>
      </c>
      <c r="H116" t="str">
        <f ca="1">_xlfn.XLOOKUP(D116,Master_Supplier!A:A,Master_Supplier!B:B)</f>
        <v>PT Coffee Trading</v>
      </c>
      <c r="I116" t="str">
        <f ca="1">_xlfn.XLOOKUP(D116,Master_Supplier!A:A,Master_Supplier!E:E)</f>
        <v>Jakarta</v>
      </c>
      <c r="J116">
        <f ca="1">_xlfn.XLOOKUP(C116,Master_Product!A:A,Master_Product!E:E)</f>
        <v>57487</v>
      </c>
      <c r="K116">
        <v>100</v>
      </c>
      <c r="L116">
        <f ca="1">Table_StockIn[[#This Row],[buy_price]]*Table_StockIn[[#This Row],[quantity]]</f>
        <v>5748700</v>
      </c>
    </row>
    <row r="117" spans="1:12" x14ac:dyDescent="0.3">
      <c r="A117" t="str">
        <f t="shared" si="2"/>
        <v>PUR0116</v>
      </c>
      <c r="B117" s="1">
        <f t="shared" ca="1" si="3"/>
        <v>45786</v>
      </c>
      <c r="C117" t="str" cm="1">
        <f t="array" aca="1" ref="C117" ca="1">INDEX(Master_Product!$A$2:$A$101,RANDBETWEEN(1,100))</f>
        <v>PRD067</v>
      </c>
      <c r="D117" t="str">
        <f ca="1">_xlfn.XLOOKUP(C117,Master_Product!A:A,Master_Product!D:D)</f>
        <v>SUP016</v>
      </c>
      <c r="E117" t="str">
        <f ca="1">_xlfn.XLOOKUP(C117,Master_Product!A:A,Master_Product!B:B)</f>
        <v>Est Product</v>
      </c>
      <c r="F117" t="str">
        <f ca="1">_xlfn.XLOOKUP(C118,Master_Product!A:A,Master_Product!C:C)</f>
        <v>CAT007</v>
      </c>
      <c r="G117" t="str">
        <f ca="1">VLOOKUP(F117,Master_Category!A:B,2,FALSE)</f>
        <v>Cup &amp; Packaging</v>
      </c>
      <c r="H117" t="str">
        <f ca="1">_xlfn.XLOOKUP(D117,Master_Supplier!A:A,Master_Supplier!B:B)</f>
        <v>PT Espresso Supply</v>
      </c>
      <c r="I117" t="str">
        <f ca="1">_xlfn.XLOOKUP(D117,Master_Supplier!A:A,Master_Supplier!E:E)</f>
        <v>Depok</v>
      </c>
      <c r="J117">
        <f ca="1">_xlfn.XLOOKUP(C117,Master_Product!A:A,Master_Product!E:E)</f>
        <v>49791</v>
      </c>
      <c r="K117">
        <v>30</v>
      </c>
      <c r="L117">
        <f ca="1">Table_StockIn[[#This Row],[buy_price]]*Table_StockIn[[#This Row],[quantity]]</f>
        <v>1493730</v>
      </c>
    </row>
    <row r="118" spans="1:12" x14ac:dyDescent="0.3">
      <c r="A118" t="str">
        <f t="shared" si="2"/>
        <v>PUR0117</v>
      </c>
      <c r="B118" s="1">
        <f t="shared" ca="1" si="3"/>
        <v>45685</v>
      </c>
      <c r="C118" t="str" cm="1">
        <f t="array" aca="1" ref="C118" ca="1">INDEX(Master_Product!$A$2:$A$101,RANDBETWEEN(1,100))</f>
        <v>PRD047</v>
      </c>
      <c r="D118" t="str">
        <f ca="1">_xlfn.XLOOKUP(C118,Master_Product!A:A,Master_Product!D:D)</f>
        <v>SUP003</v>
      </c>
      <c r="E118" t="str">
        <f ca="1">_xlfn.XLOOKUP(C118,Master_Product!A:A,Master_Product!B:B)</f>
        <v>Accusamus Product</v>
      </c>
      <c r="F118" t="str">
        <f ca="1">_xlfn.XLOOKUP(C119,Master_Product!A:A,Master_Product!C:C)</f>
        <v>CAT001</v>
      </c>
      <c r="G118" t="str">
        <f ca="1">VLOOKUP(F118,Master_Category!A:B,2,FALSE)</f>
        <v>Coffee Bean</v>
      </c>
      <c r="H118" t="str">
        <f ca="1">_xlfn.XLOOKUP(D118,Master_Supplier!A:A,Master_Supplier!B:B)</f>
        <v>CV Barista Indonesia</v>
      </c>
      <c r="I118" t="str">
        <f ca="1">_xlfn.XLOOKUP(D118,Master_Supplier!A:A,Master_Supplier!E:E)</f>
        <v>Bekasi</v>
      </c>
      <c r="J118">
        <f ca="1">_xlfn.XLOOKUP(C118,Master_Product!A:A,Master_Product!E:E)</f>
        <v>46436</v>
      </c>
      <c r="K118">
        <v>50</v>
      </c>
      <c r="L118">
        <f ca="1">Table_StockIn[[#This Row],[buy_price]]*Table_StockIn[[#This Row],[quantity]]</f>
        <v>2321800</v>
      </c>
    </row>
    <row r="119" spans="1:12" x14ac:dyDescent="0.3">
      <c r="A119" t="str">
        <f t="shared" si="2"/>
        <v>PUR0118</v>
      </c>
      <c r="B119" s="1">
        <f t="shared" ca="1" si="3"/>
        <v>45865</v>
      </c>
      <c r="C119" t="str" cm="1">
        <f t="array" aca="1" ref="C119" ca="1">INDEX(Master_Product!$A$2:$A$101,RANDBETWEEN(1,100))</f>
        <v>PRD099</v>
      </c>
      <c r="D119" t="str">
        <f ca="1">_xlfn.XLOOKUP(C119,Master_Product!A:A,Master_Product!D:D)</f>
        <v>SUP001</v>
      </c>
      <c r="E119" t="str">
        <f ca="1">_xlfn.XLOOKUP(C119,Master_Product!A:A,Master_Product!B:B)</f>
        <v>Laudantium Product</v>
      </c>
      <c r="F119" t="str">
        <f ca="1">_xlfn.XLOOKUP(C120,Master_Product!A:A,Master_Product!C:C)</f>
        <v>CAT009</v>
      </c>
      <c r="G119" t="str">
        <f ca="1">VLOOKUP(F119,Master_Category!A:B,2,FALSE)</f>
        <v>Machine Supply</v>
      </c>
      <c r="H119" t="e">
        <f ca="1">_xlfn.XLOOKUP(D119,Master_Supplier!A:A,Master_Supplier!B:B)</f>
        <v>#N/A</v>
      </c>
      <c r="I119" t="e">
        <f ca="1">_xlfn.XLOOKUP(D119,Master_Supplier!A:A,Master_Supplier!E:E)</f>
        <v>#N/A</v>
      </c>
      <c r="J119">
        <f ca="1">_xlfn.XLOOKUP(C119,Master_Product!A:A,Master_Product!E:E)</f>
        <v>53929</v>
      </c>
      <c r="K119">
        <v>100</v>
      </c>
      <c r="L119">
        <f ca="1">Table_StockIn[[#This Row],[buy_price]]*Table_StockIn[[#This Row],[quantity]]</f>
        <v>5392900</v>
      </c>
    </row>
    <row r="120" spans="1:12" x14ac:dyDescent="0.3">
      <c r="A120" t="str">
        <f t="shared" si="2"/>
        <v>PUR0119</v>
      </c>
      <c r="B120" s="1">
        <f t="shared" ca="1" si="3"/>
        <v>45721</v>
      </c>
      <c r="C120" t="str" cm="1">
        <f t="array" aca="1" ref="C120" ca="1">INDEX(Master_Product!$A$2:$A$101,RANDBETWEEN(1,100))</f>
        <v>PRD032</v>
      </c>
      <c r="D120" t="str">
        <f ca="1">_xlfn.XLOOKUP(C120,Master_Product!A:A,Master_Product!D:D)</f>
        <v>SUP008</v>
      </c>
      <c r="E120" t="str">
        <f ca="1">_xlfn.XLOOKUP(C120,Master_Product!A:A,Master_Product!B:B)</f>
        <v>Filter Paper</v>
      </c>
      <c r="F120" t="str">
        <f ca="1">_xlfn.XLOOKUP(C121,Master_Product!A:A,Master_Product!C:C)</f>
        <v>CAT008</v>
      </c>
      <c r="G120" t="str">
        <f ca="1">VLOOKUP(F120,Master_Category!A:B,2,FALSE)</f>
        <v>Snack</v>
      </c>
      <c r="H120" t="str">
        <f ca="1">_xlfn.XLOOKUP(D120,Master_Supplier!A:A,Master_Supplier!B:B)</f>
        <v>PT Packaging Solution</v>
      </c>
      <c r="I120" t="str">
        <f ca="1">_xlfn.XLOOKUP(D120,Master_Supplier!A:A,Master_Supplier!E:E)</f>
        <v>Yogyakarta</v>
      </c>
      <c r="J120">
        <f ca="1">_xlfn.XLOOKUP(C120,Master_Product!A:A,Master_Product!E:E)</f>
        <v>54834</v>
      </c>
      <c r="K120">
        <v>20</v>
      </c>
      <c r="L120">
        <f ca="1">Table_StockIn[[#This Row],[buy_price]]*Table_StockIn[[#This Row],[quantity]]</f>
        <v>1096680</v>
      </c>
    </row>
    <row r="121" spans="1:12" x14ac:dyDescent="0.3">
      <c r="A121" t="str">
        <f t="shared" si="2"/>
        <v>PUR0120</v>
      </c>
      <c r="B121" s="1">
        <f t="shared" ca="1" si="3"/>
        <v>45985</v>
      </c>
      <c r="C121" t="str" cm="1">
        <f t="array" aca="1" ref="C121" ca="1">INDEX(Master_Product!$A$2:$A$101,RANDBETWEEN(1,100))</f>
        <v>PRD030</v>
      </c>
      <c r="D121" t="str">
        <f ca="1">_xlfn.XLOOKUP(C121,Master_Product!A:A,Master_Product!D:D)</f>
        <v>SUP010</v>
      </c>
      <c r="E121" t="str">
        <f ca="1">_xlfn.XLOOKUP(C121,Master_Product!A:A,Master_Product!B:B)</f>
        <v>Muffin</v>
      </c>
      <c r="F121" t="str">
        <f ca="1">_xlfn.XLOOKUP(C122,Master_Product!A:A,Master_Product!C:C)</f>
        <v>CAT002</v>
      </c>
      <c r="G121" t="str">
        <f ca="1">VLOOKUP(F121,Master_Category!A:B,2,FALSE)</f>
        <v>Tea</v>
      </c>
      <c r="H121" t="str">
        <f ca="1">_xlfn.XLOOKUP(D121,Master_Supplier!A:A,Master_Supplier!B:B)</f>
        <v>PT Gula Manis</v>
      </c>
      <c r="I121" t="str">
        <f ca="1">_xlfn.XLOOKUP(D121,Master_Supplier!A:A,Master_Supplier!E:E)</f>
        <v>Malang</v>
      </c>
      <c r="J121">
        <f ca="1">_xlfn.XLOOKUP(C121,Master_Product!A:A,Master_Product!E:E)</f>
        <v>22987</v>
      </c>
      <c r="K121">
        <v>50</v>
      </c>
      <c r="L121">
        <f ca="1">Table_StockIn[[#This Row],[buy_price]]*Table_StockIn[[#This Row],[quantity]]</f>
        <v>1149350</v>
      </c>
    </row>
    <row r="122" spans="1:12" x14ac:dyDescent="0.3">
      <c r="A122" t="str">
        <f t="shared" si="2"/>
        <v>PUR0121</v>
      </c>
      <c r="B122" s="1">
        <f t="shared" ca="1" si="3"/>
        <v>45948</v>
      </c>
      <c r="C122" t="str" cm="1">
        <f t="array" aca="1" ref="C122" ca="1">INDEX(Master_Product!$A$2:$A$101,RANDBETWEEN(1,100))</f>
        <v>PRD082</v>
      </c>
      <c r="D122" t="str">
        <f ca="1">_xlfn.XLOOKUP(C122,Master_Product!A:A,Master_Product!D:D)</f>
        <v>SUP008</v>
      </c>
      <c r="E122" t="str">
        <f ca="1">_xlfn.XLOOKUP(C122,Master_Product!A:A,Master_Product!B:B)</f>
        <v>Cum Product</v>
      </c>
      <c r="F122" t="str">
        <f ca="1">_xlfn.XLOOKUP(C123,Master_Product!A:A,Master_Product!C:C)</f>
        <v>CAT008</v>
      </c>
      <c r="G122" t="str">
        <f ca="1">VLOOKUP(F122,Master_Category!A:B,2,FALSE)</f>
        <v>Snack</v>
      </c>
      <c r="H122" t="str">
        <f ca="1">_xlfn.XLOOKUP(D122,Master_Supplier!A:A,Master_Supplier!B:B)</f>
        <v>PT Packaging Solution</v>
      </c>
      <c r="I122" t="str">
        <f ca="1">_xlfn.XLOOKUP(D122,Master_Supplier!A:A,Master_Supplier!E:E)</f>
        <v>Yogyakarta</v>
      </c>
      <c r="J122">
        <f ca="1">_xlfn.XLOOKUP(C122,Master_Product!A:A,Master_Product!E:E)</f>
        <v>17021</v>
      </c>
      <c r="K122">
        <v>50</v>
      </c>
      <c r="L122">
        <f ca="1">Table_StockIn[[#This Row],[buy_price]]*Table_StockIn[[#This Row],[quantity]]</f>
        <v>851050</v>
      </c>
    </row>
    <row r="123" spans="1:12" x14ac:dyDescent="0.3">
      <c r="A123" t="str">
        <f t="shared" si="2"/>
        <v>PUR0122</v>
      </c>
      <c r="B123" s="1">
        <f t="shared" ca="1" si="3"/>
        <v>45999</v>
      </c>
      <c r="C123" t="str" cm="1">
        <f t="array" aca="1" ref="C123" ca="1">INDEX(Master_Product!$A$2:$A$101,RANDBETWEEN(1,100))</f>
        <v>PRD028</v>
      </c>
      <c r="D123" t="str">
        <f ca="1">_xlfn.XLOOKUP(C123,Master_Product!A:A,Master_Product!D:D)</f>
        <v>SUP002</v>
      </c>
      <c r="E123" t="str">
        <f ca="1">_xlfn.XLOOKUP(C123,Master_Product!A:A,Master_Product!B:B)</f>
        <v>Cookies</v>
      </c>
      <c r="F123" t="str">
        <f ca="1">_xlfn.XLOOKUP(C124,Master_Product!A:A,Master_Product!C:C)</f>
        <v>CAT010</v>
      </c>
      <c r="G123" t="str">
        <f ca="1">VLOOKUP(F123,Master_Category!A:B,2,FALSE)</f>
        <v>Cleaning</v>
      </c>
      <c r="H123" t="e">
        <f ca="1">_xlfn.XLOOKUP(D123,Master_Supplier!A:A,Master_Supplier!B:B)</f>
        <v>#N/A</v>
      </c>
      <c r="I123" t="e">
        <f ca="1">_xlfn.XLOOKUP(D123,Master_Supplier!A:A,Master_Supplier!E:E)</f>
        <v>#N/A</v>
      </c>
      <c r="J123">
        <f ca="1">_xlfn.XLOOKUP(C123,Master_Product!A:A,Master_Product!E:E)</f>
        <v>74066</v>
      </c>
      <c r="K123">
        <v>40</v>
      </c>
      <c r="L123">
        <f ca="1">Table_StockIn[[#This Row],[buy_price]]*Table_StockIn[[#This Row],[quantity]]</f>
        <v>2962640</v>
      </c>
    </row>
    <row r="124" spans="1:12" x14ac:dyDescent="0.3">
      <c r="A124" t="str">
        <f t="shared" si="2"/>
        <v>PUR0123</v>
      </c>
      <c r="B124" s="1">
        <f t="shared" ca="1" si="3"/>
        <v>45750</v>
      </c>
      <c r="C124" t="str" cm="1">
        <f t="array" aca="1" ref="C124" ca="1">INDEX(Master_Product!$A$2:$A$101,RANDBETWEEN(1,100))</f>
        <v>PRD035</v>
      </c>
      <c r="D124" t="str">
        <f ca="1">_xlfn.XLOOKUP(C124,Master_Product!A:A,Master_Product!D:D)</f>
        <v>SUP023</v>
      </c>
      <c r="E124" t="str">
        <f ca="1">_xlfn.XLOOKUP(C124,Master_Product!A:A,Master_Product!B:B)</f>
        <v>Dishwashing Liquid</v>
      </c>
      <c r="F124" t="str">
        <f ca="1">_xlfn.XLOOKUP(C125,Master_Product!A:A,Master_Product!C:C)</f>
        <v>CAT004</v>
      </c>
      <c r="G124" t="str">
        <f ca="1">VLOOKUP(F124,Master_Category!A:B,2,FALSE)</f>
        <v>Syrup</v>
      </c>
      <c r="H124" t="str">
        <f ca="1">_xlfn.XLOOKUP(D124,Master_Supplier!A:A,Master_Supplier!B:B)</f>
        <v>PT Mesin Kopi Indonesia</v>
      </c>
      <c r="I124" t="str">
        <f ca="1">_xlfn.XLOOKUP(D124,Master_Supplier!A:A,Master_Supplier!E:E)</f>
        <v>Surabaya</v>
      </c>
      <c r="J124">
        <f ca="1">_xlfn.XLOOKUP(C124,Master_Product!A:A,Master_Product!E:E)</f>
        <v>61267</v>
      </c>
      <c r="K124">
        <v>30</v>
      </c>
      <c r="L124">
        <f ca="1">Table_StockIn[[#This Row],[buy_price]]*Table_StockIn[[#This Row],[quantity]]</f>
        <v>1838010</v>
      </c>
    </row>
    <row r="125" spans="1:12" x14ac:dyDescent="0.3">
      <c r="A125" t="str">
        <f t="shared" si="2"/>
        <v>PUR0124</v>
      </c>
      <c r="B125" s="1">
        <f t="shared" ca="1" si="3"/>
        <v>45891</v>
      </c>
      <c r="C125" t="str" cm="1">
        <f t="array" aca="1" ref="C125" ca="1">INDEX(Master_Product!$A$2:$A$101,RANDBETWEEN(1,100))</f>
        <v>PRD060</v>
      </c>
      <c r="D125" t="str">
        <f ca="1">_xlfn.XLOOKUP(C125,Master_Product!A:A,Master_Product!D:D)</f>
        <v>SUP028</v>
      </c>
      <c r="E125" t="str">
        <f ca="1">_xlfn.XLOOKUP(C125,Master_Product!A:A,Master_Product!B:B)</f>
        <v>Voluptatum Product</v>
      </c>
      <c r="F125" t="str">
        <f ca="1">_xlfn.XLOOKUP(C126,Master_Product!A:A,Master_Product!C:C)</f>
        <v>CAT005</v>
      </c>
      <c r="G125" t="str">
        <f ca="1">VLOOKUP(F125,Master_Category!A:B,2,FALSE)</f>
        <v>Powder</v>
      </c>
      <c r="H125" t="str">
        <f ca="1">_xlfn.XLOOKUP(D125,Master_Supplier!A:A,Master_Supplier!B:B)</f>
        <v>PT Beverage Nusantara</v>
      </c>
      <c r="I125" t="str">
        <f ca="1">_xlfn.XLOOKUP(D125,Master_Supplier!A:A,Master_Supplier!E:E)</f>
        <v>Jakarta</v>
      </c>
      <c r="J125">
        <f ca="1">_xlfn.XLOOKUP(C125,Master_Product!A:A,Master_Product!E:E)</f>
        <v>42243</v>
      </c>
      <c r="K125">
        <v>100</v>
      </c>
      <c r="L125">
        <f ca="1">Table_StockIn[[#This Row],[buy_price]]*Table_StockIn[[#This Row],[quantity]]</f>
        <v>4224300</v>
      </c>
    </row>
    <row r="126" spans="1:12" x14ac:dyDescent="0.3">
      <c r="A126" t="str">
        <f t="shared" si="2"/>
        <v>PUR0125</v>
      </c>
      <c r="B126" s="1">
        <f t="shared" ca="1" si="3"/>
        <v>45903</v>
      </c>
      <c r="C126" t="str" cm="1">
        <f t="array" aca="1" ref="C126" ca="1">INDEX(Master_Product!$A$2:$A$101,RANDBETWEEN(1,100))</f>
        <v>PRD017</v>
      </c>
      <c r="D126" t="str">
        <f ca="1">_xlfn.XLOOKUP(C126,Master_Product!A:A,Master_Product!D:D)</f>
        <v>SUP022</v>
      </c>
      <c r="E126" t="str">
        <f ca="1">_xlfn.XLOOKUP(C126,Master_Product!A:A,Master_Product!B:B)</f>
        <v>Chocolate Powder</v>
      </c>
      <c r="F126" t="str">
        <f ca="1">_xlfn.XLOOKUP(C127,Master_Product!A:A,Master_Product!C:C)</f>
        <v>CAT002</v>
      </c>
      <c r="G126" t="str">
        <f ca="1">VLOOKUP(F126,Master_Category!A:B,2,FALSE)</f>
        <v>Tea</v>
      </c>
      <c r="H126" t="str">
        <f ca="1">_xlfn.XLOOKUP(D126,Master_Supplier!A:A,Master_Supplier!B:B)</f>
        <v>CV Biji Nusantara</v>
      </c>
      <c r="I126" t="str">
        <f ca="1">_xlfn.XLOOKUP(D126,Master_Supplier!A:A,Master_Supplier!E:E)</f>
        <v>Yogyakarta</v>
      </c>
      <c r="J126">
        <f ca="1">_xlfn.XLOOKUP(C126,Master_Product!A:A,Master_Product!E:E)</f>
        <v>8441</v>
      </c>
      <c r="K126">
        <v>20</v>
      </c>
      <c r="L126">
        <f ca="1">Table_StockIn[[#This Row],[buy_price]]*Table_StockIn[[#This Row],[quantity]]</f>
        <v>168820</v>
      </c>
    </row>
    <row r="127" spans="1:12" x14ac:dyDescent="0.3">
      <c r="A127" t="str">
        <f t="shared" si="2"/>
        <v>PUR0126</v>
      </c>
      <c r="B127" s="1">
        <f t="shared" ca="1" si="3"/>
        <v>45913</v>
      </c>
      <c r="C127" t="str" cm="1">
        <f t="array" aca="1" ref="C127" ca="1">INDEX(Master_Product!$A$2:$A$101,RANDBETWEEN(1,100))</f>
        <v>PRD057</v>
      </c>
      <c r="D127" t="str">
        <f ca="1">_xlfn.XLOOKUP(C127,Master_Product!A:A,Master_Product!D:D)</f>
        <v>SUP010</v>
      </c>
      <c r="E127" t="str">
        <f ca="1">_xlfn.XLOOKUP(C127,Master_Product!A:A,Master_Product!B:B)</f>
        <v>Vitae Product</v>
      </c>
      <c r="F127" t="str">
        <f ca="1">_xlfn.XLOOKUP(C128,Master_Product!A:A,Master_Product!C:C)</f>
        <v>CAT010</v>
      </c>
      <c r="G127" t="str">
        <f ca="1">VLOOKUP(F127,Master_Category!A:B,2,FALSE)</f>
        <v>Cleaning</v>
      </c>
      <c r="H127" t="str">
        <f ca="1">_xlfn.XLOOKUP(D127,Master_Supplier!A:A,Master_Supplier!B:B)</f>
        <v>PT Gula Manis</v>
      </c>
      <c r="I127" t="str">
        <f ca="1">_xlfn.XLOOKUP(D127,Master_Supplier!A:A,Master_Supplier!E:E)</f>
        <v>Malang</v>
      </c>
      <c r="J127">
        <f ca="1">_xlfn.XLOOKUP(C127,Master_Product!A:A,Master_Product!E:E)</f>
        <v>52696</v>
      </c>
      <c r="K127">
        <v>50</v>
      </c>
      <c r="L127">
        <f ca="1">Table_StockIn[[#This Row],[buy_price]]*Table_StockIn[[#This Row],[quantity]]</f>
        <v>2634800</v>
      </c>
    </row>
    <row r="128" spans="1:12" x14ac:dyDescent="0.3">
      <c r="A128" t="str">
        <f t="shared" si="2"/>
        <v>PUR0127</v>
      </c>
      <c r="B128" s="1">
        <f t="shared" ca="1" si="3"/>
        <v>45917</v>
      </c>
      <c r="C128" t="str" cm="1">
        <f t="array" aca="1" ref="C128" ca="1">INDEX(Master_Product!$A$2:$A$101,RANDBETWEEN(1,100))</f>
        <v>PRD055</v>
      </c>
      <c r="D128" t="str">
        <f ca="1">_xlfn.XLOOKUP(C128,Master_Product!A:A,Master_Product!D:D)</f>
        <v>SUP006</v>
      </c>
      <c r="E128" t="str">
        <f ca="1">_xlfn.XLOOKUP(C128,Master_Product!A:A,Master_Product!B:B)</f>
        <v>Possimus Product</v>
      </c>
      <c r="F128" t="str">
        <f ca="1">_xlfn.XLOOKUP(C129,Master_Product!A:A,Master_Product!C:C)</f>
        <v>CAT001</v>
      </c>
      <c r="G128" t="str">
        <f ca="1">VLOOKUP(F128,Master_Category!A:B,2,FALSE)</f>
        <v>Coffee Bean</v>
      </c>
      <c r="H128" t="str">
        <f ca="1">_xlfn.XLOOKUP(D128,Master_Supplier!A:A,Master_Supplier!B:B)</f>
        <v>CV Java Coffee</v>
      </c>
      <c r="I128" t="str">
        <f ca="1">_xlfn.XLOOKUP(D128,Master_Supplier!A:A,Master_Supplier!E:E)</f>
        <v>Bogor</v>
      </c>
      <c r="J128">
        <f ca="1">_xlfn.XLOOKUP(C128,Master_Product!A:A,Master_Product!E:E)</f>
        <v>16053</v>
      </c>
      <c r="K128">
        <v>100</v>
      </c>
      <c r="L128">
        <f ca="1">Table_StockIn[[#This Row],[buy_price]]*Table_StockIn[[#This Row],[quantity]]</f>
        <v>1605300</v>
      </c>
    </row>
    <row r="129" spans="1:12" x14ac:dyDescent="0.3">
      <c r="A129" t="str">
        <f t="shared" si="2"/>
        <v>PUR0128</v>
      </c>
      <c r="B129" s="1">
        <f t="shared" ca="1" si="3"/>
        <v>45855</v>
      </c>
      <c r="C129" t="str" cm="1">
        <f t="array" aca="1" ref="C129" ca="1">INDEX(Master_Product!$A$2:$A$101,RANDBETWEEN(1,100))</f>
        <v>PRD100</v>
      </c>
      <c r="D129" t="str">
        <f ca="1">_xlfn.XLOOKUP(C129,Master_Product!A:A,Master_Product!D:D)</f>
        <v>SUP022</v>
      </c>
      <c r="E129" t="str">
        <f ca="1">_xlfn.XLOOKUP(C129,Master_Product!A:A,Master_Product!B:B)</f>
        <v>Commodi Product</v>
      </c>
      <c r="F129" t="str">
        <f ca="1">_xlfn.XLOOKUP(C130,Master_Product!A:A,Master_Product!C:C)</f>
        <v>CAT007</v>
      </c>
      <c r="G129" t="str">
        <f ca="1">VLOOKUP(F129,Master_Category!A:B,2,FALSE)</f>
        <v>Cup &amp; Packaging</v>
      </c>
      <c r="H129" t="str">
        <f ca="1">_xlfn.XLOOKUP(D129,Master_Supplier!A:A,Master_Supplier!B:B)</f>
        <v>CV Biji Nusantara</v>
      </c>
      <c r="I129" t="str">
        <f ca="1">_xlfn.XLOOKUP(D129,Master_Supplier!A:A,Master_Supplier!E:E)</f>
        <v>Yogyakarta</v>
      </c>
      <c r="J129">
        <f ca="1">_xlfn.XLOOKUP(C129,Master_Product!A:A,Master_Product!E:E)</f>
        <v>50193</v>
      </c>
      <c r="K129">
        <v>50</v>
      </c>
      <c r="L129">
        <f ca="1">Table_StockIn[[#This Row],[buy_price]]*Table_StockIn[[#This Row],[quantity]]</f>
        <v>2509650</v>
      </c>
    </row>
    <row r="130" spans="1:12" x14ac:dyDescent="0.3">
      <c r="A130" t="str">
        <f t="shared" si="2"/>
        <v>PUR0129</v>
      </c>
      <c r="B130" s="1">
        <f t="shared" ca="1" si="3"/>
        <v>45832</v>
      </c>
      <c r="C130" t="str" cm="1">
        <f t="array" aca="1" ref="C130" ca="1">INDEX(Master_Product!$A$2:$A$101,RANDBETWEEN(1,100))</f>
        <v>PRD037</v>
      </c>
      <c r="D130" t="str">
        <f ca="1">_xlfn.XLOOKUP(C130,Master_Product!A:A,Master_Product!D:D)</f>
        <v>SUP020</v>
      </c>
      <c r="E130" t="str">
        <f ca="1">_xlfn.XLOOKUP(C130,Master_Product!A:A,Master_Product!B:B)</f>
        <v>Doloremque Product</v>
      </c>
      <c r="F130" t="str">
        <f ca="1">_xlfn.XLOOKUP(C131,Master_Product!A:A,Master_Product!C:C)</f>
        <v>CAT010</v>
      </c>
      <c r="G130" t="str">
        <f ca="1">VLOOKUP(F130,Master_Category!A:B,2,FALSE)</f>
        <v>Cleaning</v>
      </c>
      <c r="H130" t="str">
        <f ca="1">_xlfn.XLOOKUP(D130,Master_Supplier!A:A,Master_Supplier!B:B)</f>
        <v>PT Clean Solution</v>
      </c>
      <c r="I130" t="str">
        <f ca="1">_xlfn.XLOOKUP(D130,Master_Supplier!A:A,Master_Supplier!E:E)</f>
        <v>Yogyakarta</v>
      </c>
      <c r="J130">
        <f ca="1">_xlfn.XLOOKUP(C130,Master_Product!A:A,Master_Product!E:E)</f>
        <v>27527</v>
      </c>
      <c r="K130">
        <v>40</v>
      </c>
      <c r="L130">
        <f ca="1">Table_StockIn[[#This Row],[buy_price]]*Table_StockIn[[#This Row],[quantity]]</f>
        <v>1101080</v>
      </c>
    </row>
    <row r="131" spans="1:12" x14ac:dyDescent="0.3">
      <c r="A131" t="str">
        <f t="shared" ref="A131:A194" si="4">"PUR"&amp;TEXT(ROW()-1,"0000")</f>
        <v>PUR0130</v>
      </c>
      <c r="B131" s="1">
        <f t="shared" ref="B131:B194" ca="1" si="5">DATE(2025,1,1)+RANDBETWEEN(0,364)</f>
        <v>45840</v>
      </c>
      <c r="C131" t="str" cm="1">
        <f t="array" aca="1" ref="C131" ca="1">INDEX(Master_Product!$A$2:$A$101,RANDBETWEEN(1,100))</f>
        <v>PRD055</v>
      </c>
      <c r="D131" t="str">
        <f ca="1">_xlfn.XLOOKUP(C131,Master_Product!A:A,Master_Product!D:D)</f>
        <v>SUP006</v>
      </c>
      <c r="E131" t="str">
        <f ca="1">_xlfn.XLOOKUP(C131,Master_Product!A:A,Master_Product!B:B)</f>
        <v>Possimus Product</v>
      </c>
      <c r="F131" t="str">
        <f ca="1">_xlfn.XLOOKUP(C132,Master_Product!A:A,Master_Product!C:C)</f>
        <v>CAT009</v>
      </c>
      <c r="G131" t="str">
        <f ca="1">VLOOKUP(F131,Master_Category!A:B,2,FALSE)</f>
        <v>Machine Supply</v>
      </c>
      <c r="H131" t="str">
        <f ca="1">_xlfn.XLOOKUP(D131,Master_Supplier!A:A,Master_Supplier!B:B)</f>
        <v>CV Java Coffee</v>
      </c>
      <c r="I131" t="str">
        <f ca="1">_xlfn.XLOOKUP(D131,Master_Supplier!A:A,Master_Supplier!E:E)</f>
        <v>Bogor</v>
      </c>
      <c r="J131">
        <f ca="1">_xlfn.XLOOKUP(C131,Master_Product!A:A,Master_Product!E:E)</f>
        <v>16053</v>
      </c>
      <c r="K131">
        <v>100</v>
      </c>
      <c r="L131">
        <f ca="1">Table_StockIn[[#This Row],[buy_price]]*Table_StockIn[[#This Row],[quantity]]</f>
        <v>1605300</v>
      </c>
    </row>
    <row r="132" spans="1:12" x14ac:dyDescent="0.3">
      <c r="A132" t="str">
        <f t="shared" si="4"/>
        <v>PUR0131</v>
      </c>
      <c r="B132" s="1">
        <f t="shared" ca="1" si="5"/>
        <v>45966</v>
      </c>
      <c r="C132" t="str" cm="1">
        <f t="array" aca="1" ref="C132" ca="1">INDEX(Master_Product!$A$2:$A$101,RANDBETWEEN(1,100))</f>
        <v>PRD061</v>
      </c>
      <c r="D132" t="str">
        <f ca="1">_xlfn.XLOOKUP(C132,Master_Product!A:A,Master_Product!D:D)</f>
        <v>SUP022</v>
      </c>
      <c r="E132" t="str">
        <f ca="1">_xlfn.XLOOKUP(C132,Master_Product!A:A,Master_Product!B:B)</f>
        <v>Numquam Product</v>
      </c>
      <c r="F132" t="str">
        <f ca="1">_xlfn.XLOOKUP(C133,Master_Product!A:A,Master_Product!C:C)</f>
        <v>CAT008</v>
      </c>
      <c r="G132" t="str">
        <f ca="1">VLOOKUP(F132,Master_Category!A:B,2,FALSE)</f>
        <v>Snack</v>
      </c>
      <c r="H132" t="str">
        <f ca="1">_xlfn.XLOOKUP(D132,Master_Supplier!A:A,Master_Supplier!B:B)</f>
        <v>CV Biji Nusantara</v>
      </c>
      <c r="I132" t="str">
        <f ca="1">_xlfn.XLOOKUP(D132,Master_Supplier!A:A,Master_Supplier!E:E)</f>
        <v>Yogyakarta</v>
      </c>
      <c r="J132">
        <f ca="1">_xlfn.XLOOKUP(C132,Master_Product!A:A,Master_Product!E:E)</f>
        <v>48694</v>
      </c>
      <c r="K132">
        <v>50</v>
      </c>
      <c r="L132">
        <f ca="1">Table_StockIn[[#This Row],[buy_price]]*Table_StockIn[[#This Row],[quantity]]</f>
        <v>2434700</v>
      </c>
    </row>
    <row r="133" spans="1:12" x14ac:dyDescent="0.3">
      <c r="A133" t="str">
        <f t="shared" si="4"/>
        <v>PUR0132</v>
      </c>
      <c r="B133" s="1">
        <f t="shared" ca="1" si="5"/>
        <v>45960</v>
      </c>
      <c r="C133" t="str" cm="1">
        <f t="array" aca="1" ref="C133" ca="1">INDEX(Master_Product!$A$2:$A$101,RANDBETWEEN(1,100))</f>
        <v>PRD030</v>
      </c>
      <c r="D133" t="str">
        <f ca="1">_xlfn.XLOOKUP(C133,Master_Product!A:A,Master_Product!D:D)</f>
        <v>SUP010</v>
      </c>
      <c r="E133" t="str">
        <f ca="1">_xlfn.XLOOKUP(C133,Master_Product!A:A,Master_Product!B:B)</f>
        <v>Muffin</v>
      </c>
      <c r="F133" t="str">
        <f ca="1">_xlfn.XLOOKUP(C134,Master_Product!A:A,Master_Product!C:C)</f>
        <v>CAT004</v>
      </c>
      <c r="G133" t="str">
        <f ca="1">VLOOKUP(F133,Master_Category!A:B,2,FALSE)</f>
        <v>Syrup</v>
      </c>
      <c r="H133" t="str">
        <f ca="1">_xlfn.XLOOKUP(D133,Master_Supplier!A:A,Master_Supplier!B:B)</f>
        <v>PT Gula Manis</v>
      </c>
      <c r="I133" t="str">
        <f ca="1">_xlfn.XLOOKUP(D133,Master_Supplier!A:A,Master_Supplier!E:E)</f>
        <v>Malang</v>
      </c>
      <c r="J133">
        <f ca="1">_xlfn.XLOOKUP(C133,Master_Product!A:A,Master_Product!E:E)</f>
        <v>22987</v>
      </c>
      <c r="K133">
        <v>20</v>
      </c>
      <c r="L133">
        <f ca="1">Table_StockIn[[#This Row],[buy_price]]*Table_StockIn[[#This Row],[quantity]]</f>
        <v>459740</v>
      </c>
    </row>
    <row r="134" spans="1:12" x14ac:dyDescent="0.3">
      <c r="A134" t="str">
        <f t="shared" si="4"/>
        <v>PUR0133</v>
      </c>
      <c r="B134" s="1">
        <f t="shared" ca="1" si="5"/>
        <v>45688</v>
      </c>
      <c r="C134" t="str" cm="1">
        <f t="array" aca="1" ref="C134" ca="1">INDEX(Master_Product!$A$2:$A$101,RANDBETWEEN(1,100))</f>
        <v>PRD060</v>
      </c>
      <c r="D134" t="str">
        <f ca="1">_xlfn.XLOOKUP(C134,Master_Product!A:A,Master_Product!D:D)</f>
        <v>SUP028</v>
      </c>
      <c r="E134" t="str">
        <f ca="1">_xlfn.XLOOKUP(C134,Master_Product!A:A,Master_Product!B:B)</f>
        <v>Voluptatum Product</v>
      </c>
      <c r="F134" t="str">
        <f ca="1">_xlfn.XLOOKUP(C135,Master_Product!A:A,Master_Product!C:C)</f>
        <v>CAT005</v>
      </c>
      <c r="G134" t="str">
        <f ca="1">VLOOKUP(F134,Master_Category!A:B,2,FALSE)</f>
        <v>Powder</v>
      </c>
      <c r="H134" t="str">
        <f ca="1">_xlfn.XLOOKUP(D134,Master_Supplier!A:A,Master_Supplier!B:B)</f>
        <v>PT Beverage Nusantara</v>
      </c>
      <c r="I134" t="str">
        <f ca="1">_xlfn.XLOOKUP(D134,Master_Supplier!A:A,Master_Supplier!E:E)</f>
        <v>Jakarta</v>
      </c>
      <c r="J134">
        <f ca="1">_xlfn.XLOOKUP(C134,Master_Product!A:A,Master_Product!E:E)</f>
        <v>42243</v>
      </c>
      <c r="K134">
        <v>40</v>
      </c>
      <c r="L134">
        <f ca="1">Table_StockIn[[#This Row],[buy_price]]*Table_StockIn[[#This Row],[quantity]]</f>
        <v>1689720</v>
      </c>
    </row>
    <row r="135" spans="1:12" x14ac:dyDescent="0.3">
      <c r="A135" t="str">
        <f t="shared" si="4"/>
        <v>PUR0134</v>
      </c>
      <c r="B135" s="1">
        <f t="shared" ca="1" si="5"/>
        <v>45744</v>
      </c>
      <c r="C135" t="str" cm="1">
        <f t="array" aca="1" ref="C135" ca="1">INDEX(Master_Product!$A$2:$A$101,RANDBETWEEN(1,100))</f>
        <v>PRD080</v>
      </c>
      <c r="D135" t="str">
        <f ca="1">_xlfn.XLOOKUP(C135,Master_Product!A:A,Master_Product!D:D)</f>
        <v>SUP025</v>
      </c>
      <c r="E135" t="str">
        <f ca="1">_xlfn.XLOOKUP(C135,Master_Product!A:A,Master_Product!B:B)</f>
        <v>Culpa Product</v>
      </c>
      <c r="F135" t="str">
        <f ca="1">_xlfn.XLOOKUP(C136,Master_Product!A:A,Master_Product!C:C)</f>
        <v>CAT005</v>
      </c>
      <c r="G135" t="str">
        <f ca="1">VLOOKUP(F135,Master_Category!A:B,2,FALSE)</f>
        <v>Powder</v>
      </c>
      <c r="H135" t="str">
        <f ca="1">_xlfn.XLOOKUP(D135,Master_Supplier!A:A,Master_Supplier!B:B)</f>
        <v>PT Arabica Indonesia</v>
      </c>
      <c r="I135" t="str">
        <f ca="1">_xlfn.XLOOKUP(D135,Master_Supplier!A:A,Master_Supplier!E:E)</f>
        <v>Semarang</v>
      </c>
      <c r="J135">
        <f ca="1">_xlfn.XLOOKUP(C135,Master_Product!A:A,Master_Product!E:E)</f>
        <v>21341</v>
      </c>
      <c r="K135">
        <v>20</v>
      </c>
      <c r="L135">
        <f ca="1">Table_StockIn[[#This Row],[buy_price]]*Table_StockIn[[#This Row],[quantity]]</f>
        <v>426820</v>
      </c>
    </row>
    <row r="136" spans="1:12" x14ac:dyDescent="0.3">
      <c r="A136" t="str">
        <f t="shared" si="4"/>
        <v>PUR0135</v>
      </c>
      <c r="B136" s="1">
        <f t="shared" ca="1" si="5"/>
        <v>45916</v>
      </c>
      <c r="C136" t="str" cm="1">
        <f t="array" aca="1" ref="C136" ca="1">INDEX(Master_Product!$A$2:$A$101,RANDBETWEEN(1,100))</f>
        <v>PRD068</v>
      </c>
      <c r="D136" t="str">
        <f ca="1">_xlfn.XLOOKUP(C136,Master_Product!A:A,Master_Product!D:D)</f>
        <v>SUP010</v>
      </c>
      <c r="E136" t="str">
        <f ca="1">_xlfn.XLOOKUP(C136,Master_Product!A:A,Master_Product!B:B)</f>
        <v>Illum Product</v>
      </c>
      <c r="F136" t="str">
        <f ca="1">_xlfn.XLOOKUP(C137,Master_Product!A:A,Master_Product!C:C)</f>
        <v>CAT003</v>
      </c>
      <c r="G136" t="str">
        <f ca="1">VLOOKUP(F136,Master_Category!A:B,2,FALSE)</f>
        <v>Milk</v>
      </c>
      <c r="H136" t="str">
        <f ca="1">_xlfn.XLOOKUP(D136,Master_Supplier!A:A,Master_Supplier!B:B)</f>
        <v>PT Gula Manis</v>
      </c>
      <c r="I136" t="str">
        <f ca="1">_xlfn.XLOOKUP(D136,Master_Supplier!A:A,Master_Supplier!E:E)</f>
        <v>Malang</v>
      </c>
      <c r="J136">
        <f ca="1">_xlfn.XLOOKUP(C136,Master_Product!A:A,Master_Product!E:E)</f>
        <v>23030</v>
      </c>
      <c r="K136">
        <v>20</v>
      </c>
      <c r="L136">
        <f ca="1">Table_StockIn[[#This Row],[buy_price]]*Table_StockIn[[#This Row],[quantity]]</f>
        <v>460600</v>
      </c>
    </row>
    <row r="137" spans="1:12" x14ac:dyDescent="0.3">
      <c r="A137" t="str">
        <f t="shared" si="4"/>
        <v>PUR0136</v>
      </c>
      <c r="B137" s="1">
        <f t="shared" ca="1" si="5"/>
        <v>45957</v>
      </c>
      <c r="C137" t="str" cm="1">
        <f t="array" aca="1" ref="C137" ca="1">INDEX(Master_Product!$A$2:$A$101,RANDBETWEEN(1,100))</f>
        <v>PRD009</v>
      </c>
      <c r="D137" t="str">
        <f ca="1">_xlfn.XLOOKUP(C137,Master_Product!A:A,Master_Product!D:D)</f>
        <v>SUP004</v>
      </c>
      <c r="E137" t="str">
        <f ca="1">_xlfn.XLOOKUP(C137,Master_Product!A:A,Master_Product!B:B)</f>
        <v>Fresh Milk</v>
      </c>
      <c r="F137" t="str">
        <f ca="1">_xlfn.XLOOKUP(C138,Master_Product!A:A,Master_Product!C:C)</f>
        <v>CAT003</v>
      </c>
      <c r="G137" t="str">
        <f ca="1">VLOOKUP(F137,Master_Category!A:B,2,FALSE)</f>
        <v>Milk</v>
      </c>
      <c r="H137" t="str">
        <f ca="1">_xlfn.XLOOKUP(D137,Master_Supplier!A:A,Master_Supplier!B:B)</f>
        <v>PT Dairy Fresh</v>
      </c>
      <c r="I137" t="str">
        <f ca="1">_xlfn.XLOOKUP(D137,Master_Supplier!A:A,Master_Supplier!E:E)</f>
        <v>Depok</v>
      </c>
      <c r="J137">
        <f ca="1">_xlfn.XLOOKUP(C137,Master_Product!A:A,Master_Product!E:E)</f>
        <v>16188</v>
      </c>
      <c r="K137">
        <v>100</v>
      </c>
      <c r="L137">
        <f ca="1">Table_StockIn[[#This Row],[buy_price]]*Table_StockIn[[#This Row],[quantity]]</f>
        <v>1618800</v>
      </c>
    </row>
    <row r="138" spans="1:12" x14ac:dyDescent="0.3">
      <c r="A138" t="str">
        <f t="shared" si="4"/>
        <v>PUR0137</v>
      </c>
      <c r="B138" s="1">
        <f t="shared" ca="1" si="5"/>
        <v>45904</v>
      </c>
      <c r="C138" t="str" cm="1">
        <f t="array" aca="1" ref="C138" ca="1">INDEX(Master_Product!$A$2:$A$101,RANDBETWEEN(1,100))</f>
        <v>PRD048</v>
      </c>
      <c r="D138" t="str">
        <f ca="1">_xlfn.XLOOKUP(C138,Master_Product!A:A,Master_Product!D:D)</f>
        <v>SUP019</v>
      </c>
      <c r="E138" t="str">
        <f ca="1">_xlfn.XLOOKUP(C138,Master_Product!A:A,Master_Product!B:B)</f>
        <v>Placeat Product</v>
      </c>
      <c r="F138" t="str">
        <f ca="1">_xlfn.XLOOKUP(C139,Master_Product!A:A,Master_Product!C:C)</f>
        <v>CAT009</v>
      </c>
      <c r="G138" t="str">
        <f ca="1">VLOOKUP(F138,Master_Category!A:B,2,FALSE)</f>
        <v>Machine Supply</v>
      </c>
      <c r="H138" t="str">
        <f ca="1">_xlfn.XLOOKUP(D138,Master_Supplier!A:A,Master_Supplier!B:B)</f>
        <v>PT Indo Beverage</v>
      </c>
      <c r="I138" t="str">
        <f ca="1">_xlfn.XLOOKUP(D138,Master_Supplier!A:A,Master_Supplier!E:E)</f>
        <v>Jakarta</v>
      </c>
      <c r="J138">
        <f ca="1">_xlfn.XLOOKUP(C138,Master_Product!A:A,Master_Product!E:E)</f>
        <v>44691</v>
      </c>
      <c r="K138">
        <v>30</v>
      </c>
      <c r="L138">
        <f ca="1">Table_StockIn[[#This Row],[buy_price]]*Table_StockIn[[#This Row],[quantity]]</f>
        <v>1340730</v>
      </c>
    </row>
    <row r="139" spans="1:12" x14ac:dyDescent="0.3">
      <c r="A139" t="str">
        <f t="shared" si="4"/>
        <v>PUR0138</v>
      </c>
      <c r="B139" s="1">
        <f t="shared" ca="1" si="5"/>
        <v>45783</v>
      </c>
      <c r="C139" t="str" cm="1">
        <f t="array" aca="1" ref="C139" ca="1">INDEX(Master_Product!$A$2:$A$101,RANDBETWEEN(1,100))</f>
        <v>PRD031</v>
      </c>
      <c r="D139" t="str">
        <f ca="1">_xlfn.XLOOKUP(C139,Master_Product!A:A,Master_Product!D:D)</f>
        <v>SUP014</v>
      </c>
      <c r="E139" t="str">
        <f ca="1">_xlfn.XLOOKUP(C139,Master_Product!A:A,Master_Product!B:B)</f>
        <v>Coffee Machine Cleaner</v>
      </c>
      <c r="F139" t="str">
        <f ca="1">_xlfn.XLOOKUP(C140,Master_Product!A:A,Master_Product!C:C)</f>
        <v>CAT005</v>
      </c>
      <c r="G139" t="str">
        <f ca="1">VLOOKUP(F139,Master_Category!A:B,2,FALSE)</f>
        <v>Powder</v>
      </c>
      <c r="H139" t="str">
        <f ca="1">_xlfn.XLOOKUP(D139,Master_Supplier!A:A,Master_Supplier!B:B)</f>
        <v>PT Food Ingredients</v>
      </c>
      <c r="I139" t="str">
        <f ca="1">_xlfn.XLOOKUP(D139,Master_Supplier!A:A,Master_Supplier!E:E)</f>
        <v>Bandung</v>
      </c>
      <c r="J139">
        <f ca="1">_xlfn.XLOOKUP(C139,Master_Product!A:A,Master_Product!E:E)</f>
        <v>6013</v>
      </c>
      <c r="K139">
        <v>50</v>
      </c>
      <c r="L139">
        <f ca="1">Table_StockIn[[#This Row],[buy_price]]*Table_StockIn[[#This Row],[quantity]]</f>
        <v>300650</v>
      </c>
    </row>
    <row r="140" spans="1:12" x14ac:dyDescent="0.3">
      <c r="A140" t="str">
        <f t="shared" si="4"/>
        <v>PUR0139</v>
      </c>
      <c r="B140" s="1">
        <f t="shared" ca="1" si="5"/>
        <v>45807</v>
      </c>
      <c r="C140" t="str" cm="1">
        <f t="array" aca="1" ref="C140" ca="1">INDEX(Master_Product!$A$2:$A$101,RANDBETWEEN(1,100))</f>
        <v>PRD049</v>
      </c>
      <c r="D140" t="str">
        <f ca="1">_xlfn.XLOOKUP(C140,Master_Product!A:A,Master_Product!D:D)</f>
        <v>SUP015</v>
      </c>
      <c r="E140" t="str">
        <f ca="1">_xlfn.XLOOKUP(C140,Master_Product!A:A,Master_Product!B:B)</f>
        <v>Deleniti Product</v>
      </c>
      <c r="F140" t="str">
        <f ca="1">_xlfn.XLOOKUP(C141,Master_Product!A:A,Master_Product!C:C)</f>
        <v>CAT002</v>
      </c>
      <c r="G140" t="str">
        <f ca="1">VLOOKUP(F140,Master_Category!A:B,2,FALSE)</f>
        <v>Tea</v>
      </c>
      <c r="H140" t="str">
        <f ca="1">_xlfn.XLOOKUP(D140,Master_Supplier!A:A,Master_Supplier!B:B)</f>
        <v>CV Kopi Indonesia</v>
      </c>
      <c r="I140" t="str">
        <f ca="1">_xlfn.XLOOKUP(D140,Master_Supplier!A:A,Master_Supplier!E:E)</f>
        <v>Depok</v>
      </c>
      <c r="J140">
        <f ca="1">_xlfn.XLOOKUP(C140,Master_Product!A:A,Master_Product!E:E)</f>
        <v>71497</v>
      </c>
      <c r="K140">
        <v>20</v>
      </c>
      <c r="L140">
        <f ca="1">Table_StockIn[[#This Row],[buy_price]]*Table_StockIn[[#This Row],[quantity]]</f>
        <v>1429940</v>
      </c>
    </row>
    <row r="141" spans="1:12" x14ac:dyDescent="0.3">
      <c r="A141" t="str">
        <f t="shared" si="4"/>
        <v>PUR0140</v>
      </c>
      <c r="B141" s="1">
        <f t="shared" ca="1" si="5"/>
        <v>45736</v>
      </c>
      <c r="C141" t="str" cm="1">
        <f t="array" aca="1" ref="C141" ca="1">INDEX(Master_Product!$A$2:$A$101,RANDBETWEEN(1,100))</f>
        <v>PRD096</v>
      </c>
      <c r="D141" t="str">
        <f ca="1">_xlfn.XLOOKUP(C141,Master_Product!A:A,Master_Product!D:D)</f>
        <v>SUP003</v>
      </c>
      <c r="E141" t="str">
        <f ca="1">_xlfn.XLOOKUP(C141,Master_Product!A:A,Master_Product!B:B)</f>
        <v>Aliquid Product</v>
      </c>
      <c r="F141" t="str">
        <f ca="1">_xlfn.XLOOKUP(C142,Master_Product!A:A,Master_Product!C:C)</f>
        <v>CAT005</v>
      </c>
      <c r="G141" t="str">
        <f ca="1">VLOOKUP(F141,Master_Category!A:B,2,FALSE)</f>
        <v>Powder</v>
      </c>
      <c r="H141" t="str">
        <f ca="1">_xlfn.XLOOKUP(D141,Master_Supplier!A:A,Master_Supplier!B:B)</f>
        <v>CV Barista Indonesia</v>
      </c>
      <c r="I141" t="str">
        <f ca="1">_xlfn.XLOOKUP(D141,Master_Supplier!A:A,Master_Supplier!E:E)</f>
        <v>Bekasi</v>
      </c>
      <c r="J141">
        <f ca="1">_xlfn.XLOOKUP(C141,Master_Product!A:A,Master_Product!E:E)</f>
        <v>73614</v>
      </c>
      <c r="K141">
        <v>50</v>
      </c>
      <c r="L141">
        <f ca="1">Table_StockIn[[#This Row],[buy_price]]*Table_StockIn[[#This Row],[quantity]]</f>
        <v>3680700</v>
      </c>
    </row>
    <row r="142" spans="1:12" x14ac:dyDescent="0.3">
      <c r="A142" t="str">
        <f t="shared" si="4"/>
        <v>PUR0141</v>
      </c>
      <c r="B142" s="1">
        <f t="shared" ca="1" si="5"/>
        <v>46020</v>
      </c>
      <c r="C142" t="str" cm="1">
        <f t="array" aca="1" ref="C142" ca="1">INDEX(Master_Product!$A$2:$A$101,RANDBETWEEN(1,100))</f>
        <v>PRD072</v>
      </c>
      <c r="D142" t="str">
        <f ca="1">_xlfn.XLOOKUP(C142,Master_Product!A:A,Master_Product!D:D)</f>
        <v>SUP012</v>
      </c>
      <c r="E142" t="str">
        <f ca="1">_xlfn.XLOOKUP(C142,Master_Product!A:A,Master_Product!B:B)</f>
        <v>Quidem Product</v>
      </c>
      <c r="F142" t="str">
        <f ca="1">_xlfn.XLOOKUP(C143,Master_Product!A:A,Master_Product!C:C)</f>
        <v>CAT008</v>
      </c>
      <c r="G142" t="str">
        <f ca="1">VLOOKUP(F142,Master_Category!A:B,2,FALSE)</f>
        <v>Snack</v>
      </c>
      <c r="H142" t="str">
        <f ca="1">_xlfn.XLOOKUP(D142,Master_Supplier!A:A,Master_Supplier!B:B)</f>
        <v>PT Tea Indonesia</v>
      </c>
      <c r="I142" t="str">
        <f ca="1">_xlfn.XLOOKUP(D142,Master_Supplier!A:A,Master_Supplier!E:E)</f>
        <v>Jakarta</v>
      </c>
      <c r="J142">
        <f ca="1">_xlfn.XLOOKUP(C142,Master_Product!A:A,Master_Product!E:E)</f>
        <v>62366</v>
      </c>
      <c r="K142">
        <v>100</v>
      </c>
      <c r="L142">
        <f ca="1">Table_StockIn[[#This Row],[buy_price]]*Table_StockIn[[#This Row],[quantity]]</f>
        <v>6236600</v>
      </c>
    </row>
    <row r="143" spans="1:12" x14ac:dyDescent="0.3">
      <c r="A143" t="str">
        <f t="shared" si="4"/>
        <v>PUR0142</v>
      </c>
      <c r="B143" s="1">
        <f t="shared" ca="1" si="5"/>
        <v>45678</v>
      </c>
      <c r="C143" t="str" cm="1">
        <f t="array" aca="1" ref="C143" ca="1">INDEX(Master_Product!$A$2:$A$101,RANDBETWEEN(1,100))</f>
        <v>PRD029</v>
      </c>
      <c r="D143" t="str">
        <f ca="1">_xlfn.XLOOKUP(C143,Master_Product!A:A,Master_Product!D:D)</f>
        <v>SUP010</v>
      </c>
      <c r="E143" t="str">
        <f ca="1">_xlfn.XLOOKUP(C143,Master_Product!A:A,Master_Product!B:B)</f>
        <v>Croissant</v>
      </c>
      <c r="F143" t="str">
        <f ca="1">_xlfn.XLOOKUP(C144,Master_Product!A:A,Master_Product!C:C)</f>
        <v>CAT002</v>
      </c>
      <c r="G143" t="str">
        <f ca="1">VLOOKUP(F143,Master_Category!A:B,2,FALSE)</f>
        <v>Tea</v>
      </c>
      <c r="H143" t="str">
        <f ca="1">_xlfn.XLOOKUP(D143,Master_Supplier!A:A,Master_Supplier!B:B)</f>
        <v>PT Gula Manis</v>
      </c>
      <c r="I143" t="str">
        <f ca="1">_xlfn.XLOOKUP(D143,Master_Supplier!A:A,Master_Supplier!E:E)</f>
        <v>Malang</v>
      </c>
      <c r="J143">
        <f ca="1">_xlfn.XLOOKUP(C143,Master_Product!A:A,Master_Product!E:E)</f>
        <v>12180</v>
      </c>
      <c r="K143">
        <v>100</v>
      </c>
      <c r="L143">
        <f ca="1">Table_StockIn[[#This Row],[buy_price]]*Table_StockIn[[#This Row],[quantity]]</f>
        <v>1218000</v>
      </c>
    </row>
    <row r="144" spans="1:12" x14ac:dyDescent="0.3">
      <c r="A144" t="str">
        <f t="shared" si="4"/>
        <v>PUR0143</v>
      </c>
      <c r="B144" s="1">
        <f t="shared" ca="1" si="5"/>
        <v>45682</v>
      </c>
      <c r="C144" t="str" cm="1">
        <f t="array" aca="1" ref="C144" ca="1">INDEX(Master_Product!$A$2:$A$101,RANDBETWEEN(1,100))</f>
        <v>PRD057</v>
      </c>
      <c r="D144" t="str">
        <f ca="1">_xlfn.XLOOKUP(C144,Master_Product!A:A,Master_Product!D:D)</f>
        <v>SUP010</v>
      </c>
      <c r="E144" t="str">
        <f ca="1">_xlfn.XLOOKUP(C144,Master_Product!A:A,Master_Product!B:B)</f>
        <v>Vitae Product</v>
      </c>
      <c r="F144" t="str">
        <f ca="1">_xlfn.XLOOKUP(C145,Master_Product!A:A,Master_Product!C:C)</f>
        <v>CAT004</v>
      </c>
      <c r="G144" t="str">
        <f ca="1">VLOOKUP(F144,Master_Category!A:B,2,FALSE)</f>
        <v>Syrup</v>
      </c>
      <c r="H144" t="str">
        <f ca="1">_xlfn.XLOOKUP(D144,Master_Supplier!A:A,Master_Supplier!B:B)</f>
        <v>PT Gula Manis</v>
      </c>
      <c r="I144" t="str">
        <f ca="1">_xlfn.XLOOKUP(D144,Master_Supplier!A:A,Master_Supplier!E:E)</f>
        <v>Malang</v>
      </c>
      <c r="J144">
        <f ca="1">_xlfn.XLOOKUP(C144,Master_Product!A:A,Master_Product!E:E)</f>
        <v>52696</v>
      </c>
      <c r="K144">
        <v>30</v>
      </c>
      <c r="L144">
        <f ca="1">Table_StockIn[[#This Row],[buy_price]]*Table_StockIn[[#This Row],[quantity]]</f>
        <v>1580880</v>
      </c>
    </row>
    <row r="145" spans="1:12" x14ac:dyDescent="0.3">
      <c r="A145" t="str">
        <f t="shared" si="4"/>
        <v>PUR0144</v>
      </c>
      <c r="B145" s="1">
        <f t="shared" ca="1" si="5"/>
        <v>45859</v>
      </c>
      <c r="C145" t="str" cm="1">
        <f t="array" aca="1" ref="C145" ca="1">INDEX(Master_Product!$A$2:$A$101,RANDBETWEEN(1,100))</f>
        <v>PRD060</v>
      </c>
      <c r="D145" t="str">
        <f ca="1">_xlfn.XLOOKUP(C145,Master_Product!A:A,Master_Product!D:D)</f>
        <v>SUP028</v>
      </c>
      <c r="E145" t="str">
        <f ca="1">_xlfn.XLOOKUP(C145,Master_Product!A:A,Master_Product!B:B)</f>
        <v>Voluptatum Product</v>
      </c>
      <c r="F145" t="str">
        <f ca="1">_xlfn.XLOOKUP(C146,Master_Product!A:A,Master_Product!C:C)</f>
        <v>CAT005</v>
      </c>
      <c r="G145" t="str">
        <f ca="1">VLOOKUP(F145,Master_Category!A:B,2,FALSE)</f>
        <v>Powder</v>
      </c>
      <c r="H145" t="str">
        <f ca="1">_xlfn.XLOOKUP(D145,Master_Supplier!A:A,Master_Supplier!B:B)</f>
        <v>PT Beverage Nusantara</v>
      </c>
      <c r="I145" t="str">
        <f ca="1">_xlfn.XLOOKUP(D145,Master_Supplier!A:A,Master_Supplier!E:E)</f>
        <v>Jakarta</v>
      </c>
      <c r="J145">
        <f ca="1">_xlfn.XLOOKUP(C145,Master_Product!A:A,Master_Product!E:E)</f>
        <v>42243</v>
      </c>
      <c r="K145">
        <v>20</v>
      </c>
      <c r="L145">
        <f ca="1">Table_StockIn[[#This Row],[buy_price]]*Table_StockIn[[#This Row],[quantity]]</f>
        <v>844860</v>
      </c>
    </row>
    <row r="146" spans="1:12" x14ac:dyDescent="0.3">
      <c r="A146" t="str">
        <f t="shared" si="4"/>
        <v>PUR0145</v>
      </c>
      <c r="B146" s="1">
        <f t="shared" ca="1" si="5"/>
        <v>45999</v>
      </c>
      <c r="C146" t="str" cm="1">
        <f t="array" aca="1" ref="C146" ca="1">INDEX(Master_Product!$A$2:$A$101,RANDBETWEEN(1,100))</f>
        <v>PRD098</v>
      </c>
      <c r="D146" t="str">
        <f ca="1">_xlfn.XLOOKUP(C146,Master_Product!A:A,Master_Product!D:D)</f>
        <v>SUP002</v>
      </c>
      <c r="E146" t="str">
        <f ca="1">_xlfn.XLOOKUP(C146,Master_Product!A:A,Master_Product!B:B)</f>
        <v>Fuga Product</v>
      </c>
      <c r="F146" t="str">
        <f ca="1">_xlfn.XLOOKUP(C147,Master_Product!A:A,Master_Product!C:C)</f>
        <v>CAT005</v>
      </c>
      <c r="G146" t="str">
        <f ca="1">VLOOKUP(F146,Master_Category!A:B,2,FALSE)</f>
        <v>Powder</v>
      </c>
      <c r="H146" t="e">
        <f ca="1">_xlfn.XLOOKUP(D146,Master_Supplier!A:A,Master_Supplier!B:B)</f>
        <v>#N/A</v>
      </c>
      <c r="I146" t="e">
        <f ca="1">_xlfn.XLOOKUP(D146,Master_Supplier!A:A,Master_Supplier!E:E)</f>
        <v>#N/A</v>
      </c>
      <c r="J146">
        <f ca="1">_xlfn.XLOOKUP(C146,Master_Product!A:A,Master_Product!E:E)</f>
        <v>56177</v>
      </c>
      <c r="K146">
        <v>40</v>
      </c>
      <c r="L146">
        <f ca="1">Table_StockIn[[#This Row],[buy_price]]*Table_StockIn[[#This Row],[quantity]]</f>
        <v>2247080</v>
      </c>
    </row>
    <row r="147" spans="1:12" x14ac:dyDescent="0.3">
      <c r="A147" t="str">
        <f t="shared" si="4"/>
        <v>PUR0146</v>
      </c>
      <c r="B147" s="1">
        <f t="shared" ca="1" si="5"/>
        <v>45988</v>
      </c>
      <c r="C147" t="str" cm="1">
        <f t="array" aca="1" ref="C147" ca="1">INDEX(Master_Product!$A$2:$A$101,RANDBETWEEN(1,100))</f>
        <v>PRD062</v>
      </c>
      <c r="D147" t="str">
        <f ca="1">_xlfn.XLOOKUP(C147,Master_Product!A:A,Master_Product!D:D)</f>
        <v>SUP023</v>
      </c>
      <c r="E147" t="str">
        <f ca="1">_xlfn.XLOOKUP(C147,Master_Product!A:A,Master_Product!B:B)</f>
        <v>Porro Product</v>
      </c>
      <c r="F147" t="str">
        <f ca="1">_xlfn.XLOOKUP(C148,Master_Product!A:A,Master_Product!C:C)</f>
        <v>CAT007</v>
      </c>
      <c r="G147" t="str">
        <f ca="1">VLOOKUP(F147,Master_Category!A:B,2,FALSE)</f>
        <v>Cup &amp; Packaging</v>
      </c>
      <c r="H147" t="str">
        <f ca="1">_xlfn.XLOOKUP(D147,Master_Supplier!A:A,Master_Supplier!B:B)</f>
        <v>PT Mesin Kopi Indonesia</v>
      </c>
      <c r="I147" t="str">
        <f ca="1">_xlfn.XLOOKUP(D147,Master_Supplier!A:A,Master_Supplier!E:E)</f>
        <v>Surabaya</v>
      </c>
      <c r="J147">
        <f ca="1">_xlfn.XLOOKUP(C147,Master_Product!A:A,Master_Product!E:E)</f>
        <v>45662</v>
      </c>
      <c r="K147">
        <v>40</v>
      </c>
      <c r="L147">
        <f ca="1">Table_StockIn[[#This Row],[buy_price]]*Table_StockIn[[#This Row],[quantity]]</f>
        <v>1826480</v>
      </c>
    </row>
    <row r="148" spans="1:12" x14ac:dyDescent="0.3">
      <c r="A148" t="str">
        <f t="shared" si="4"/>
        <v>PUR0147</v>
      </c>
      <c r="B148" s="1">
        <f t="shared" ca="1" si="5"/>
        <v>45805</v>
      </c>
      <c r="C148" t="str" cm="1">
        <f t="array" aca="1" ref="C148" ca="1">INDEX(Master_Product!$A$2:$A$101,RANDBETWEEN(1,100))</f>
        <v>PRD024</v>
      </c>
      <c r="D148" t="str">
        <f ca="1">_xlfn.XLOOKUP(C148,Master_Product!A:A,Master_Product!D:D)</f>
        <v>SUP002</v>
      </c>
      <c r="E148" t="str">
        <f ca="1">_xlfn.XLOOKUP(C148,Master_Product!A:A,Master_Product!B:B)</f>
        <v>Cup 16 oz</v>
      </c>
      <c r="F148" t="str">
        <f ca="1">_xlfn.XLOOKUP(C149,Master_Product!A:A,Master_Product!C:C)</f>
        <v>CAT002</v>
      </c>
      <c r="G148" t="str">
        <f ca="1">VLOOKUP(F148,Master_Category!A:B,2,FALSE)</f>
        <v>Tea</v>
      </c>
      <c r="H148" t="e">
        <f ca="1">_xlfn.XLOOKUP(D148,Master_Supplier!A:A,Master_Supplier!B:B)</f>
        <v>#N/A</v>
      </c>
      <c r="I148" t="e">
        <f ca="1">_xlfn.XLOOKUP(D148,Master_Supplier!A:A,Master_Supplier!E:E)</f>
        <v>#N/A</v>
      </c>
      <c r="J148">
        <f ca="1">_xlfn.XLOOKUP(C148,Master_Product!A:A,Master_Product!E:E)</f>
        <v>25632</v>
      </c>
      <c r="K148">
        <v>40</v>
      </c>
      <c r="L148">
        <f ca="1">Table_StockIn[[#This Row],[buy_price]]*Table_StockIn[[#This Row],[quantity]]</f>
        <v>1025280</v>
      </c>
    </row>
    <row r="149" spans="1:12" x14ac:dyDescent="0.3">
      <c r="A149" t="str">
        <f t="shared" si="4"/>
        <v>PUR0148</v>
      </c>
      <c r="B149" s="1">
        <f t="shared" ca="1" si="5"/>
        <v>45782</v>
      </c>
      <c r="C149" t="str" cm="1">
        <f t="array" aca="1" ref="C149" ca="1">INDEX(Master_Product!$A$2:$A$101,RANDBETWEEN(1,100))</f>
        <v>PRD096</v>
      </c>
      <c r="D149" t="str">
        <f ca="1">_xlfn.XLOOKUP(C149,Master_Product!A:A,Master_Product!D:D)</f>
        <v>SUP003</v>
      </c>
      <c r="E149" t="str">
        <f ca="1">_xlfn.XLOOKUP(C149,Master_Product!A:A,Master_Product!B:B)</f>
        <v>Aliquid Product</v>
      </c>
      <c r="F149" t="str">
        <f ca="1">_xlfn.XLOOKUP(C150,Master_Product!A:A,Master_Product!C:C)</f>
        <v>CAT001</v>
      </c>
      <c r="G149" t="str">
        <f ca="1">VLOOKUP(F149,Master_Category!A:B,2,FALSE)</f>
        <v>Coffee Bean</v>
      </c>
      <c r="H149" t="str">
        <f ca="1">_xlfn.XLOOKUP(D149,Master_Supplier!A:A,Master_Supplier!B:B)</f>
        <v>CV Barista Indonesia</v>
      </c>
      <c r="I149" t="str">
        <f ca="1">_xlfn.XLOOKUP(D149,Master_Supplier!A:A,Master_Supplier!E:E)</f>
        <v>Bekasi</v>
      </c>
      <c r="J149">
        <f ca="1">_xlfn.XLOOKUP(C149,Master_Product!A:A,Master_Product!E:E)</f>
        <v>73614</v>
      </c>
      <c r="K149">
        <v>100</v>
      </c>
      <c r="L149">
        <f ca="1">Table_StockIn[[#This Row],[buy_price]]*Table_StockIn[[#This Row],[quantity]]</f>
        <v>7361400</v>
      </c>
    </row>
    <row r="150" spans="1:12" x14ac:dyDescent="0.3">
      <c r="A150" t="str">
        <f t="shared" si="4"/>
        <v>PUR0149</v>
      </c>
      <c r="B150" s="1">
        <f t="shared" ca="1" si="5"/>
        <v>46012</v>
      </c>
      <c r="C150" t="str" cm="1">
        <f t="array" aca="1" ref="C150" ca="1">INDEX(Master_Product!$A$2:$A$101,RANDBETWEEN(1,100))</f>
        <v>PRD075</v>
      </c>
      <c r="D150" t="str">
        <f ca="1">_xlfn.XLOOKUP(C150,Master_Product!A:A,Master_Product!D:D)</f>
        <v>SUP019</v>
      </c>
      <c r="E150" t="str">
        <f ca="1">_xlfn.XLOOKUP(C150,Master_Product!A:A,Master_Product!B:B)</f>
        <v>Officia Product</v>
      </c>
      <c r="F150" t="str">
        <f ca="1">_xlfn.XLOOKUP(C151,Master_Product!A:A,Master_Product!C:C)</f>
        <v>CAT009</v>
      </c>
      <c r="G150" t="str">
        <f ca="1">VLOOKUP(F150,Master_Category!A:B,2,FALSE)</f>
        <v>Machine Supply</v>
      </c>
      <c r="H150" t="str">
        <f ca="1">_xlfn.XLOOKUP(D150,Master_Supplier!A:A,Master_Supplier!B:B)</f>
        <v>PT Indo Beverage</v>
      </c>
      <c r="I150" t="str">
        <f ca="1">_xlfn.XLOOKUP(D150,Master_Supplier!A:A,Master_Supplier!E:E)</f>
        <v>Jakarta</v>
      </c>
      <c r="J150">
        <f ca="1">_xlfn.XLOOKUP(C150,Master_Product!A:A,Master_Product!E:E)</f>
        <v>30430</v>
      </c>
      <c r="K150">
        <v>20</v>
      </c>
      <c r="L150">
        <f ca="1">Table_StockIn[[#This Row],[buy_price]]*Table_StockIn[[#This Row],[quantity]]</f>
        <v>608600</v>
      </c>
    </row>
    <row r="151" spans="1:12" x14ac:dyDescent="0.3">
      <c r="A151" t="str">
        <f t="shared" si="4"/>
        <v>PUR0150</v>
      </c>
      <c r="B151" s="1">
        <f t="shared" ca="1" si="5"/>
        <v>45703</v>
      </c>
      <c r="C151" t="str" cm="1">
        <f t="array" aca="1" ref="C151" ca="1">INDEX(Master_Product!$A$2:$A$101,RANDBETWEEN(1,100))</f>
        <v>PRD031</v>
      </c>
      <c r="D151" t="str">
        <f ca="1">_xlfn.XLOOKUP(C151,Master_Product!A:A,Master_Product!D:D)</f>
        <v>SUP014</v>
      </c>
      <c r="E151" t="str">
        <f ca="1">_xlfn.XLOOKUP(C151,Master_Product!A:A,Master_Product!B:B)</f>
        <v>Coffee Machine Cleaner</v>
      </c>
      <c r="F151" t="str">
        <f ca="1">_xlfn.XLOOKUP(C152,Master_Product!A:A,Master_Product!C:C)</f>
        <v>CAT002</v>
      </c>
      <c r="G151" t="str">
        <f ca="1">VLOOKUP(F151,Master_Category!A:B,2,FALSE)</f>
        <v>Tea</v>
      </c>
      <c r="H151" t="str">
        <f ca="1">_xlfn.XLOOKUP(D151,Master_Supplier!A:A,Master_Supplier!B:B)</f>
        <v>PT Food Ingredients</v>
      </c>
      <c r="I151" t="str">
        <f ca="1">_xlfn.XLOOKUP(D151,Master_Supplier!A:A,Master_Supplier!E:E)</f>
        <v>Bandung</v>
      </c>
      <c r="J151">
        <f ca="1">_xlfn.XLOOKUP(C151,Master_Product!A:A,Master_Product!E:E)</f>
        <v>6013</v>
      </c>
      <c r="K151">
        <v>80</v>
      </c>
      <c r="L151">
        <f ca="1">Table_StockIn[[#This Row],[buy_price]]*Table_StockIn[[#This Row],[quantity]]</f>
        <v>481040</v>
      </c>
    </row>
    <row r="152" spans="1:12" x14ac:dyDescent="0.3">
      <c r="A152" t="str">
        <f t="shared" si="4"/>
        <v>PUR0151</v>
      </c>
      <c r="B152" s="1">
        <f t="shared" ca="1" si="5"/>
        <v>45834</v>
      </c>
      <c r="C152" t="str" cm="1">
        <f t="array" aca="1" ref="C152" ca="1">INDEX(Master_Product!$A$2:$A$101,RANDBETWEEN(1,100))</f>
        <v>PRD008</v>
      </c>
      <c r="D152" t="str">
        <f ca="1">_xlfn.XLOOKUP(C152,Master_Product!A:A,Master_Product!D:D)</f>
        <v>SUP016</v>
      </c>
      <c r="E152" t="str">
        <f ca="1">_xlfn.XLOOKUP(C152,Master_Product!A:A,Master_Product!B:B)</f>
        <v>Chamomile</v>
      </c>
      <c r="F152" t="str">
        <f ca="1">_xlfn.XLOOKUP(C153,Master_Product!A:A,Master_Product!C:C)</f>
        <v>CAT006</v>
      </c>
      <c r="G152" t="str">
        <f ca="1">VLOOKUP(F152,Master_Category!A:B,2,FALSE)</f>
        <v>Topping</v>
      </c>
      <c r="H152" t="str">
        <f ca="1">_xlfn.XLOOKUP(D152,Master_Supplier!A:A,Master_Supplier!B:B)</f>
        <v>PT Espresso Supply</v>
      </c>
      <c r="I152" t="str">
        <f ca="1">_xlfn.XLOOKUP(D152,Master_Supplier!A:A,Master_Supplier!E:E)</f>
        <v>Depok</v>
      </c>
      <c r="J152">
        <f ca="1">_xlfn.XLOOKUP(C152,Master_Product!A:A,Master_Product!E:E)</f>
        <v>25006</v>
      </c>
      <c r="K152">
        <v>100</v>
      </c>
      <c r="L152">
        <f ca="1">Table_StockIn[[#This Row],[buy_price]]*Table_StockIn[[#This Row],[quantity]]</f>
        <v>2500600</v>
      </c>
    </row>
    <row r="153" spans="1:12" x14ac:dyDescent="0.3">
      <c r="A153" t="str">
        <f t="shared" si="4"/>
        <v>PUR0152</v>
      </c>
      <c r="B153" s="1">
        <f t="shared" ca="1" si="5"/>
        <v>45920</v>
      </c>
      <c r="C153" t="str" cm="1">
        <f t="array" aca="1" ref="C153" ca="1">INDEX(Master_Product!$A$2:$A$101,RANDBETWEEN(1,100))</f>
        <v>PRD044</v>
      </c>
      <c r="D153" t="str">
        <f ca="1">_xlfn.XLOOKUP(C153,Master_Product!A:A,Master_Product!D:D)</f>
        <v>SUP021</v>
      </c>
      <c r="E153" t="str">
        <f ca="1">_xlfn.XLOOKUP(C153,Master_Product!A:A,Master_Product!B:B)</f>
        <v>Sit Product</v>
      </c>
      <c r="F153" t="str">
        <f ca="1">_xlfn.XLOOKUP(C154,Master_Product!A:A,Master_Product!C:C)</f>
        <v>CAT005</v>
      </c>
      <c r="G153" t="str">
        <f ca="1">VLOOKUP(F153,Master_Category!A:B,2,FALSE)</f>
        <v>Powder</v>
      </c>
      <c r="H153" t="str">
        <f ca="1">_xlfn.XLOOKUP(D153,Master_Supplier!A:A,Master_Supplier!B:B)</f>
        <v>PT Coffee Packaging</v>
      </c>
      <c r="I153" t="str">
        <f ca="1">_xlfn.XLOOKUP(D153,Master_Supplier!A:A,Master_Supplier!E:E)</f>
        <v>Depok</v>
      </c>
      <c r="J153">
        <f ca="1">_xlfn.XLOOKUP(C153,Master_Product!A:A,Master_Product!E:E)</f>
        <v>25036</v>
      </c>
      <c r="K153">
        <v>100</v>
      </c>
      <c r="L153">
        <f ca="1">Table_StockIn[[#This Row],[buy_price]]*Table_StockIn[[#This Row],[quantity]]</f>
        <v>2503600</v>
      </c>
    </row>
    <row r="154" spans="1:12" x14ac:dyDescent="0.3">
      <c r="A154" t="str">
        <f t="shared" si="4"/>
        <v>PUR0153</v>
      </c>
      <c r="B154" s="1">
        <f t="shared" ca="1" si="5"/>
        <v>45829</v>
      </c>
      <c r="C154" t="str" cm="1">
        <f t="array" aca="1" ref="C154" ca="1">INDEX(Master_Product!$A$2:$A$101,RANDBETWEEN(1,100))</f>
        <v>PRD018</v>
      </c>
      <c r="D154" t="str">
        <f ca="1">_xlfn.XLOOKUP(C154,Master_Product!A:A,Master_Product!D:D)</f>
        <v>SUP023</v>
      </c>
      <c r="E154" t="str">
        <f ca="1">_xlfn.XLOOKUP(C154,Master_Product!A:A,Master_Product!B:B)</f>
        <v>Taro Powder</v>
      </c>
      <c r="F154" t="str">
        <f ca="1">_xlfn.XLOOKUP(C155,Master_Product!A:A,Master_Product!C:C)</f>
        <v>CAT005</v>
      </c>
      <c r="G154" t="str">
        <f ca="1">VLOOKUP(F154,Master_Category!A:B,2,FALSE)</f>
        <v>Powder</v>
      </c>
      <c r="H154" t="str">
        <f ca="1">_xlfn.XLOOKUP(D154,Master_Supplier!A:A,Master_Supplier!B:B)</f>
        <v>PT Mesin Kopi Indonesia</v>
      </c>
      <c r="I154" t="str">
        <f ca="1">_xlfn.XLOOKUP(D154,Master_Supplier!A:A,Master_Supplier!E:E)</f>
        <v>Surabaya</v>
      </c>
      <c r="J154">
        <f ca="1">_xlfn.XLOOKUP(C154,Master_Product!A:A,Master_Product!E:E)</f>
        <v>8794</v>
      </c>
      <c r="K154">
        <v>100</v>
      </c>
      <c r="L154">
        <f ca="1">Table_StockIn[[#This Row],[buy_price]]*Table_StockIn[[#This Row],[quantity]]</f>
        <v>879400</v>
      </c>
    </row>
    <row r="155" spans="1:12" x14ac:dyDescent="0.3">
      <c r="A155" t="str">
        <f t="shared" si="4"/>
        <v>PUR0154</v>
      </c>
      <c r="B155" s="1">
        <f t="shared" ca="1" si="5"/>
        <v>45809</v>
      </c>
      <c r="C155" t="str" cm="1">
        <f t="array" aca="1" ref="C155" ca="1">INDEX(Master_Product!$A$2:$A$101,RANDBETWEEN(1,100))</f>
        <v>PRD086</v>
      </c>
      <c r="D155" t="str">
        <f ca="1">_xlfn.XLOOKUP(C155,Master_Product!A:A,Master_Product!D:D)</f>
        <v>SUP010</v>
      </c>
      <c r="E155" t="str">
        <f ca="1">_xlfn.XLOOKUP(C155,Master_Product!A:A,Master_Product!B:B)</f>
        <v>Quis Product</v>
      </c>
      <c r="F155" t="str">
        <f ca="1">_xlfn.XLOOKUP(C156,Master_Product!A:A,Master_Product!C:C)</f>
        <v>CAT003</v>
      </c>
      <c r="G155" t="str">
        <f ca="1">VLOOKUP(F155,Master_Category!A:B,2,FALSE)</f>
        <v>Milk</v>
      </c>
      <c r="H155" t="str">
        <f ca="1">_xlfn.XLOOKUP(D155,Master_Supplier!A:A,Master_Supplier!B:B)</f>
        <v>PT Gula Manis</v>
      </c>
      <c r="I155" t="str">
        <f ca="1">_xlfn.XLOOKUP(D155,Master_Supplier!A:A,Master_Supplier!E:E)</f>
        <v>Malang</v>
      </c>
      <c r="J155">
        <f ca="1">_xlfn.XLOOKUP(C155,Master_Product!A:A,Master_Product!E:E)</f>
        <v>24142</v>
      </c>
      <c r="K155">
        <v>20</v>
      </c>
      <c r="L155">
        <f ca="1">Table_StockIn[[#This Row],[buy_price]]*Table_StockIn[[#This Row],[quantity]]</f>
        <v>482840</v>
      </c>
    </row>
    <row r="156" spans="1:12" x14ac:dyDescent="0.3">
      <c r="A156" t="str">
        <f t="shared" si="4"/>
        <v>PUR0155</v>
      </c>
      <c r="B156" s="1">
        <f t="shared" ca="1" si="5"/>
        <v>45894</v>
      </c>
      <c r="C156" t="str" cm="1">
        <f t="array" aca="1" ref="C156" ca="1">INDEX(Master_Product!$A$2:$A$101,RANDBETWEEN(1,100))</f>
        <v>PRD069</v>
      </c>
      <c r="D156" t="str">
        <f ca="1">_xlfn.XLOOKUP(C156,Master_Product!A:A,Master_Product!D:D)</f>
        <v>SUP027</v>
      </c>
      <c r="E156" t="str">
        <f ca="1">_xlfn.XLOOKUP(C156,Master_Product!A:A,Master_Product!B:B)</f>
        <v>Aliquid Product</v>
      </c>
      <c r="F156" t="str">
        <f ca="1">_xlfn.XLOOKUP(C157,Master_Product!A:A,Master_Product!C:C)</f>
        <v>CAT002</v>
      </c>
      <c r="G156" t="str">
        <f ca="1">VLOOKUP(F156,Master_Category!A:B,2,FALSE)</f>
        <v>Tea</v>
      </c>
      <c r="H156" t="str">
        <f ca="1">_xlfn.XLOOKUP(D156,Master_Supplier!A:A,Master_Supplier!B:B)</f>
        <v>CV Premium Supplier</v>
      </c>
      <c r="I156" t="str">
        <f ca="1">_xlfn.XLOOKUP(D156,Master_Supplier!A:A,Master_Supplier!E:E)</f>
        <v>Bekasi</v>
      </c>
      <c r="J156">
        <f ca="1">_xlfn.XLOOKUP(C156,Master_Product!A:A,Master_Product!E:E)</f>
        <v>71543</v>
      </c>
      <c r="K156">
        <v>50</v>
      </c>
      <c r="L156">
        <f ca="1">Table_StockIn[[#This Row],[buy_price]]*Table_StockIn[[#This Row],[quantity]]</f>
        <v>3577150</v>
      </c>
    </row>
    <row r="157" spans="1:12" x14ac:dyDescent="0.3">
      <c r="A157" t="str">
        <f t="shared" si="4"/>
        <v>PUR0156</v>
      </c>
      <c r="B157" s="1">
        <f t="shared" ca="1" si="5"/>
        <v>45710</v>
      </c>
      <c r="C157" t="str" cm="1">
        <f t="array" aca="1" ref="C157" ca="1">INDEX(Master_Product!$A$2:$A$101,RANDBETWEEN(1,100))</f>
        <v>PRD052</v>
      </c>
      <c r="D157" t="str">
        <f ca="1">_xlfn.XLOOKUP(C157,Master_Product!A:A,Master_Product!D:D)</f>
        <v>SUP019</v>
      </c>
      <c r="E157" t="str">
        <f ca="1">_xlfn.XLOOKUP(C157,Master_Product!A:A,Master_Product!B:B)</f>
        <v>Ratione Product</v>
      </c>
      <c r="F157" t="str">
        <f ca="1">_xlfn.XLOOKUP(C158,Master_Product!A:A,Master_Product!C:C)</f>
        <v>CAT007</v>
      </c>
      <c r="G157" t="str">
        <f ca="1">VLOOKUP(F157,Master_Category!A:B,2,FALSE)</f>
        <v>Cup &amp; Packaging</v>
      </c>
      <c r="H157" t="str">
        <f ca="1">_xlfn.XLOOKUP(D157,Master_Supplier!A:A,Master_Supplier!B:B)</f>
        <v>PT Indo Beverage</v>
      </c>
      <c r="I157" t="str">
        <f ca="1">_xlfn.XLOOKUP(D157,Master_Supplier!A:A,Master_Supplier!E:E)</f>
        <v>Jakarta</v>
      </c>
      <c r="J157">
        <f ca="1">_xlfn.XLOOKUP(C157,Master_Product!A:A,Master_Product!E:E)</f>
        <v>63947</v>
      </c>
      <c r="K157">
        <v>80</v>
      </c>
      <c r="L157">
        <f ca="1">Table_StockIn[[#This Row],[buy_price]]*Table_StockIn[[#This Row],[quantity]]</f>
        <v>5115760</v>
      </c>
    </row>
    <row r="158" spans="1:12" x14ac:dyDescent="0.3">
      <c r="A158" t="str">
        <f t="shared" si="4"/>
        <v>PUR0157</v>
      </c>
      <c r="B158" s="1">
        <f t="shared" ca="1" si="5"/>
        <v>45923</v>
      </c>
      <c r="C158" t="str" cm="1">
        <f t="array" aca="1" ref="C158" ca="1">INDEX(Master_Product!$A$2:$A$101,RANDBETWEEN(1,100))</f>
        <v>PRD024</v>
      </c>
      <c r="D158" t="str">
        <f ca="1">_xlfn.XLOOKUP(C158,Master_Product!A:A,Master_Product!D:D)</f>
        <v>SUP002</v>
      </c>
      <c r="E158" t="str">
        <f ca="1">_xlfn.XLOOKUP(C158,Master_Product!A:A,Master_Product!B:B)</f>
        <v>Cup 16 oz</v>
      </c>
      <c r="F158" t="str">
        <f ca="1">_xlfn.XLOOKUP(C159,Master_Product!A:A,Master_Product!C:C)</f>
        <v>CAT002</v>
      </c>
      <c r="G158" t="str">
        <f ca="1">VLOOKUP(F158,Master_Category!A:B,2,FALSE)</f>
        <v>Tea</v>
      </c>
      <c r="H158" t="e">
        <f ca="1">_xlfn.XLOOKUP(D158,Master_Supplier!A:A,Master_Supplier!B:B)</f>
        <v>#N/A</v>
      </c>
      <c r="I158" t="e">
        <f ca="1">_xlfn.XLOOKUP(D158,Master_Supplier!A:A,Master_Supplier!E:E)</f>
        <v>#N/A</v>
      </c>
      <c r="J158">
        <f ca="1">_xlfn.XLOOKUP(C158,Master_Product!A:A,Master_Product!E:E)</f>
        <v>25632</v>
      </c>
      <c r="K158">
        <v>40</v>
      </c>
      <c r="L158">
        <f ca="1">Table_StockIn[[#This Row],[buy_price]]*Table_StockIn[[#This Row],[quantity]]</f>
        <v>1025280</v>
      </c>
    </row>
    <row r="159" spans="1:12" x14ac:dyDescent="0.3">
      <c r="A159" t="str">
        <f t="shared" si="4"/>
        <v>PUR0158</v>
      </c>
      <c r="B159" s="1">
        <f t="shared" ca="1" si="5"/>
        <v>45925</v>
      </c>
      <c r="C159" t="str" cm="1">
        <f t="array" aca="1" ref="C159" ca="1">INDEX(Master_Product!$A$2:$A$101,RANDBETWEEN(1,100))</f>
        <v>PRD081</v>
      </c>
      <c r="D159" t="str">
        <f ca="1">_xlfn.XLOOKUP(C159,Master_Product!A:A,Master_Product!D:D)</f>
        <v>SUP005</v>
      </c>
      <c r="E159" t="str">
        <f ca="1">_xlfn.XLOOKUP(C159,Master_Product!A:A,Master_Product!B:B)</f>
        <v>Rem Product</v>
      </c>
      <c r="F159" t="str">
        <f ca="1">_xlfn.XLOOKUP(C160,Master_Product!A:A,Master_Product!C:C)</f>
        <v>CAT006</v>
      </c>
      <c r="G159" t="str">
        <f ca="1">VLOOKUP(F159,Master_Category!A:B,2,FALSE)</f>
        <v>Topping</v>
      </c>
      <c r="H159" t="str">
        <f ca="1">_xlfn.XLOOKUP(D159,Master_Supplier!A:A,Master_Supplier!B:B)</f>
        <v>PT Beverage Supply</v>
      </c>
      <c r="I159" t="str">
        <f ca="1">_xlfn.XLOOKUP(D159,Master_Supplier!A:A,Master_Supplier!E:E)</f>
        <v>Depok</v>
      </c>
      <c r="J159">
        <f ca="1">_xlfn.XLOOKUP(C159,Master_Product!A:A,Master_Product!E:E)</f>
        <v>63893</v>
      </c>
      <c r="K159">
        <v>40</v>
      </c>
      <c r="L159">
        <f ca="1">Table_StockIn[[#This Row],[buy_price]]*Table_StockIn[[#This Row],[quantity]]</f>
        <v>2555720</v>
      </c>
    </row>
    <row r="160" spans="1:12" x14ac:dyDescent="0.3">
      <c r="A160" t="str">
        <f t="shared" si="4"/>
        <v>PUR0159</v>
      </c>
      <c r="B160" s="1">
        <f t="shared" ca="1" si="5"/>
        <v>45746</v>
      </c>
      <c r="C160" t="str" cm="1">
        <f t="array" aca="1" ref="C160" ca="1">INDEX(Master_Product!$A$2:$A$101,RANDBETWEEN(1,100))</f>
        <v>PRD089</v>
      </c>
      <c r="D160" t="str">
        <f ca="1">_xlfn.XLOOKUP(C160,Master_Product!A:A,Master_Product!D:D)</f>
        <v>SUP020</v>
      </c>
      <c r="E160" t="str">
        <f ca="1">_xlfn.XLOOKUP(C160,Master_Product!A:A,Master_Product!B:B)</f>
        <v>Quisquam Product</v>
      </c>
      <c r="F160" t="str">
        <f ca="1">_xlfn.XLOOKUP(C161,Master_Product!A:A,Master_Product!C:C)</f>
        <v>CAT010</v>
      </c>
      <c r="G160" t="str">
        <f ca="1">VLOOKUP(F160,Master_Category!A:B,2,FALSE)</f>
        <v>Cleaning</v>
      </c>
      <c r="H160" t="str">
        <f ca="1">_xlfn.XLOOKUP(D160,Master_Supplier!A:A,Master_Supplier!B:B)</f>
        <v>PT Clean Solution</v>
      </c>
      <c r="I160" t="str">
        <f ca="1">_xlfn.XLOOKUP(D160,Master_Supplier!A:A,Master_Supplier!E:E)</f>
        <v>Yogyakarta</v>
      </c>
      <c r="J160">
        <f ca="1">_xlfn.XLOOKUP(C160,Master_Product!A:A,Master_Product!E:E)</f>
        <v>76932</v>
      </c>
      <c r="K160">
        <v>100</v>
      </c>
      <c r="L160">
        <f ca="1">Table_StockIn[[#This Row],[buy_price]]*Table_StockIn[[#This Row],[quantity]]</f>
        <v>7693200</v>
      </c>
    </row>
    <row r="161" spans="1:12" x14ac:dyDescent="0.3">
      <c r="A161" t="str">
        <f t="shared" si="4"/>
        <v>PUR0160</v>
      </c>
      <c r="B161" s="1">
        <f t="shared" ca="1" si="5"/>
        <v>45754</v>
      </c>
      <c r="C161" t="str" cm="1">
        <f t="array" aca="1" ref="C161" ca="1">INDEX(Master_Product!$A$2:$A$101,RANDBETWEEN(1,100))</f>
        <v>PRD034</v>
      </c>
      <c r="D161" t="str">
        <f ca="1">_xlfn.XLOOKUP(C161,Master_Product!A:A,Master_Product!D:D)</f>
        <v>SUP030</v>
      </c>
      <c r="E161" t="str">
        <f ca="1">_xlfn.XLOOKUP(C161,Master_Product!A:A,Master_Product!B:B)</f>
        <v>Sanitizer</v>
      </c>
      <c r="F161" t="str">
        <f ca="1">_xlfn.XLOOKUP(C162,Master_Product!A:A,Master_Product!C:C)</f>
        <v>CAT001</v>
      </c>
      <c r="G161" t="str">
        <f ca="1">VLOOKUP(F161,Master_Category!A:B,2,FALSE)</f>
        <v>Coffee Bean</v>
      </c>
      <c r="H161" t="str">
        <f ca="1">_xlfn.XLOOKUP(D161,Master_Supplier!A:A,Master_Supplier!B:B)</f>
        <v>PT Smart Packaging</v>
      </c>
      <c r="I161" t="str">
        <f ca="1">_xlfn.XLOOKUP(D161,Master_Supplier!A:A,Master_Supplier!E:E)</f>
        <v>Surabaya</v>
      </c>
      <c r="J161">
        <f ca="1">_xlfn.XLOOKUP(C161,Master_Product!A:A,Master_Product!E:E)</f>
        <v>62176</v>
      </c>
      <c r="K161">
        <v>30</v>
      </c>
      <c r="L161">
        <f ca="1">Table_StockIn[[#This Row],[buy_price]]*Table_StockIn[[#This Row],[quantity]]</f>
        <v>1865280</v>
      </c>
    </row>
    <row r="162" spans="1:12" x14ac:dyDescent="0.3">
      <c r="A162" t="str">
        <f t="shared" si="4"/>
        <v>PUR0161</v>
      </c>
      <c r="B162" s="1">
        <f t="shared" ca="1" si="5"/>
        <v>45898</v>
      </c>
      <c r="C162" t="str" cm="1">
        <f t="array" aca="1" ref="C162" ca="1">INDEX(Master_Product!$A$2:$A$101,RANDBETWEEN(1,100))</f>
        <v>PRD099</v>
      </c>
      <c r="D162" t="str">
        <f ca="1">_xlfn.XLOOKUP(C162,Master_Product!A:A,Master_Product!D:D)</f>
        <v>SUP001</v>
      </c>
      <c r="E162" t="str">
        <f ca="1">_xlfn.XLOOKUP(C162,Master_Product!A:A,Master_Product!B:B)</f>
        <v>Laudantium Product</v>
      </c>
      <c r="F162" t="str">
        <f ca="1">_xlfn.XLOOKUP(C163,Master_Product!A:A,Master_Product!C:C)</f>
        <v>CAT009</v>
      </c>
      <c r="G162" t="str">
        <f ca="1">VLOOKUP(F162,Master_Category!A:B,2,FALSE)</f>
        <v>Machine Supply</v>
      </c>
      <c r="H162" t="e">
        <f ca="1">_xlfn.XLOOKUP(D162,Master_Supplier!A:A,Master_Supplier!B:B)</f>
        <v>#N/A</v>
      </c>
      <c r="I162" t="e">
        <f ca="1">_xlfn.XLOOKUP(D162,Master_Supplier!A:A,Master_Supplier!E:E)</f>
        <v>#N/A</v>
      </c>
      <c r="J162">
        <f ca="1">_xlfn.XLOOKUP(C162,Master_Product!A:A,Master_Product!E:E)</f>
        <v>53929</v>
      </c>
      <c r="K162">
        <v>40</v>
      </c>
      <c r="L162">
        <f ca="1">Table_StockIn[[#This Row],[buy_price]]*Table_StockIn[[#This Row],[quantity]]</f>
        <v>2157160</v>
      </c>
    </row>
    <row r="163" spans="1:12" x14ac:dyDescent="0.3">
      <c r="A163" t="str">
        <f t="shared" si="4"/>
        <v>PUR0162</v>
      </c>
      <c r="B163" s="1">
        <f t="shared" ca="1" si="5"/>
        <v>45691</v>
      </c>
      <c r="C163" t="str" cm="1">
        <f t="array" aca="1" ref="C163" ca="1">INDEX(Master_Product!$A$2:$A$101,RANDBETWEEN(1,100))</f>
        <v>PRD092</v>
      </c>
      <c r="D163" t="str">
        <f ca="1">_xlfn.XLOOKUP(C163,Master_Product!A:A,Master_Product!D:D)</f>
        <v>SUP029</v>
      </c>
      <c r="E163" t="str">
        <f ca="1">_xlfn.XLOOKUP(C163,Master_Product!A:A,Master_Product!B:B)</f>
        <v>Corporis Product</v>
      </c>
      <c r="F163" t="str">
        <f ca="1">_xlfn.XLOOKUP(C164,Master_Product!A:A,Master_Product!C:C)</f>
        <v>CAT007</v>
      </c>
      <c r="G163" t="str">
        <f ca="1">VLOOKUP(F163,Master_Category!A:B,2,FALSE)</f>
        <v>Cup &amp; Packaging</v>
      </c>
      <c r="H163" t="e">
        <f ca="1">_xlfn.XLOOKUP(D163,Master_Supplier!A:A,Master_Supplier!B:B)</f>
        <v>#N/A</v>
      </c>
      <c r="I163" t="e">
        <f ca="1">_xlfn.XLOOKUP(D163,Master_Supplier!A:A,Master_Supplier!E:E)</f>
        <v>#N/A</v>
      </c>
      <c r="J163">
        <f ca="1">_xlfn.XLOOKUP(C163,Master_Product!A:A,Master_Product!E:E)</f>
        <v>13232</v>
      </c>
      <c r="K163">
        <v>20</v>
      </c>
      <c r="L163">
        <f ca="1">Table_StockIn[[#This Row],[buy_price]]*Table_StockIn[[#This Row],[quantity]]</f>
        <v>264640</v>
      </c>
    </row>
    <row r="164" spans="1:12" x14ac:dyDescent="0.3">
      <c r="A164" t="str">
        <f t="shared" si="4"/>
        <v>PUR0163</v>
      </c>
      <c r="B164" s="1">
        <f t="shared" ca="1" si="5"/>
        <v>46015</v>
      </c>
      <c r="C164" t="str" cm="1">
        <f t="array" aca="1" ref="C164" ca="1">INDEX(Master_Product!$A$2:$A$101,RANDBETWEEN(1,100))</f>
        <v>PRD024</v>
      </c>
      <c r="D164" t="str">
        <f ca="1">_xlfn.XLOOKUP(C164,Master_Product!A:A,Master_Product!D:D)</f>
        <v>SUP002</v>
      </c>
      <c r="E164" t="str">
        <f ca="1">_xlfn.XLOOKUP(C164,Master_Product!A:A,Master_Product!B:B)</f>
        <v>Cup 16 oz</v>
      </c>
      <c r="F164" t="str">
        <f ca="1">_xlfn.XLOOKUP(C165,Master_Product!A:A,Master_Product!C:C)</f>
        <v>CAT010</v>
      </c>
      <c r="G164" t="str">
        <f ca="1">VLOOKUP(F164,Master_Category!A:B,2,FALSE)</f>
        <v>Cleaning</v>
      </c>
      <c r="H164" t="e">
        <f ca="1">_xlfn.XLOOKUP(D164,Master_Supplier!A:A,Master_Supplier!B:B)</f>
        <v>#N/A</v>
      </c>
      <c r="I164" t="e">
        <f ca="1">_xlfn.XLOOKUP(D164,Master_Supplier!A:A,Master_Supplier!E:E)</f>
        <v>#N/A</v>
      </c>
      <c r="J164">
        <f ca="1">_xlfn.XLOOKUP(C164,Master_Product!A:A,Master_Product!E:E)</f>
        <v>25632</v>
      </c>
      <c r="K164">
        <v>80</v>
      </c>
      <c r="L164">
        <f ca="1">Table_StockIn[[#This Row],[buy_price]]*Table_StockIn[[#This Row],[quantity]]</f>
        <v>2050560</v>
      </c>
    </row>
    <row r="165" spans="1:12" x14ac:dyDescent="0.3">
      <c r="A165" t="str">
        <f t="shared" si="4"/>
        <v>PUR0164</v>
      </c>
      <c r="B165" s="1">
        <f t="shared" ca="1" si="5"/>
        <v>45880</v>
      </c>
      <c r="C165" t="str" cm="1">
        <f t="array" aca="1" ref="C165" ca="1">INDEX(Master_Product!$A$2:$A$101,RANDBETWEEN(1,100))</f>
        <v>PRD056</v>
      </c>
      <c r="D165" t="str">
        <f ca="1">_xlfn.XLOOKUP(C165,Master_Product!A:A,Master_Product!D:D)</f>
        <v>SUP017</v>
      </c>
      <c r="E165" t="str">
        <f ca="1">_xlfn.XLOOKUP(C165,Master_Product!A:A,Master_Product!B:B)</f>
        <v>Nemo Product</v>
      </c>
      <c r="F165" t="str">
        <f ca="1">_xlfn.XLOOKUP(C166,Master_Product!A:A,Master_Product!C:C)</f>
        <v>CAT002</v>
      </c>
      <c r="G165" t="str">
        <f ca="1">VLOOKUP(F165,Master_Category!A:B,2,FALSE)</f>
        <v>Tea</v>
      </c>
      <c r="H165" t="str">
        <f ca="1">_xlfn.XLOOKUP(D165,Master_Supplier!A:A,Master_Supplier!B:B)</f>
        <v>PT Premium Beans</v>
      </c>
      <c r="I165" t="str">
        <f ca="1">_xlfn.XLOOKUP(D165,Master_Supplier!A:A,Master_Supplier!E:E)</f>
        <v>Yogyakarta</v>
      </c>
      <c r="J165">
        <f ca="1">_xlfn.XLOOKUP(C165,Master_Product!A:A,Master_Product!E:E)</f>
        <v>62377</v>
      </c>
      <c r="K165">
        <v>30</v>
      </c>
      <c r="L165">
        <f ca="1">Table_StockIn[[#This Row],[buy_price]]*Table_StockIn[[#This Row],[quantity]]</f>
        <v>1871310</v>
      </c>
    </row>
    <row r="166" spans="1:12" x14ac:dyDescent="0.3">
      <c r="A166" t="str">
        <f t="shared" si="4"/>
        <v>PUR0165</v>
      </c>
      <c r="B166" s="1">
        <f t="shared" ca="1" si="5"/>
        <v>45938</v>
      </c>
      <c r="C166" t="str" cm="1">
        <f t="array" aca="1" ref="C166" ca="1">INDEX(Master_Product!$A$2:$A$101,RANDBETWEEN(1,100))</f>
        <v>PRD036</v>
      </c>
      <c r="D166" t="str">
        <f ca="1">_xlfn.XLOOKUP(C166,Master_Product!A:A,Master_Product!D:D)</f>
        <v>SUP001</v>
      </c>
      <c r="E166" t="str">
        <f ca="1">_xlfn.XLOOKUP(C166,Master_Product!A:A,Master_Product!B:B)</f>
        <v>Quos Product</v>
      </c>
      <c r="F166" t="str">
        <f ca="1">_xlfn.XLOOKUP(C167,Master_Product!A:A,Master_Product!C:C)</f>
        <v>CAT002</v>
      </c>
      <c r="G166" t="str">
        <f ca="1">VLOOKUP(F166,Master_Category!A:B,2,FALSE)</f>
        <v>Tea</v>
      </c>
      <c r="H166" t="e">
        <f ca="1">_xlfn.XLOOKUP(D166,Master_Supplier!A:A,Master_Supplier!B:B)</f>
        <v>#N/A</v>
      </c>
      <c r="I166" t="e">
        <f ca="1">_xlfn.XLOOKUP(D166,Master_Supplier!A:A,Master_Supplier!E:E)</f>
        <v>#N/A</v>
      </c>
      <c r="J166">
        <f ca="1">_xlfn.XLOOKUP(C166,Master_Product!A:A,Master_Product!E:E)</f>
        <v>42947</v>
      </c>
      <c r="K166">
        <v>40</v>
      </c>
      <c r="L166">
        <f ca="1">Table_StockIn[[#This Row],[buy_price]]*Table_StockIn[[#This Row],[quantity]]</f>
        <v>1717880</v>
      </c>
    </row>
    <row r="167" spans="1:12" x14ac:dyDescent="0.3">
      <c r="A167" t="str">
        <f t="shared" si="4"/>
        <v>PUR0166</v>
      </c>
      <c r="B167" s="1">
        <f t="shared" ca="1" si="5"/>
        <v>45868</v>
      </c>
      <c r="C167" t="str" cm="1">
        <f t="array" aca="1" ref="C167" ca="1">INDEX(Master_Product!$A$2:$A$101,RANDBETWEEN(1,100))</f>
        <v>PRD082</v>
      </c>
      <c r="D167" t="str">
        <f ca="1">_xlfn.XLOOKUP(C167,Master_Product!A:A,Master_Product!D:D)</f>
        <v>SUP008</v>
      </c>
      <c r="E167" t="str">
        <f ca="1">_xlfn.XLOOKUP(C167,Master_Product!A:A,Master_Product!B:B)</f>
        <v>Cum Product</v>
      </c>
      <c r="F167" t="str">
        <f ca="1">_xlfn.XLOOKUP(C168,Master_Product!A:A,Master_Product!C:C)</f>
        <v>CAT004</v>
      </c>
      <c r="G167" t="str">
        <f ca="1">VLOOKUP(F167,Master_Category!A:B,2,FALSE)</f>
        <v>Syrup</v>
      </c>
      <c r="H167" t="str">
        <f ca="1">_xlfn.XLOOKUP(D167,Master_Supplier!A:A,Master_Supplier!B:B)</f>
        <v>PT Packaging Solution</v>
      </c>
      <c r="I167" t="str">
        <f ca="1">_xlfn.XLOOKUP(D167,Master_Supplier!A:A,Master_Supplier!E:E)</f>
        <v>Yogyakarta</v>
      </c>
      <c r="J167">
        <f ca="1">_xlfn.XLOOKUP(C167,Master_Product!A:A,Master_Product!E:E)</f>
        <v>17021</v>
      </c>
      <c r="K167">
        <v>50</v>
      </c>
      <c r="L167">
        <f ca="1">Table_StockIn[[#This Row],[buy_price]]*Table_StockIn[[#This Row],[quantity]]</f>
        <v>851050</v>
      </c>
    </row>
    <row r="168" spans="1:12" x14ac:dyDescent="0.3">
      <c r="A168" t="str">
        <f t="shared" si="4"/>
        <v>PUR0167</v>
      </c>
      <c r="B168" s="1">
        <f t="shared" ca="1" si="5"/>
        <v>45887</v>
      </c>
      <c r="C168" t="str" cm="1">
        <f t="array" aca="1" ref="C168" ca="1">INDEX(Master_Product!$A$2:$A$101,RANDBETWEEN(1,100))</f>
        <v>PRD014</v>
      </c>
      <c r="D168" t="str">
        <f ca="1">_xlfn.XLOOKUP(C168,Master_Product!A:A,Master_Product!D:D)</f>
        <v>SUP008</v>
      </c>
      <c r="E168" t="str">
        <f ca="1">_xlfn.XLOOKUP(C168,Master_Product!A:A,Master_Product!B:B)</f>
        <v>Vanilla Syrup</v>
      </c>
      <c r="F168" t="str">
        <f ca="1">_xlfn.XLOOKUP(C169,Master_Product!A:A,Master_Product!C:C)</f>
        <v>CAT001</v>
      </c>
      <c r="G168" t="str">
        <f ca="1">VLOOKUP(F168,Master_Category!A:B,2,FALSE)</f>
        <v>Coffee Bean</v>
      </c>
      <c r="H168" t="str">
        <f ca="1">_xlfn.XLOOKUP(D168,Master_Supplier!A:A,Master_Supplier!B:B)</f>
        <v>PT Packaging Solution</v>
      </c>
      <c r="I168" t="str">
        <f ca="1">_xlfn.XLOOKUP(D168,Master_Supplier!A:A,Master_Supplier!E:E)</f>
        <v>Yogyakarta</v>
      </c>
      <c r="J168">
        <f ca="1">_xlfn.XLOOKUP(C168,Master_Product!A:A,Master_Product!E:E)</f>
        <v>25280</v>
      </c>
      <c r="K168">
        <v>20</v>
      </c>
      <c r="L168">
        <f ca="1">Table_StockIn[[#This Row],[buy_price]]*Table_StockIn[[#This Row],[quantity]]</f>
        <v>505600</v>
      </c>
    </row>
    <row r="169" spans="1:12" x14ac:dyDescent="0.3">
      <c r="A169" t="str">
        <f t="shared" si="4"/>
        <v>PUR0168</v>
      </c>
      <c r="B169" s="1">
        <f t="shared" ca="1" si="5"/>
        <v>45866</v>
      </c>
      <c r="C169" t="str" cm="1">
        <f t="array" aca="1" ref="C169" ca="1">INDEX(Master_Product!$A$2:$A$101,RANDBETWEEN(1,100))</f>
        <v>PRD002</v>
      </c>
      <c r="D169" t="str">
        <f ca="1">_xlfn.XLOOKUP(C169,Master_Product!A:A,Master_Product!D:D)</f>
        <v>SUP013</v>
      </c>
      <c r="E169" t="str">
        <f ca="1">_xlfn.XLOOKUP(C169,Master_Product!A:A,Master_Product!B:B)</f>
        <v>Arabica Gayo</v>
      </c>
      <c r="F169" t="str">
        <f ca="1">_xlfn.XLOOKUP(C170,Master_Product!A:A,Master_Product!C:C)</f>
        <v>CAT005</v>
      </c>
      <c r="G169" t="str">
        <f ca="1">VLOOKUP(F169,Master_Category!A:B,2,FALSE)</f>
        <v>Powder</v>
      </c>
      <c r="H169" t="str">
        <f ca="1">_xlfn.XLOOKUP(D169,Master_Supplier!A:A,Master_Supplier!B:B)</f>
        <v>PT Coffee Trading</v>
      </c>
      <c r="I169" t="str">
        <f ca="1">_xlfn.XLOOKUP(D169,Master_Supplier!A:A,Master_Supplier!E:E)</f>
        <v>Jakarta</v>
      </c>
      <c r="J169">
        <f ca="1">_xlfn.XLOOKUP(C169,Master_Product!A:A,Master_Product!E:E)</f>
        <v>76874</v>
      </c>
      <c r="K169">
        <v>40</v>
      </c>
      <c r="L169">
        <f ca="1">Table_StockIn[[#This Row],[buy_price]]*Table_StockIn[[#This Row],[quantity]]</f>
        <v>3074960</v>
      </c>
    </row>
    <row r="170" spans="1:12" x14ac:dyDescent="0.3">
      <c r="A170" t="str">
        <f t="shared" si="4"/>
        <v>PUR0169</v>
      </c>
      <c r="B170" s="1">
        <f t="shared" ca="1" si="5"/>
        <v>45930</v>
      </c>
      <c r="C170" t="str" cm="1">
        <f t="array" aca="1" ref="C170" ca="1">INDEX(Master_Product!$A$2:$A$101,RANDBETWEEN(1,100))</f>
        <v>PRD072</v>
      </c>
      <c r="D170" t="str">
        <f ca="1">_xlfn.XLOOKUP(C170,Master_Product!A:A,Master_Product!D:D)</f>
        <v>SUP012</v>
      </c>
      <c r="E170" t="str">
        <f ca="1">_xlfn.XLOOKUP(C170,Master_Product!A:A,Master_Product!B:B)</f>
        <v>Quidem Product</v>
      </c>
      <c r="F170" t="str">
        <f ca="1">_xlfn.XLOOKUP(C171,Master_Product!A:A,Master_Product!C:C)</f>
        <v>CAT007</v>
      </c>
      <c r="G170" t="str">
        <f ca="1">VLOOKUP(F170,Master_Category!A:B,2,FALSE)</f>
        <v>Cup &amp; Packaging</v>
      </c>
      <c r="H170" t="str">
        <f ca="1">_xlfn.XLOOKUP(D170,Master_Supplier!A:A,Master_Supplier!B:B)</f>
        <v>PT Tea Indonesia</v>
      </c>
      <c r="I170" t="str">
        <f ca="1">_xlfn.XLOOKUP(D170,Master_Supplier!A:A,Master_Supplier!E:E)</f>
        <v>Jakarta</v>
      </c>
      <c r="J170">
        <f ca="1">_xlfn.XLOOKUP(C170,Master_Product!A:A,Master_Product!E:E)</f>
        <v>62366</v>
      </c>
      <c r="K170">
        <v>40</v>
      </c>
      <c r="L170">
        <f ca="1">Table_StockIn[[#This Row],[buy_price]]*Table_StockIn[[#This Row],[quantity]]</f>
        <v>2494640</v>
      </c>
    </row>
    <row r="171" spans="1:12" x14ac:dyDescent="0.3">
      <c r="A171" t="str">
        <f t="shared" si="4"/>
        <v>PUR0170</v>
      </c>
      <c r="B171" s="1">
        <f t="shared" ca="1" si="5"/>
        <v>45992</v>
      </c>
      <c r="C171" t="str" cm="1">
        <f t="array" aca="1" ref="C171" ca="1">INDEX(Master_Product!$A$2:$A$101,RANDBETWEEN(1,100))</f>
        <v>PRD097</v>
      </c>
      <c r="D171" t="str">
        <f ca="1">_xlfn.XLOOKUP(C171,Master_Product!A:A,Master_Product!D:D)</f>
        <v>SUP017</v>
      </c>
      <c r="E171" t="str">
        <f ca="1">_xlfn.XLOOKUP(C171,Master_Product!A:A,Master_Product!B:B)</f>
        <v>Odio Product</v>
      </c>
      <c r="F171" t="str">
        <f ca="1">_xlfn.XLOOKUP(C172,Master_Product!A:A,Master_Product!C:C)</f>
        <v>CAT008</v>
      </c>
      <c r="G171" t="str">
        <f ca="1">VLOOKUP(F171,Master_Category!A:B,2,FALSE)</f>
        <v>Snack</v>
      </c>
      <c r="H171" t="str">
        <f ca="1">_xlfn.XLOOKUP(D171,Master_Supplier!A:A,Master_Supplier!B:B)</f>
        <v>PT Premium Beans</v>
      </c>
      <c r="I171" t="str">
        <f ca="1">_xlfn.XLOOKUP(D171,Master_Supplier!A:A,Master_Supplier!E:E)</f>
        <v>Yogyakarta</v>
      </c>
      <c r="J171">
        <f ca="1">_xlfn.XLOOKUP(C171,Master_Product!A:A,Master_Product!E:E)</f>
        <v>76313</v>
      </c>
      <c r="K171">
        <v>20</v>
      </c>
      <c r="L171">
        <f ca="1">Table_StockIn[[#This Row],[buy_price]]*Table_StockIn[[#This Row],[quantity]]</f>
        <v>1526260</v>
      </c>
    </row>
    <row r="172" spans="1:12" x14ac:dyDescent="0.3">
      <c r="A172" t="str">
        <f t="shared" si="4"/>
        <v>PUR0171</v>
      </c>
      <c r="B172" s="1">
        <f t="shared" ca="1" si="5"/>
        <v>45936</v>
      </c>
      <c r="C172" t="str" cm="1">
        <f t="array" aca="1" ref="C172" ca="1">INDEX(Master_Product!$A$2:$A$101,RANDBETWEEN(1,100))</f>
        <v>PRD054</v>
      </c>
      <c r="D172" t="str">
        <f ca="1">_xlfn.XLOOKUP(C172,Master_Product!A:A,Master_Product!D:D)</f>
        <v>SUP029</v>
      </c>
      <c r="E172" t="str">
        <f ca="1">_xlfn.XLOOKUP(C172,Master_Product!A:A,Master_Product!B:B)</f>
        <v>Ullam Product</v>
      </c>
      <c r="F172" t="str">
        <f ca="1">_xlfn.XLOOKUP(C173,Master_Product!A:A,Master_Product!C:C)</f>
        <v>CAT009</v>
      </c>
      <c r="G172" t="str">
        <f ca="1">VLOOKUP(F172,Master_Category!A:B,2,FALSE)</f>
        <v>Machine Supply</v>
      </c>
      <c r="H172" t="e">
        <f ca="1">_xlfn.XLOOKUP(D172,Master_Supplier!A:A,Master_Supplier!B:B)</f>
        <v>#N/A</v>
      </c>
      <c r="I172" t="e">
        <f ca="1">_xlfn.XLOOKUP(D172,Master_Supplier!A:A,Master_Supplier!E:E)</f>
        <v>#N/A</v>
      </c>
      <c r="J172">
        <f ca="1">_xlfn.XLOOKUP(C172,Master_Product!A:A,Master_Product!E:E)</f>
        <v>64050</v>
      </c>
      <c r="K172">
        <v>100</v>
      </c>
      <c r="L172">
        <f ca="1">Table_StockIn[[#This Row],[buy_price]]*Table_StockIn[[#This Row],[quantity]]</f>
        <v>6405000</v>
      </c>
    </row>
    <row r="173" spans="1:12" x14ac:dyDescent="0.3">
      <c r="A173" t="str">
        <f t="shared" si="4"/>
        <v>PUR0172</v>
      </c>
      <c r="B173" s="1">
        <f t="shared" ca="1" si="5"/>
        <v>45674</v>
      </c>
      <c r="C173" t="str" cm="1">
        <f t="array" aca="1" ref="C173" ca="1">INDEX(Master_Product!$A$2:$A$101,RANDBETWEEN(1,100))</f>
        <v>PRD031</v>
      </c>
      <c r="D173" t="str">
        <f ca="1">_xlfn.XLOOKUP(C173,Master_Product!A:A,Master_Product!D:D)</f>
        <v>SUP014</v>
      </c>
      <c r="E173" t="str">
        <f ca="1">_xlfn.XLOOKUP(C173,Master_Product!A:A,Master_Product!B:B)</f>
        <v>Coffee Machine Cleaner</v>
      </c>
      <c r="F173" t="str">
        <f ca="1">_xlfn.XLOOKUP(C174,Master_Product!A:A,Master_Product!C:C)</f>
        <v>CAT005</v>
      </c>
      <c r="G173" t="str">
        <f ca="1">VLOOKUP(F173,Master_Category!A:B,2,FALSE)</f>
        <v>Powder</v>
      </c>
      <c r="H173" t="str">
        <f ca="1">_xlfn.XLOOKUP(D173,Master_Supplier!A:A,Master_Supplier!B:B)</f>
        <v>PT Food Ingredients</v>
      </c>
      <c r="I173" t="str">
        <f ca="1">_xlfn.XLOOKUP(D173,Master_Supplier!A:A,Master_Supplier!E:E)</f>
        <v>Bandung</v>
      </c>
      <c r="J173">
        <f ca="1">_xlfn.XLOOKUP(C173,Master_Product!A:A,Master_Product!E:E)</f>
        <v>6013</v>
      </c>
      <c r="K173">
        <v>40</v>
      </c>
      <c r="L173">
        <f ca="1">Table_StockIn[[#This Row],[buy_price]]*Table_StockIn[[#This Row],[quantity]]</f>
        <v>240520</v>
      </c>
    </row>
    <row r="174" spans="1:12" x14ac:dyDescent="0.3">
      <c r="A174" t="str">
        <f t="shared" si="4"/>
        <v>PUR0173</v>
      </c>
      <c r="B174" s="1">
        <f t="shared" ca="1" si="5"/>
        <v>46003</v>
      </c>
      <c r="C174" t="str" cm="1">
        <f t="array" aca="1" ref="C174" ca="1">INDEX(Master_Product!$A$2:$A$101,RANDBETWEEN(1,100))</f>
        <v>PRD086</v>
      </c>
      <c r="D174" t="str">
        <f ca="1">_xlfn.XLOOKUP(C174,Master_Product!A:A,Master_Product!D:D)</f>
        <v>SUP010</v>
      </c>
      <c r="E174" t="str">
        <f ca="1">_xlfn.XLOOKUP(C174,Master_Product!A:A,Master_Product!B:B)</f>
        <v>Quis Product</v>
      </c>
      <c r="F174" t="str">
        <f ca="1">_xlfn.XLOOKUP(C175,Master_Product!A:A,Master_Product!C:C)</f>
        <v>CAT005</v>
      </c>
      <c r="G174" t="str">
        <f ca="1">VLOOKUP(F174,Master_Category!A:B,2,FALSE)</f>
        <v>Powder</v>
      </c>
      <c r="H174" t="str">
        <f ca="1">_xlfn.XLOOKUP(D174,Master_Supplier!A:A,Master_Supplier!B:B)</f>
        <v>PT Gula Manis</v>
      </c>
      <c r="I174" t="str">
        <f ca="1">_xlfn.XLOOKUP(D174,Master_Supplier!A:A,Master_Supplier!E:E)</f>
        <v>Malang</v>
      </c>
      <c r="J174">
        <f ca="1">_xlfn.XLOOKUP(C174,Master_Product!A:A,Master_Product!E:E)</f>
        <v>24142</v>
      </c>
      <c r="K174">
        <v>20</v>
      </c>
      <c r="L174">
        <f ca="1">Table_StockIn[[#This Row],[buy_price]]*Table_StockIn[[#This Row],[quantity]]</f>
        <v>482840</v>
      </c>
    </row>
    <row r="175" spans="1:12" x14ac:dyDescent="0.3">
      <c r="A175" t="str">
        <f t="shared" si="4"/>
        <v>PUR0174</v>
      </c>
      <c r="B175" s="1">
        <f t="shared" ca="1" si="5"/>
        <v>46014</v>
      </c>
      <c r="C175" t="str" cm="1">
        <f t="array" aca="1" ref="C175" ca="1">INDEX(Master_Product!$A$2:$A$101,RANDBETWEEN(1,100))</f>
        <v>PRD042</v>
      </c>
      <c r="D175" t="str">
        <f ca="1">_xlfn.XLOOKUP(C175,Master_Product!A:A,Master_Product!D:D)</f>
        <v>SUP027</v>
      </c>
      <c r="E175" t="str">
        <f ca="1">_xlfn.XLOOKUP(C175,Master_Product!A:A,Master_Product!B:B)</f>
        <v>Ipsam Product</v>
      </c>
      <c r="F175" t="str">
        <f ca="1">_xlfn.XLOOKUP(C176,Master_Product!A:A,Master_Product!C:C)</f>
        <v>CAT009</v>
      </c>
      <c r="G175" t="str">
        <f ca="1">VLOOKUP(F175,Master_Category!A:B,2,FALSE)</f>
        <v>Machine Supply</v>
      </c>
      <c r="H175" t="str">
        <f ca="1">_xlfn.XLOOKUP(D175,Master_Supplier!A:A,Master_Supplier!B:B)</f>
        <v>CV Premium Supplier</v>
      </c>
      <c r="I175" t="str">
        <f ca="1">_xlfn.XLOOKUP(D175,Master_Supplier!A:A,Master_Supplier!E:E)</f>
        <v>Bekasi</v>
      </c>
      <c r="J175">
        <f ca="1">_xlfn.XLOOKUP(C175,Master_Product!A:A,Master_Product!E:E)</f>
        <v>50793</v>
      </c>
      <c r="K175">
        <v>50</v>
      </c>
      <c r="L175">
        <f ca="1">Table_StockIn[[#This Row],[buy_price]]*Table_StockIn[[#This Row],[quantity]]</f>
        <v>2539650</v>
      </c>
    </row>
    <row r="176" spans="1:12" x14ac:dyDescent="0.3">
      <c r="A176" t="str">
        <f t="shared" si="4"/>
        <v>PUR0175</v>
      </c>
      <c r="B176" s="1">
        <f t="shared" ca="1" si="5"/>
        <v>45899</v>
      </c>
      <c r="C176" t="str" cm="1">
        <f t="array" aca="1" ref="C176" ca="1">INDEX(Master_Product!$A$2:$A$101,RANDBETWEEN(1,100))</f>
        <v>PRD071</v>
      </c>
      <c r="D176" t="str">
        <f ca="1">_xlfn.XLOOKUP(C176,Master_Product!A:A,Master_Product!D:D)</f>
        <v>SUP006</v>
      </c>
      <c r="E176" t="str">
        <f ca="1">_xlfn.XLOOKUP(C176,Master_Product!A:A,Master_Product!B:B)</f>
        <v>Et Product</v>
      </c>
      <c r="F176" t="str">
        <f ca="1">_xlfn.XLOOKUP(C177,Master_Product!A:A,Master_Product!C:C)</f>
        <v>CAT004</v>
      </c>
      <c r="G176" t="str">
        <f ca="1">VLOOKUP(F176,Master_Category!A:B,2,FALSE)</f>
        <v>Syrup</v>
      </c>
      <c r="H176" t="str">
        <f ca="1">_xlfn.XLOOKUP(D176,Master_Supplier!A:A,Master_Supplier!B:B)</f>
        <v>CV Java Coffee</v>
      </c>
      <c r="I176" t="str">
        <f ca="1">_xlfn.XLOOKUP(D176,Master_Supplier!A:A,Master_Supplier!E:E)</f>
        <v>Bogor</v>
      </c>
      <c r="J176">
        <f ca="1">_xlfn.XLOOKUP(C176,Master_Product!A:A,Master_Product!E:E)</f>
        <v>54377</v>
      </c>
      <c r="K176">
        <v>40</v>
      </c>
      <c r="L176">
        <f ca="1">Table_StockIn[[#This Row],[buy_price]]*Table_StockIn[[#This Row],[quantity]]</f>
        <v>2175080</v>
      </c>
    </row>
    <row r="177" spans="1:12" x14ac:dyDescent="0.3">
      <c r="A177" t="str">
        <f t="shared" si="4"/>
        <v>PUR0176</v>
      </c>
      <c r="B177" s="1">
        <f t="shared" ca="1" si="5"/>
        <v>45725</v>
      </c>
      <c r="C177" t="str" cm="1">
        <f t="array" aca="1" ref="C177" ca="1">INDEX(Master_Product!$A$2:$A$101,RANDBETWEEN(1,100))</f>
        <v>PRD088</v>
      </c>
      <c r="D177" t="str">
        <f ca="1">_xlfn.XLOOKUP(C177,Master_Product!A:A,Master_Product!D:D)</f>
        <v>SUP007</v>
      </c>
      <c r="E177" t="str">
        <f ca="1">_xlfn.XLOOKUP(C177,Master_Product!A:A,Master_Product!B:B)</f>
        <v>Nulla Product</v>
      </c>
      <c r="F177" t="str">
        <f ca="1">_xlfn.XLOOKUP(C178,Master_Product!A:A,Master_Product!C:C)</f>
        <v>CAT006</v>
      </c>
      <c r="G177" t="str">
        <f ca="1">VLOOKUP(F177,Master_Category!A:B,2,FALSE)</f>
        <v>Topping</v>
      </c>
      <c r="H177" t="e">
        <f ca="1">_xlfn.XLOOKUP(D177,Master_Supplier!A:A,Master_Supplier!B:B)</f>
        <v>#N/A</v>
      </c>
      <c r="I177" t="e">
        <f ca="1">_xlfn.XLOOKUP(D177,Master_Supplier!A:A,Master_Supplier!E:E)</f>
        <v>#N/A</v>
      </c>
      <c r="J177">
        <f ca="1">_xlfn.XLOOKUP(C177,Master_Product!A:A,Master_Product!E:E)</f>
        <v>15384</v>
      </c>
      <c r="K177">
        <v>20</v>
      </c>
      <c r="L177">
        <f ca="1">Table_StockIn[[#This Row],[buy_price]]*Table_StockIn[[#This Row],[quantity]]</f>
        <v>307680</v>
      </c>
    </row>
    <row r="178" spans="1:12" x14ac:dyDescent="0.3">
      <c r="A178" t="str">
        <f t="shared" si="4"/>
        <v>PUR0177</v>
      </c>
      <c r="B178" s="1">
        <f t="shared" ca="1" si="5"/>
        <v>45794</v>
      </c>
      <c r="C178" t="str" cm="1">
        <f t="array" aca="1" ref="C178" ca="1">INDEX(Master_Product!$A$2:$A$101,RANDBETWEEN(1,100))</f>
        <v>PRD051</v>
      </c>
      <c r="D178" t="str">
        <f ca="1">_xlfn.XLOOKUP(C178,Master_Product!A:A,Master_Product!D:D)</f>
        <v>SUP019</v>
      </c>
      <c r="E178" t="str">
        <f ca="1">_xlfn.XLOOKUP(C178,Master_Product!A:A,Master_Product!B:B)</f>
        <v>Molestiae Product</v>
      </c>
      <c r="F178" t="str">
        <f ca="1">_xlfn.XLOOKUP(C179,Master_Product!A:A,Master_Product!C:C)</f>
        <v>CAT009</v>
      </c>
      <c r="G178" t="str">
        <f ca="1">VLOOKUP(F178,Master_Category!A:B,2,FALSE)</f>
        <v>Machine Supply</v>
      </c>
      <c r="H178" t="str">
        <f ca="1">_xlfn.XLOOKUP(D178,Master_Supplier!A:A,Master_Supplier!B:B)</f>
        <v>PT Indo Beverage</v>
      </c>
      <c r="I178" t="str">
        <f ca="1">_xlfn.XLOOKUP(D178,Master_Supplier!A:A,Master_Supplier!E:E)</f>
        <v>Jakarta</v>
      </c>
      <c r="J178">
        <f ca="1">_xlfn.XLOOKUP(C178,Master_Product!A:A,Master_Product!E:E)</f>
        <v>71462</v>
      </c>
      <c r="K178">
        <v>40</v>
      </c>
      <c r="L178">
        <f ca="1">Table_StockIn[[#This Row],[buy_price]]*Table_StockIn[[#This Row],[quantity]]</f>
        <v>2858480</v>
      </c>
    </row>
    <row r="179" spans="1:12" x14ac:dyDescent="0.3">
      <c r="A179" t="str">
        <f t="shared" si="4"/>
        <v>PUR0178</v>
      </c>
      <c r="B179" s="1">
        <f t="shared" ca="1" si="5"/>
        <v>45823</v>
      </c>
      <c r="C179" t="str" cm="1">
        <f t="array" aca="1" ref="C179" ca="1">INDEX(Master_Product!$A$2:$A$101,RANDBETWEEN(1,100))</f>
        <v>PRD032</v>
      </c>
      <c r="D179" t="str">
        <f ca="1">_xlfn.XLOOKUP(C179,Master_Product!A:A,Master_Product!D:D)</f>
        <v>SUP008</v>
      </c>
      <c r="E179" t="str">
        <f ca="1">_xlfn.XLOOKUP(C179,Master_Product!A:A,Master_Product!B:B)</f>
        <v>Filter Paper</v>
      </c>
      <c r="F179" t="str">
        <f ca="1">_xlfn.XLOOKUP(C180,Master_Product!A:A,Master_Product!C:C)</f>
        <v>CAT009</v>
      </c>
      <c r="G179" t="str">
        <f ca="1">VLOOKUP(F179,Master_Category!A:B,2,FALSE)</f>
        <v>Machine Supply</v>
      </c>
      <c r="H179" t="str">
        <f ca="1">_xlfn.XLOOKUP(D179,Master_Supplier!A:A,Master_Supplier!B:B)</f>
        <v>PT Packaging Solution</v>
      </c>
      <c r="I179" t="str">
        <f ca="1">_xlfn.XLOOKUP(D179,Master_Supplier!A:A,Master_Supplier!E:E)</f>
        <v>Yogyakarta</v>
      </c>
      <c r="J179">
        <f ca="1">_xlfn.XLOOKUP(C179,Master_Product!A:A,Master_Product!E:E)</f>
        <v>54834</v>
      </c>
      <c r="K179">
        <v>20</v>
      </c>
      <c r="L179">
        <f ca="1">Table_StockIn[[#This Row],[buy_price]]*Table_StockIn[[#This Row],[quantity]]</f>
        <v>1096680</v>
      </c>
    </row>
    <row r="180" spans="1:12" x14ac:dyDescent="0.3">
      <c r="A180" t="str">
        <f t="shared" si="4"/>
        <v>PUR0179</v>
      </c>
      <c r="B180" s="1">
        <f t="shared" ca="1" si="5"/>
        <v>45967</v>
      </c>
      <c r="C180" t="str" cm="1">
        <f t="array" aca="1" ref="C180" ca="1">INDEX(Master_Product!$A$2:$A$101,RANDBETWEEN(1,100))</f>
        <v>PRD076</v>
      </c>
      <c r="D180" t="str">
        <f ca="1">_xlfn.XLOOKUP(C180,Master_Product!A:A,Master_Product!D:D)</f>
        <v>SUP017</v>
      </c>
      <c r="E180" t="str">
        <f ca="1">_xlfn.XLOOKUP(C180,Master_Product!A:A,Master_Product!B:B)</f>
        <v>Recusandae Product</v>
      </c>
      <c r="F180" t="str">
        <f ca="1">_xlfn.XLOOKUP(C181,Master_Product!A:A,Master_Product!C:C)</f>
        <v>CAT002</v>
      </c>
      <c r="G180" t="str">
        <f ca="1">VLOOKUP(F180,Master_Category!A:B,2,FALSE)</f>
        <v>Tea</v>
      </c>
      <c r="H180" t="str">
        <f ca="1">_xlfn.XLOOKUP(D180,Master_Supplier!A:A,Master_Supplier!B:B)</f>
        <v>PT Premium Beans</v>
      </c>
      <c r="I180" t="str">
        <f ca="1">_xlfn.XLOOKUP(D180,Master_Supplier!A:A,Master_Supplier!E:E)</f>
        <v>Yogyakarta</v>
      </c>
      <c r="J180">
        <f ca="1">_xlfn.XLOOKUP(C180,Master_Product!A:A,Master_Product!E:E)</f>
        <v>41932</v>
      </c>
      <c r="K180">
        <v>20</v>
      </c>
      <c r="L180">
        <f ca="1">Table_StockIn[[#This Row],[buy_price]]*Table_StockIn[[#This Row],[quantity]]</f>
        <v>838640</v>
      </c>
    </row>
    <row r="181" spans="1:12" x14ac:dyDescent="0.3">
      <c r="A181" t="str">
        <f t="shared" si="4"/>
        <v>PUR0180</v>
      </c>
      <c r="B181" s="1">
        <f t="shared" ca="1" si="5"/>
        <v>45785</v>
      </c>
      <c r="C181" t="str" cm="1">
        <f t="array" aca="1" ref="C181" ca="1">INDEX(Master_Product!$A$2:$A$101,RANDBETWEEN(1,100))</f>
        <v>PRD081</v>
      </c>
      <c r="D181" t="str">
        <f ca="1">_xlfn.XLOOKUP(C181,Master_Product!A:A,Master_Product!D:D)</f>
        <v>SUP005</v>
      </c>
      <c r="E181" t="str">
        <f ca="1">_xlfn.XLOOKUP(C181,Master_Product!A:A,Master_Product!B:B)</f>
        <v>Rem Product</v>
      </c>
      <c r="F181" t="str">
        <f ca="1">_xlfn.XLOOKUP(C182,Master_Product!A:A,Master_Product!C:C)</f>
        <v>CAT003</v>
      </c>
      <c r="G181" t="str">
        <f ca="1">VLOOKUP(F181,Master_Category!A:B,2,FALSE)</f>
        <v>Milk</v>
      </c>
      <c r="H181" t="str">
        <f ca="1">_xlfn.XLOOKUP(D181,Master_Supplier!A:A,Master_Supplier!B:B)</f>
        <v>PT Beverage Supply</v>
      </c>
      <c r="I181" t="str">
        <f ca="1">_xlfn.XLOOKUP(D181,Master_Supplier!A:A,Master_Supplier!E:E)</f>
        <v>Depok</v>
      </c>
      <c r="J181">
        <f ca="1">_xlfn.XLOOKUP(C181,Master_Product!A:A,Master_Product!E:E)</f>
        <v>63893</v>
      </c>
      <c r="K181">
        <v>20</v>
      </c>
      <c r="L181">
        <f ca="1">Table_StockIn[[#This Row],[buy_price]]*Table_StockIn[[#This Row],[quantity]]</f>
        <v>1277860</v>
      </c>
    </row>
    <row r="182" spans="1:12" x14ac:dyDescent="0.3">
      <c r="A182" t="str">
        <f t="shared" si="4"/>
        <v>PUR0181</v>
      </c>
      <c r="B182" s="1">
        <f t="shared" ca="1" si="5"/>
        <v>45778</v>
      </c>
      <c r="C182" t="str" cm="1">
        <f t="array" aca="1" ref="C182" ca="1">INDEX(Master_Product!$A$2:$A$101,RANDBETWEEN(1,100))</f>
        <v>PRD063</v>
      </c>
      <c r="D182" t="str">
        <f ca="1">_xlfn.XLOOKUP(C182,Master_Product!A:A,Master_Product!D:D)</f>
        <v>SUP003</v>
      </c>
      <c r="E182" t="str">
        <f ca="1">_xlfn.XLOOKUP(C182,Master_Product!A:A,Master_Product!B:B)</f>
        <v>Doloremque Product</v>
      </c>
      <c r="F182" t="str">
        <f ca="1">_xlfn.XLOOKUP(C183,Master_Product!A:A,Master_Product!C:C)</f>
        <v>CAT010</v>
      </c>
      <c r="G182" t="str">
        <f ca="1">VLOOKUP(F182,Master_Category!A:B,2,FALSE)</f>
        <v>Cleaning</v>
      </c>
      <c r="H182" t="str">
        <f ca="1">_xlfn.XLOOKUP(D182,Master_Supplier!A:A,Master_Supplier!B:B)</f>
        <v>CV Barista Indonesia</v>
      </c>
      <c r="I182" t="str">
        <f ca="1">_xlfn.XLOOKUP(D182,Master_Supplier!A:A,Master_Supplier!E:E)</f>
        <v>Bekasi</v>
      </c>
      <c r="J182">
        <f ca="1">_xlfn.XLOOKUP(C182,Master_Product!A:A,Master_Product!E:E)</f>
        <v>21901</v>
      </c>
      <c r="K182">
        <v>100</v>
      </c>
      <c r="L182">
        <f ca="1">Table_StockIn[[#This Row],[buy_price]]*Table_StockIn[[#This Row],[quantity]]</f>
        <v>2190100</v>
      </c>
    </row>
    <row r="183" spans="1:12" x14ac:dyDescent="0.3">
      <c r="A183" t="str">
        <f t="shared" si="4"/>
        <v>PUR0182</v>
      </c>
      <c r="B183" s="1">
        <f t="shared" ca="1" si="5"/>
        <v>45915</v>
      </c>
      <c r="C183" t="str" cm="1">
        <f t="array" aca="1" ref="C183" ca="1">INDEX(Master_Product!$A$2:$A$101,RANDBETWEEN(1,100))</f>
        <v>PRD056</v>
      </c>
      <c r="D183" t="str">
        <f ca="1">_xlfn.XLOOKUP(C183,Master_Product!A:A,Master_Product!D:D)</f>
        <v>SUP017</v>
      </c>
      <c r="E183" t="str">
        <f ca="1">_xlfn.XLOOKUP(C183,Master_Product!A:A,Master_Product!B:B)</f>
        <v>Nemo Product</v>
      </c>
      <c r="F183" t="str">
        <f ca="1">_xlfn.XLOOKUP(C184,Master_Product!A:A,Master_Product!C:C)</f>
        <v>CAT002</v>
      </c>
      <c r="G183" t="str">
        <f ca="1">VLOOKUP(F183,Master_Category!A:B,2,FALSE)</f>
        <v>Tea</v>
      </c>
      <c r="H183" t="str">
        <f ca="1">_xlfn.XLOOKUP(D183,Master_Supplier!A:A,Master_Supplier!B:B)</f>
        <v>PT Premium Beans</v>
      </c>
      <c r="I183" t="str">
        <f ca="1">_xlfn.XLOOKUP(D183,Master_Supplier!A:A,Master_Supplier!E:E)</f>
        <v>Yogyakarta</v>
      </c>
      <c r="J183">
        <f ca="1">_xlfn.XLOOKUP(C183,Master_Product!A:A,Master_Product!E:E)</f>
        <v>62377</v>
      </c>
      <c r="K183">
        <v>40</v>
      </c>
      <c r="L183">
        <f ca="1">Table_StockIn[[#This Row],[buy_price]]*Table_StockIn[[#This Row],[quantity]]</f>
        <v>2495080</v>
      </c>
    </row>
    <row r="184" spans="1:12" x14ac:dyDescent="0.3">
      <c r="A184" t="str">
        <f t="shared" si="4"/>
        <v>PUR0183</v>
      </c>
      <c r="B184" s="1">
        <f t="shared" ca="1" si="5"/>
        <v>45968</v>
      </c>
      <c r="C184" t="str" cm="1">
        <f t="array" aca="1" ref="C184" ca="1">INDEX(Master_Product!$A$2:$A$101,RANDBETWEEN(1,100))</f>
        <v>PRD058</v>
      </c>
      <c r="D184" t="str">
        <f ca="1">_xlfn.XLOOKUP(C184,Master_Product!A:A,Master_Product!D:D)</f>
        <v>SUP002</v>
      </c>
      <c r="E184" t="str">
        <f ca="1">_xlfn.XLOOKUP(C184,Master_Product!A:A,Master_Product!B:B)</f>
        <v>Porro Product</v>
      </c>
      <c r="F184" t="str">
        <f ca="1">_xlfn.XLOOKUP(C185,Master_Product!A:A,Master_Product!C:C)</f>
        <v>CAT010</v>
      </c>
      <c r="G184" t="str">
        <f ca="1">VLOOKUP(F184,Master_Category!A:B,2,FALSE)</f>
        <v>Cleaning</v>
      </c>
      <c r="H184" t="e">
        <f ca="1">_xlfn.XLOOKUP(D184,Master_Supplier!A:A,Master_Supplier!B:B)</f>
        <v>#N/A</v>
      </c>
      <c r="I184" t="e">
        <f ca="1">_xlfn.XLOOKUP(D184,Master_Supplier!A:A,Master_Supplier!E:E)</f>
        <v>#N/A</v>
      </c>
      <c r="J184">
        <f ca="1">_xlfn.XLOOKUP(C184,Master_Product!A:A,Master_Product!E:E)</f>
        <v>49350</v>
      </c>
      <c r="K184">
        <v>50</v>
      </c>
      <c r="L184">
        <f ca="1">Table_StockIn[[#This Row],[buy_price]]*Table_StockIn[[#This Row],[quantity]]</f>
        <v>2467500</v>
      </c>
    </row>
    <row r="185" spans="1:12" x14ac:dyDescent="0.3">
      <c r="A185" t="str">
        <f t="shared" si="4"/>
        <v>PUR0184</v>
      </c>
      <c r="B185" s="1">
        <f t="shared" ca="1" si="5"/>
        <v>45930</v>
      </c>
      <c r="C185" t="str" cm="1">
        <f t="array" aca="1" ref="C185" ca="1">INDEX(Master_Product!$A$2:$A$101,RANDBETWEEN(1,100))</f>
        <v>PRD038</v>
      </c>
      <c r="D185" t="str">
        <f ca="1">_xlfn.XLOOKUP(C185,Master_Product!A:A,Master_Product!D:D)</f>
        <v>SUP004</v>
      </c>
      <c r="E185" t="str">
        <f ca="1">_xlfn.XLOOKUP(C185,Master_Product!A:A,Master_Product!B:B)</f>
        <v>Porro Product</v>
      </c>
      <c r="F185" t="str">
        <f ca="1">_xlfn.XLOOKUP(C186,Master_Product!A:A,Master_Product!C:C)</f>
        <v>CAT003</v>
      </c>
      <c r="G185" t="str">
        <f ca="1">VLOOKUP(F185,Master_Category!A:B,2,FALSE)</f>
        <v>Milk</v>
      </c>
      <c r="H185" t="str">
        <f ca="1">_xlfn.XLOOKUP(D185,Master_Supplier!A:A,Master_Supplier!B:B)</f>
        <v>PT Dairy Fresh</v>
      </c>
      <c r="I185" t="str">
        <f ca="1">_xlfn.XLOOKUP(D185,Master_Supplier!A:A,Master_Supplier!E:E)</f>
        <v>Depok</v>
      </c>
      <c r="J185">
        <f ca="1">_xlfn.XLOOKUP(C185,Master_Product!A:A,Master_Product!E:E)</f>
        <v>16551</v>
      </c>
      <c r="K185">
        <v>40</v>
      </c>
      <c r="L185">
        <f ca="1">Table_StockIn[[#This Row],[buy_price]]*Table_StockIn[[#This Row],[quantity]]</f>
        <v>662040</v>
      </c>
    </row>
    <row r="186" spans="1:12" x14ac:dyDescent="0.3">
      <c r="A186" t="str">
        <f t="shared" si="4"/>
        <v>PUR0185</v>
      </c>
      <c r="B186" s="1">
        <f t="shared" ca="1" si="5"/>
        <v>45933</v>
      </c>
      <c r="C186" t="str" cm="1">
        <f t="array" aca="1" ref="C186" ca="1">INDEX(Master_Product!$A$2:$A$101,RANDBETWEEN(1,100))</f>
        <v>PRD010</v>
      </c>
      <c r="D186" t="str">
        <f ca="1">_xlfn.XLOOKUP(C186,Master_Product!A:A,Master_Product!D:D)</f>
        <v>SUP019</v>
      </c>
      <c r="E186" t="str">
        <f ca="1">_xlfn.XLOOKUP(C186,Master_Product!A:A,Master_Product!B:B)</f>
        <v>Oat Milk</v>
      </c>
      <c r="F186" t="str">
        <f ca="1">_xlfn.XLOOKUP(C187,Master_Product!A:A,Master_Product!C:C)</f>
        <v>CAT007</v>
      </c>
      <c r="G186" t="str">
        <f ca="1">VLOOKUP(F186,Master_Category!A:B,2,FALSE)</f>
        <v>Cup &amp; Packaging</v>
      </c>
      <c r="H186" t="str">
        <f ca="1">_xlfn.XLOOKUP(D186,Master_Supplier!A:A,Master_Supplier!B:B)</f>
        <v>PT Indo Beverage</v>
      </c>
      <c r="I186" t="str">
        <f ca="1">_xlfn.XLOOKUP(D186,Master_Supplier!A:A,Master_Supplier!E:E)</f>
        <v>Jakarta</v>
      </c>
      <c r="J186">
        <f ca="1">_xlfn.XLOOKUP(C186,Master_Product!A:A,Master_Product!E:E)</f>
        <v>22054</v>
      </c>
      <c r="K186">
        <v>100</v>
      </c>
      <c r="L186">
        <f ca="1">Table_StockIn[[#This Row],[buy_price]]*Table_StockIn[[#This Row],[quantity]]</f>
        <v>2205400</v>
      </c>
    </row>
    <row r="187" spans="1:12" x14ac:dyDescent="0.3">
      <c r="A187" t="str">
        <f t="shared" si="4"/>
        <v>PUR0186</v>
      </c>
      <c r="B187" s="1">
        <f t="shared" ca="1" si="5"/>
        <v>45702</v>
      </c>
      <c r="C187" t="str" cm="1">
        <f t="array" aca="1" ref="C187" ca="1">INDEX(Master_Product!$A$2:$A$101,RANDBETWEEN(1,100))</f>
        <v>PRD025</v>
      </c>
      <c r="D187" t="str">
        <f ca="1">_xlfn.XLOOKUP(C187,Master_Product!A:A,Master_Product!D:D)</f>
        <v>SUP014</v>
      </c>
      <c r="E187" t="str">
        <f ca="1">_xlfn.XLOOKUP(C187,Master_Product!A:A,Master_Product!B:B)</f>
        <v>Paper Bag</v>
      </c>
      <c r="F187" t="str">
        <f ca="1">_xlfn.XLOOKUP(C188,Master_Product!A:A,Master_Product!C:C)</f>
        <v>CAT006</v>
      </c>
      <c r="G187" t="str">
        <f ca="1">VLOOKUP(F187,Master_Category!A:B,2,FALSE)</f>
        <v>Topping</v>
      </c>
      <c r="H187" t="str">
        <f ca="1">_xlfn.XLOOKUP(D187,Master_Supplier!A:A,Master_Supplier!B:B)</f>
        <v>PT Food Ingredients</v>
      </c>
      <c r="I187" t="str">
        <f ca="1">_xlfn.XLOOKUP(D187,Master_Supplier!A:A,Master_Supplier!E:E)</f>
        <v>Bandung</v>
      </c>
      <c r="J187">
        <f ca="1">_xlfn.XLOOKUP(C187,Master_Product!A:A,Master_Product!E:E)</f>
        <v>40665</v>
      </c>
      <c r="K187">
        <v>100</v>
      </c>
      <c r="L187">
        <f ca="1">Table_StockIn[[#This Row],[buy_price]]*Table_StockIn[[#This Row],[quantity]]</f>
        <v>4066500</v>
      </c>
    </row>
    <row r="188" spans="1:12" x14ac:dyDescent="0.3">
      <c r="A188" t="str">
        <f t="shared" si="4"/>
        <v>PUR0187</v>
      </c>
      <c r="B188" s="1">
        <f t="shared" ca="1" si="5"/>
        <v>45967</v>
      </c>
      <c r="C188" t="str" cm="1">
        <f t="array" aca="1" ref="C188" ca="1">INDEX(Master_Product!$A$2:$A$101,RANDBETWEEN(1,100))</f>
        <v>PRD089</v>
      </c>
      <c r="D188" t="str">
        <f ca="1">_xlfn.XLOOKUP(C188,Master_Product!A:A,Master_Product!D:D)</f>
        <v>SUP020</v>
      </c>
      <c r="E188" t="str">
        <f ca="1">_xlfn.XLOOKUP(C188,Master_Product!A:A,Master_Product!B:B)</f>
        <v>Quisquam Product</v>
      </c>
      <c r="F188" t="str">
        <f ca="1">_xlfn.XLOOKUP(C189,Master_Product!A:A,Master_Product!C:C)</f>
        <v>CAT010</v>
      </c>
      <c r="G188" t="str">
        <f ca="1">VLOOKUP(F188,Master_Category!A:B,2,FALSE)</f>
        <v>Cleaning</v>
      </c>
      <c r="H188" t="str">
        <f ca="1">_xlfn.XLOOKUP(D188,Master_Supplier!A:A,Master_Supplier!B:B)</f>
        <v>PT Clean Solution</v>
      </c>
      <c r="I188" t="str">
        <f ca="1">_xlfn.XLOOKUP(D188,Master_Supplier!A:A,Master_Supplier!E:E)</f>
        <v>Yogyakarta</v>
      </c>
      <c r="J188">
        <f ca="1">_xlfn.XLOOKUP(C188,Master_Product!A:A,Master_Product!E:E)</f>
        <v>76932</v>
      </c>
      <c r="K188">
        <v>100</v>
      </c>
      <c r="L188">
        <f ca="1">Table_StockIn[[#This Row],[buy_price]]*Table_StockIn[[#This Row],[quantity]]</f>
        <v>7693200</v>
      </c>
    </row>
    <row r="189" spans="1:12" x14ac:dyDescent="0.3">
      <c r="A189" t="str">
        <f t="shared" si="4"/>
        <v>PUR0188</v>
      </c>
      <c r="B189" s="1">
        <f t="shared" ca="1" si="5"/>
        <v>45922</v>
      </c>
      <c r="C189" t="str" cm="1">
        <f t="array" aca="1" ref="C189" ca="1">INDEX(Master_Product!$A$2:$A$101,RANDBETWEEN(1,100))</f>
        <v>PRD038</v>
      </c>
      <c r="D189" t="str">
        <f ca="1">_xlfn.XLOOKUP(C189,Master_Product!A:A,Master_Product!D:D)</f>
        <v>SUP004</v>
      </c>
      <c r="E189" t="str">
        <f ca="1">_xlfn.XLOOKUP(C189,Master_Product!A:A,Master_Product!B:B)</f>
        <v>Porro Product</v>
      </c>
      <c r="F189" t="str">
        <f ca="1">_xlfn.XLOOKUP(C190,Master_Product!A:A,Master_Product!C:C)</f>
        <v>CAT004</v>
      </c>
      <c r="G189" t="str">
        <f ca="1">VLOOKUP(F189,Master_Category!A:B,2,FALSE)</f>
        <v>Syrup</v>
      </c>
      <c r="H189" t="str">
        <f ca="1">_xlfn.XLOOKUP(D189,Master_Supplier!A:A,Master_Supplier!B:B)</f>
        <v>PT Dairy Fresh</v>
      </c>
      <c r="I189" t="str">
        <f ca="1">_xlfn.XLOOKUP(D189,Master_Supplier!A:A,Master_Supplier!E:E)</f>
        <v>Depok</v>
      </c>
      <c r="J189">
        <f ca="1">_xlfn.XLOOKUP(C189,Master_Product!A:A,Master_Product!E:E)</f>
        <v>16551</v>
      </c>
      <c r="K189">
        <v>30</v>
      </c>
      <c r="L189">
        <f ca="1">Table_StockIn[[#This Row],[buy_price]]*Table_StockIn[[#This Row],[quantity]]</f>
        <v>496530</v>
      </c>
    </row>
    <row r="190" spans="1:12" x14ac:dyDescent="0.3">
      <c r="A190" t="str">
        <f t="shared" si="4"/>
        <v>PUR0189</v>
      </c>
      <c r="B190" s="1">
        <f t="shared" ca="1" si="5"/>
        <v>45873</v>
      </c>
      <c r="C190" t="str" cm="1">
        <f t="array" aca="1" ref="C190" ca="1">INDEX(Master_Product!$A$2:$A$101,RANDBETWEEN(1,100))</f>
        <v>PRD066</v>
      </c>
      <c r="D190" t="str">
        <f ca="1">_xlfn.XLOOKUP(C190,Master_Product!A:A,Master_Product!D:D)</f>
        <v>SUP010</v>
      </c>
      <c r="E190" t="str">
        <f ca="1">_xlfn.XLOOKUP(C190,Master_Product!A:A,Master_Product!B:B)</f>
        <v>Aliquam Product</v>
      </c>
      <c r="F190" t="str">
        <f ca="1">_xlfn.XLOOKUP(C191,Master_Product!A:A,Master_Product!C:C)</f>
        <v>CAT006</v>
      </c>
      <c r="G190" t="str">
        <f ca="1">VLOOKUP(F190,Master_Category!A:B,2,FALSE)</f>
        <v>Topping</v>
      </c>
      <c r="H190" t="str">
        <f ca="1">_xlfn.XLOOKUP(D190,Master_Supplier!A:A,Master_Supplier!B:B)</f>
        <v>PT Gula Manis</v>
      </c>
      <c r="I190" t="str">
        <f ca="1">_xlfn.XLOOKUP(D190,Master_Supplier!A:A,Master_Supplier!E:E)</f>
        <v>Malang</v>
      </c>
      <c r="J190">
        <f ca="1">_xlfn.XLOOKUP(C190,Master_Product!A:A,Master_Product!E:E)</f>
        <v>52425</v>
      </c>
      <c r="K190">
        <v>30</v>
      </c>
      <c r="L190">
        <f ca="1">Table_StockIn[[#This Row],[buy_price]]*Table_StockIn[[#This Row],[quantity]]</f>
        <v>1572750</v>
      </c>
    </row>
    <row r="191" spans="1:12" x14ac:dyDescent="0.3">
      <c r="A191" t="str">
        <f t="shared" si="4"/>
        <v>PUR0190</v>
      </c>
      <c r="B191" s="1">
        <f t="shared" ca="1" si="5"/>
        <v>45872</v>
      </c>
      <c r="C191" t="str" cm="1">
        <f t="array" aca="1" ref="C191" ca="1">INDEX(Master_Product!$A$2:$A$101,RANDBETWEEN(1,100))</f>
        <v>PRD051</v>
      </c>
      <c r="D191" t="str">
        <f ca="1">_xlfn.XLOOKUP(C191,Master_Product!A:A,Master_Product!D:D)</f>
        <v>SUP019</v>
      </c>
      <c r="E191" t="str">
        <f ca="1">_xlfn.XLOOKUP(C191,Master_Product!A:A,Master_Product!B:B)</f>
        <v>Molestiae Product</v>
      </c>
      <c r="F191" t="str">
        <f ca="1">_xlfn.XLOOKUP(C192,Master_Product!A:A,Master_Product!C:C)</f>
        <v>CAT003</v>
      </c>
      <c r="G191" t="str">
        <f ca="1">VLOOKUP(F191,Master_Category!A:B,2,FALSE)</f>
        <v>Milk</v>
      </c>
      <c r="H191" t="str">
        <f ca="1">_xlfn.XLOOKUP(D191,Master_Supplier!A:A,Master_Supplier!B:B)</f>
        <v>PT Indo Beverage</v>
      </c>
      <c r="I191" t="str">
        <f ca="1">_xlfn.XLOOKUP(D191,Master_Supplier!A:A,Master_Supplier!E:E)</f>
        <v>Jakarta</v>
      </c>
      <c r="J191">
        <f ca="1">_xlfn.XLOOKUP(C191,Master_Product!A:A,Master_Product!E:E)</f>
        <v>71462</v>
      </c>
      <c r="K191">
        <v>80</v>
      </c>
      <c r="L191">
        <f ca="1">Table_StockIn[[#This Row],[buy_price]]*Table_StockIn[[#This Row],[quantity]]</f>
        <v>5716960</v>
      </c>
    </row>
    <row r="192" spans="1:12" x14ac:dyDescent="0.3">
      <c r="A192" t="str">
        <f t="shared" si="4"/>
        <v>PUR0191</v>
      </c>
      <c r="B192" s="1">
        <f t="shared" ca="1" si="5"/>
        <v>45869</v>
      </c>
      <c r="C192" t="str" cm="1">
        <f t="array" aca="1" ref="C192" ca="1">INDEX(Master_Product!$A$2:$A$101,RANDBETWEEN(1,100))</f>
        <v>PRD010</v>
      </c>
      <c r="D192" t="str">
        <f ca="1">_xlfn.XLOOKUP(C192,Master_Product!A:A,Master_Product!D:D)</f>
        <v>SUP019</v>
      </c>
      <c r="E192" t="str">
        <f ca="1">_xlfn.XLOOKUP(C192,Master_Product!A:A,Master_Product!B:B)</f>
        <v>Oat Milk</v>
      </c>
      <c r="F192" t="str">
        <f ca="1">_xlfn.XLOOKUP(C193,Master_Product!A:A,Master_Product!C:C)</f>
        <v>CAT005</v>
      </c>
      <c r="G192" t="str">
        <f ca="1">VLOOKUP(F192,Master_Category!A:B,2,FALSE)</f>
        <v>Powder</v>
      </c>
      <c r="H192" t="str">
        <f ca="1">_xlfn.XLOOKUP(D192,Master_Supplier!A:A,Master_Supplier!B:B)</f>
        <v>PT Indo Beverage</v>
      </c>
      <c r="I192" t="str">
        <f ca="1">_xlfn.XLOOKUP(D192,Master_Supplier!A:A,Master_Supplier!E:E)</f>
        <v>Jakarta</v>
      </c>
      <c r="J192">
        <f ca="1">_xlfn.XLOOKUP(C192,Master_Product!A:A,Master_Product!E:E)</f>
        <v>22054</v>
      </c>
      <c r="K192">
        <v>80</v>
      </c>
      <c r="L192">
        <f ca="1">Table_StockIn[[#This Row],[buy_price]]*Table_StockIn[[#This Row],[quantity]]</f>
        <v>1764320</v>
      </c>
    </row>
    <row r="193" spans="1:12" x14ac:dyDescent="0.3">
      <c r="A193" t="str">
        <f t="shared" si="4"/>
        <v>PUR0192</v>
      </c>
      <c r="B193" s="1">
        <f t="shared" ca="1" si="5"/>
        <v>45677</v>
      </c>
      <c r="C193" t="str" cm="1">
        <f t="array" aca="1" ref="C193" ca="1">INDEX(Master_Product!$A$2:$A$101,RANDBETWEEN(1,100))</f>
        <v>PRD046</v>
      </c>
      <c r="D193" t="str">
        <f ca="1">_xlfn.XLOOKUP(C193,Master_Product!A:A,Master_Product!D:D)</f>
        <v>SUP029</v>
      </c>
      <c r="E193" t="str">
        <f ca="1">_xlfn.XLOOKUP(C193,Master_Product!A:A,Master_Product!B:B)</f>
        <v>Magnam Product</v>
      </c>
      <c r="F193" t="str">
        <f ca="1">_xlfn.XLOOKUP(C194,Master_Product!A:A,Master_Product!C:C)</f>
        <v>CAT002</v>
      </c>
      <c r="G193" t="str">
        <f ca="1">VLOOKUP(F193,Master_Category!A:B,2,FALSE)</f>
        <v>Tea</v>
      </c>
      <c r="H193" t="e">
        <f ca="1">_xlfn.XLOOKUP(D193,Master_Supplier!A:A,Master_Supplier!B:B)</f>
        <v>#N/A</v>
      </c>
      <c r="I193" t="e">
        <f ca="1">_xlfn.XLOOKUP(D193,Master_Supplier!A:A,Master_Supplier!E:E)</f>
        <v>#N/A</v>
      </c>
      <c r="J193">
        <f ca="1">_xlfn.XLOOKUP(C193,Master_Product!A:A,Master_Product!E:E)</f>
        <v>63838</v>
      </c>
      <c r="K193">
        <v>50</v>
      </c>
      <c r="L193">
        <f ca="1">Table_StockIn[[#This Row],[buy_price]]*Table_StockIn[[#This Row],[quantity]]</f>
        <v>3191900</v>
      </c>
    </row>
    <row r="194" spans="1:12" x14ac:dyDescent="0.3">
      <c r="A194" t="str">
        <f t="shared" si="4"/>
        <v>PUR0193</v>
      </c>
      <c r="B194" s="1">
        <f t="shared" ca="1" si="5"/>
        <v>45938</v>
      </c>
      <c r="C194" t="str" cm="1">
        <f t="array" aca="1" ref="C194" ca="1">INDEX(Master_Product!$A$2:$A$101,RANDBETWEEN(1,100))</f>
        <v>PRD096</v>
      </c>
      <c r="D194" t="str">
        <f ca="1">_xlfn.XLOOKUP(C194,Master_Product!A:A,Master_Product!D:D)</f>
        <v>SUP003</v>
      </c>
      <c r="E194" t="str">
        <f ca="1">_xlfn.XLOOKUP(C194,Master_Product!A:A,Master_Product!B:B)</f>
        <v>Aliquid Product</v>
      </c>
      <c r="F194" t="str">
        <f ca="1">_xlfn.XLOOKUP(C195,Master_Product!A:A,Master_Product!C:C)</f>
        <v>CAT005</v>
      </c>
      <c r="G194" t="str">
        <f ca="1">VLOOKUP(F194,Master_Category!A:B,2,FALSE)</f>
        <v>Powder</v>
      </c>
      <c r="H194" t="str">
        <f ca="1">_xlfn.XLOOKUP(D194,Master_Supplier!A:A,Master_Supplier!B:B)</f>
        <v>CV Barista Indonesia</v>
      </c>
      <c r="I194" t="str">
        <f ca="1">_xlfn.XLOOKUP(D194,Master_Supplier!A:A,Master_Supplier!E:E)</f>
        <v>Bekasi</v>
      </c>
      <c r="J194">
        <f ca="1">_xlfn.XLOOKUP(C194,Master_Product!A:A,Master_Product!E:E)</f>
        <v>73614</v>
      </c>
      <c r="K194">
        <v>30</v>
      </c>
      <c r="L194">
        <f ca="1">Table_StockIn[[#This Row],[buy_price]]*Table_StockIn[[#This Row],[quantity]]</f>
        <v>2208420</v>
      </c>
    </row>
    <row r="195" spans="1:12" x14ac:dyDescent="0.3">
      <c r="A195" t="str">
        <f t="shared" ref="A195:A258" si="6">"PUR"&amp;TEXT(ROW()-1,"0000")</f>
        <v>PUR0194</v>
      </c>
      <c r="B195" s="1">
        <f t="shared" ref="B195:B258" ca="1" si="7">DATE(2025,1,1)+RANDBETWEEN(0,364)</f>
        <v>45991</v>
      </c>
      <c r="C195" t="str" cm="1">
        <f t="array" aca="1" ref="C195" ca="1">INDEX(Master_Product!$A$2:$A$101,RANDBETWEEN(1,100))</f>
        <v>PRD098</v>
      </c>
      <c r="D195" t="str">
        <f ca="1">_xlfn.XLOOKUP(C195,Master_Product!A:A,Master_Product!D:D)</f>
        <v>SUP002</v>
      </c>
      <c r="E195" t="str">
        <f ca="1">_xlfn.XLOOKUP(C195,Master_Product!A:A,Master_Product!B:B)</f>
        <v>Fuga Product</v>
      </c>
      <c r="F195" t="str">
        <f ca="1">_xlfn.XLOOKUP(C196,Master_Product!A:A,Master_Product!C:C)</f>
        <v>CAT005</v>
      </c>
      <c r="G195" t="str">
        <f ca="1">VLOOKUP(F195,Master_Category!A:B,2,FALSE)</f>
        <v>Powder</v>
      </c>
      <c r="H195" t="e">
        <f ca="1">_xlfn.XLOOKUP(D195,Master_Supplier!A:A,Master_Supplier!B:B)</f>
        <v>#N/A</v>
      </c>
      <c r="I195" t="e">
        <f ca="1">_xlfn.XLOOKUP(D195,Master_Supplier!A:A,Master_Supplier!E:E)</f>
        <v>#N/A</v>
      </c>
      <c r="J195">
        <f ca="1">_xlfn.XLOOKUP(C195,Master_Product!A:A,Master_Product!E:E)</f>
        <v>56177</v>
      </c>
      <c r="K195">
        <v>50</v>
      </c>
      <c r="L195">
        <f ca="1">Table_StockIn[[#This Row],[buy_price]]*Table_StockIn[[#This Row],[quantity]]</f>
        <v>2808850</v>
      </c>
    </row>
    <row r="196" spans="1:12" x14ac:dyDescent="0.3">
      <c r="A196" t="str">
        <f t="shared" si="6"/>
        <v>PUR0195</v>
      </c>
      <c r="B196" s="1">
        <f t="shared" ca="1" si="7"/>
        <v>45972</v>
      </c>
      <c r="C196" t="str" cm="1">
        <f t="array" aca="1" ref="C196" ca="1">INDEX(Master_Product!$A$2:$A$101,RANDBETWEEN(1,100))</f>
        <v>PRD046</v>
      </c>
      <c r="D196" t="str">
        <f ca="1">_xlfn.XLOOKUP(C196,Master_Product!A:A,Master_Product!D:D)</f>
        <v>SUP029</v>
      </c>
      <c r="E196" t="str">
        <f ca="1">_xlfn.XLOOKUP(C196,Master_Product!A:A,Master_Product!B:B)</f>
        <v>Magnam Product</v>
      </c>
      <c r="F196" t="str">
        <f ca="1">_xlfn.XLOOKUP(C197,Master_Product!A:A,Master_Product!C:C)</f>
        <v>CAT006</v>
      </c>
      <c r="G196" t="str">
        <f ca="1">VLOOKUP(F196,Master_Category!A:B,2,FALSE)</f>
        <v>Topping</v>
      </c>
      <c r="H196" t="e">
        <f ca="1">_xlfn.XLOOKUP(D196,Master_Supplier!A:A,Master_Supplier!B:B)</f>
        <v>#N/A</v>
      </c>
      <c r="I196" t="e">
        <f ca="1">_xlfn.XLOOKUP(D196,Master_Supplier!A:A,Master_Supplier!E:E)</f>
        <v>#N/A</v>
      </c>
      <c r="J196">
        <f ca="1">_xlfn.XLOOKUP(C196,Master_Product!A:A,Master_Product!E:E)</f>
        <v>63838</v>
      </c>
      <c r="K196">
        <v>20</v>
      </c>
      <c r="L196">
        <f ca="1">Table_StockIn[[#This Row],[buy_price]]*Table_StockIn[[#This Row],[quantity]]</f>
        <v>1276760</v>
      </c>
    </row>
    <row r="197" spans="1:12" x14ac:dyDescent="0.3">
      <c r="A197" t="str">
        <f t="shared" si="6"/>
        <v>PUR0196</v>
      </c>
      <c r="B197" s="1">
        <f t="shared" ca="1" si="7"/>
        <v>45884</v>
      </c>
      <c r="C197" t="str" cm="1">
        <f t="array" aca="1" ref="C197" ca="1">INDEX(Master_Product!$A$2:$A$101,RANDBETWEEN(1,100))</f>
        <v>PRD041</v>
      </c>
      <c r="D197" t="str">
        <f ca="1">_xlfn.XLOOKUP(C197,Master_Product!A:A,Master_Product!D:D)</f>
        <v>SUP017</v>
      </c>
      <c r="E197" t="str">
        <f ca="1">_xlfn.XLOOKUP(C197,Master_Product!A:A,Master_Product!B:B)</f>
        <v>Ea Product</v>
      </c>
      <c r="F197" t="str">
        <f ca="1">_xlfn.XLOOKUP(C198,Master_Product!A:A,Master_Product!C:C)</f>
        <v>CAT005</v>
      </c>
      <c r="G197" t="str">
        <f ca="1">VLOOKUP(F197,Master_Category!A:B,2,FALSE)</f>
        <v>Powder</v>
      </c>
      <c r="H197" t="str">
        <f ca="1">_xlfn.XLOOKUP(D197,Master_Supplier!A:A,Master_Supplier!B:B)</f>
        <v>PT Premium Beans</v>
      </c>
      <c r="I197" t="str">
        <f ca="1">_xlfn.XLOOKUP(D197,Master_Supplier!A:A,Master_Supplier!E:E)</f>
        <v>Yogyakarta</v>
      </c>
      <c r="J197">
        <f ca="1">_xlfn.XLOOKUP(C197,Master_Product!A:A,Master_Product!E:E)</f>
        <v>71910</v>
      </c>
      <c r="K197">
        <v>80</v>
      </c>
      <c r="L197">
        <f ca="1">Table_StockIn[[#This Row],[buy_price]]*Table_StockIn[[#This Row],[quantity]]</f>
        <v>5752800</v>
      </c>
    </row>
    <row r="198" spans="1:12" x14ac:dyDescent="0.3">
      <c r="A198" t="str">
        <f t="shared" si="6"/>
        <v>PUR0197</v>
      </c>
      <c r="B198" s="1">
        <f t="shared" ca="1" si="7"/>
        <v>45713</v>
      </c>
      <c r="C198" t="str" cm="1">
        <f t="array" aca="1" ref="C198" ca="1">INDEX(Master_Product!$A$2:$A$101,RANDBETWEEN(1,100))</f>
        <v>PRD017</v>
      </c>
      <c r="D198" t="str">
        <f ca="1">_xlfn.XLOOKUP(C198,Master_Product!A:A,Master_Product!D:D)</f>
        <v>SUP022</v>
      </c>
      <c r="E198" t="str">
        <f ca="1">_xlfn.XLOOKUP(C198,Master_Product!A:A,Master_Product!B:B)</f>
        <v>Chocolate Powder</v>
      </c>
      <c r="F198" t="str">
        <f ca="1">_xlfn.XLOOKUP(C199,Master_Product!A:A,Master_Product!C:C)</f>
        <v>CAT002</v>
      </c>
      <c r="G198" t="str">
        <f ca="1">VLOOKUP(F198,Master_Category!A:B,2,FALSE)</f>
        <v>Tea</v>
      </c>
      <c r="H198" t="str">
        <f ca="1">_xlfn.XLOOKUP(D198,Master_Supplier!A:A,Master_Supplier!B:B)</f>
        <v>CV Biji Nusantara</v>
      </c>
      <c r="I198" t="str">
        <f ca="1">_xlfn.XLOOKUP(D198,Master_Supplier!A:A,Master_Supplier!E:E)</f>
        <v>Yogyakarta</v>
      </c>
      <c r="J198">
        <f ca="1">_xlfn.XLOOKUP(C198,Master_Product!A:A,Master_Product!E:E)</f>
        <v>8441</v>
      </c>
      <c r="K198">
        <v>100</v>
      </c>
      <c r="L198">
        <f ca="1">Table_StockIn[[#This Row],[buy_price]]*Table_StockIn[[#This Row],[quantity]]</f>
        <v>844100</v>
      </c>
    </row>
    <row r="199" spans="1:12" x14ac:dyDescent="0.3">
      <c r="A199" t="str">
        <f t="shared" si="6"/>
        <v>PUR0198</v>
      </c>
      <c r="B199" s="1">
        <f t="shared" ca="1" si="7"/>
        <v>46004</v>
      </c>
      <c r="C199" t="str" cm="1">
        <f t="array" aca="1" ref="C199" ca="1">INDEX(Master_Product!$A$2:$A$101,RANDBETWEEN(1,100))</f>
        <v>PRD057</v>
      </c>
      <c r="D199" t="str">
        <f ca="1">_xlfn.XLOOKUP(C199,Master_Product!A:A,Master_Product!D:D)</f>
        <v>SUP010</v>
      </c>
      <c r="E199" t="str">
        <f ca="1">_xlfn.XLOOKUP(C199,Master_Product!A:A,Master_Product!B:B)</f>
        <v>Vitae Product</v>
      </c>
      <c r="F199" t="str">
        <f ca="1">_xlfn.XLOOKUP(C200,Master_Product!A:A,Master_Product!C:C)</f>
        <v>CAT003</v>
      </c>
      <c r="G199" t="str">
        <f ca="1">VLOOKUP(F199,Master_Category!A:B,2,FALSE)</f>
        <v>Milk</v>
      </c>
      <c r="H199" t="str">
        <f ca="1">_xlfn.XLOOKUP(D199,Master_Supplier!A:A,Master_Supplier!B:B)</f>
        <v>PT Gula Manis</v>
      </c>
      <c r="I199" t="str">
        <f ca="1">_xlfn.XLOOKUP(D199,Master_Supplier!A:A,Master_Supplier!E:E)</f>
        <v>Malang</v>
      </c>
      <c r="J199">
        <f ca="1">_xlfn.XLOOKUP(C199,Master_Product!A:A,Master_Product!E:E)</f>
        <v>52696</v>
      </c>
      <c r="K199">
        <v>50</v>
      </c>
      <c r="L199">
        <f ca="1">Table_StockIn[[#This Row],[buy_price]]*Table_StockIn[[#This Row],[quantity]]</f>
        <v>2634800</v>
      </c>
    </row>
    <row r="200" spans="1:12" x14ac:dyDescent="0.3">
      <c r="A200" t="str">
        <f t="shared" si="6"/>
        <v>PUR0199</v>
      </c>
      <c r="B200" s="1">
        <f t="shared" ca="1" si="7"/>
        <v>45855</v>
      </c>
      <c r="C200" t="str" cm="1">
        <f t="array" aca="1" ref="C200" ca="1">INDEX(Master_Product!$A$2:$A$101,RANDBETWEEN(1,100))</f>
        <v>PRD063</v>
      </c>
      <c r="D200" t="str">
        <f ca="1">_xlfn.XLOOKUP(C200,Master_Product!A:A,Master_Product!D:D)</f>
        <v>SUP003</v>
      </c>
      <c r="E200" t="str">
        <f ca="1">_xlfn.XLOOKUP(C200,Master_Product!A:A,Master_Product!B:B)</f>
        <v>Doloremque Product</v>
      </c>
      <c r="F200" t="str">
        <f ca="1">_xlfn.XLOOKUP(C201,Master_Product!A:A,Master_Product!C:C)</f>
        <v>CAT001</v>
      </c>
      <c r="G200" t="str">
        <f ca="1">VLOOKUP(F200,Master_Category!A:B,2,FALSE)</f>
        <v>Coffee Bean</v>
      </c>
      <c r="H200" t="str">
        <f ca="1">_xlfn.XLOOKUP(D200,Master_Supplier!A:A,Master_Supplier!B:B)</f>
        <v>CV Barista Indonesia</v>
      </c>
      <c r="I200" t="str">
        <f ca="1">_xlfn.XLOOKUP(D200,Master_Supplier!A:A,Master_Supplier!E:E)</f>
        <v>Bekasi</v>
      </c>
      <c r="J200">
        <f ca="1">_xlfn.XLOOKUP(C200,Master_Product!A:A,Master_Product!E:E)</f>
        <v>21901</v>
      </c>
      <c r="K200">
        <v>50</v>
      </c>
      <c r="L200">
        <f ca="1">Table_StockIn[[#This Row],[buy_price]]*Table_StockIn[[#This Row],[quantity]]</f>
        <v>1095050</v>
      </c>
    </row>
    <row r="201" spans="1:12" x14ac:dyDescent="0.3">
      <c r="A201" t="str">
        <f t="shared" si="6"/>
        <v>PUR0200</v>
      </c>
      <c r="B201" s="1">
        <f t="shared" ca="1" si="7"/>
        <v>45994</v>
      </c>
      <c r="C201" t="str" cm="1">
        <f t="array" aca="1" ref="C201" ca="1">INDEX(Master_Product!$A$2:$A$101,RANDBETWEEN(1,100))</f>
        <v>PRD100</v>
      </c>
      <c r="D201" t="str">
        <f ca="1">_xlfn.XLOOKUP(C201,Master_Product!A:A,Master_Product!D:D)</f>
        <v>SUP022</v>
      </c>
      <c r="E201" t="str">
        <f ca="1">_xlfn.XLOOKUP(C201,Master_Product!A:A,Master_Product!B:B)</f>
        <v>Commodi Product</v>
      </c>
      <c r="F201" t="str">
        <f ca="1">_xlfn.XLOOKUP(C202,Master_Product!A:A,Master_Product!C:C)</f>
        <v>CAT002</v>
      </c>
      <c r="G201" t="str">
        <f ca="1">VLOOKUP(F201,Master_Category!A:B,2,FALSE)</f>
        <v>Tea</v>
      </c>
      <c r="H201" t="str">
        <f ca="1">_xlfn.XLOOKUP(D201,Master_Supplier!A:A,Master_Supplier!B:B)</f>
        <v>CV Biji Nusantara</v>
      </c>
      <c r="I201" t="str">
        <f ca="1">_xlfn.XLOOKUP(D201,Master_Supplier!A:A,Master_Supplier!E:E)</f>
        <v>Yogyakarta</v>
      </c>
      <c r="J201">
        <f ca="1">_xlfn.XLOOKUP(C201,Master_Product!A:A,Master_Product!E:E)</f>
        <v>50193</v>
      </c>
      <c r="K201">
        <v>100</v>
      </c>
      <c r="L201">
        <f ca="1">Table_StockIn[[#This Row],[buy_price]]*Table_StockIn[[#This Row],[quantity]]</f>
        <v>5019300</v>
      </c>
    </row>
    <row r="202" spans="1:12" x14ac:dyDescent="0.3">
      <c r="A202" t="str">
        <f t="shared" si="6"/>
        <v>PUR0201</v>
      </c>
      <c r="B202" s="1">
        <f t="shared" ca="1" si="7"/>
        <v>45843</v>
      </c>
      <c r="C202" t="str" cm="1">
        <f t="array" aca="1" ref="C202" ca="1">INDEX(Master_Product!$A$2:$A$101,RANDBETWEEN(1,100))</f>
        <v>PRD096</v>
      </c>
      <c r="D202" t="str">
        <f ca="1">_xlfn.XLOOKUP(C202,Master_Product!A:A,Master_Product!D:D)</f>
        <v>SUP003</v>
      </c>
      <c r="E202" t="str">
        <f ca="1">_xlfn.XLOOKUP(C202,Master_Product!A:A,Master_Product!B:B)</f>
        <v>Aliquid Product</v>
      </c>
      <c r="F202" t="str">
        <f ca="1">_xlfn.XLOOKUP(C203,Master_Product!A:A,Master_Product!C:C)</f>
        <v>CAT005</v>
      </c>
      <c r="G202" t="str">
        <f ca="1">VLOOKUP(F202,Master_Category!A:B,2,FALSE)</f>
        <v>Powder</v>
      </c>
      <c r="H202" t="str">
        <f ca="1">_xlfn.XLOOKUP(D202,Master_Supplier!A:A,Master_Supplier!B:B)</f>
        <v>CV Barista Indonesia</v>
      </c>
      <c r="I202" t="str">
        <f ca="1">_xlfn.XLOOKUP(D202,Master_Supplier!A:A,Master_Supplier!E:E)</f>
        <v>Bekasi</v>
      </c>
      <c r="J202">
        <f ca="1">_xlfn.XLOOKUP(C202,Master_Product!A:A,Master_Product!E:E)</f>
        <v>73614</v>
      </c>
      <c r="K202">
        <v>30</v>
      </c>
      <c r="L202">
        <f ca="1">Table_StockIn[[#This Row],[buy_price]]*Table_StockIn[[#This Row],[quantity]]</f>
        <v>2208420</v>
      </c>
    </row>
    <row r="203" spans="1:12" x14ac:dyDescent="0.3">
      <c r="A203" t="str">
        <f t="shared" si="6"/>
        <v>PUR0202</v>
      </c>
      <c r="B203" s="1">
        <f t="shared" ca="1" si="7"/>
        <v>45702</v>
      </c>
      <c r="C203" t="str" cm="1">
        <f t="array" aca="1" ref="C203" ca="1">INDEX(Master_Product!$A$2:$A$101,RANDBETWEEN(1,100))</f>
        <v>PRD098</v>
      </c>
      <c r="D203" t="str">
        <f ca="1">_xlfn.XLOOKUP(C203,Master_Product!A:A,Master_Product!D:D)</f>
        <v>SUP002</v>
      </c>
      <c r="E203" t="str">
        <f ca="1">_xlfn.XLOOKUP(C203,Master_Product!A:A,Master_Product!B:B)</f>
        <v>Fuga Product</v>
      </c>
      <c r="F203" t="str">
        <f ca="1">_xlfn.XLOOKUP(C204,Master_Product!A:A,Master_Product!C:C)</f>
        <v>CAT005</v>
      </c>
      <c r="G203" t="str">
        <f ca="1">VLOOKUP(F203,Master_Category!A:B,2,FALSE)</f>
        <v>Powder</v>
      </c>
      <c r="H203" t="e">
        <f ca="1">_xlfn.XLOOKUP(D203,Master_Supplier!A:A,Master_Supplier!B:B)</f>
        <v>#N/A</v>
      </c>
      <c r="I203" t="e">
        <f ca="1">_xlfn.XLOOKUP(D203,Master_Supplier!A:A,Master_Supplier!E:E)</f>
        <v>#N/A</v>
      </c>
      <c r="J203">
        <f ca="1">_xlfn.XLOOKUP(C203,Master_Product!A:A,Master_Product!E:E)</f>
        <v>56177</v>
      </c>
      <c r="K203">
        <v>40</v>
      </c>
      <c r="L203">
        <f ca="1">Table_StockIn[[#This Row],[buy_price]]*Table_StockIn[[#This Row],[quantity]]</f>
        <v>2247080</v>
      </c>
    </row>
    <row r="204" spans="1:12" x14ac:dyDescent="0.3">
      <c r="A204" t="str">
        <f t="shared" si="6"/>
        <v>PUR0203</v>
      </c>
      <c r="B204" s="1">
        <f t="shared" ca="1" si="7"/>
        <v>45869</v>
      </c>
      <c r="C204" t="str" cm="1">
        <f t="array" aca="1" ref="C204" ca="1">INDEX(Master_Product!$A$2:$A$101,RANDBETWEEN(1,100))</f>
        <v>PRD062</v>
      </c>
      <c r="D204" t="str">
        <f ca="1">_xlfn.XLOOKUP(C204,Master_Product!A:A,Master_Product!D:D)</f>
        <v>SUP023</v>
      </c>
      <c r="E204" t="str">
        <f ca="1">_xlfn.XLOOKUP(C204,Master_Product!A:A,Master_Product!B:B)</f>
        <v>Porro Product</v>
      </c>
      <c r="F204" t="str">
        <f ca="1">_xlfn.XLOOKUP(C205,Master_Product!A:A,Master_Product!C:C)</f>
        <v>CAT003</v>
      </c>
      <c r="G204" t="str">
        <f ca="1">VLOOKUP(F204,Master_Category!A:B,2,FALSE)</f>
        <v>Milk</v>
      </c>
      <c r="H204" t="str">
        <f ca="1">_xlfn.XLOOKUP(D204,Master_Supplier!A:A,Master_Supplier!B:B)</f>
        <v>PT Mesin Kopi Indonesia</v>
      </c>
      <c r="I204" t="str">
        <f ca="1">_xlfn.XLOOKUP(D204,Master_Supplier!A:A,Master_Supplier!E:E)</f>
        <v>Surabaya</v>
      </c>
      <c r="J204">
        <f ca="1">_xlfn.XLOOKUP(C204,Master_Product!A:A,Master_Product!E:E)</f>
        <v>45662</v>
      </c>
      <c r="K204">
        <v>20</v>
      </c>
      <c r="L204">
        <f ca="1">Table_StockIn[[#This Row],[buy_price]]*Table_StockIn[[#This Row],[quantity]]</f>
        <v>913240</v>
      </c>
    </row>
    <row r="205" spans="1:12" x14ac:dyDescent="0.3">
      <c r="A205" t="str">
        <f t="shared" si="6"/>
        <v>PUR0204</v>
      </c>
      <c r="B205" s="1">
        <f t="shared" ca="1" si="7"/>
        <v>45949</v>
      </c>
      <c r="C205" t="str" cm="1">
        <f t="array" aca="1" ref="C205" ca="1">INDEX(Master_Product!$A$2:$A$101,RANDBETWEEN(1,100))</f>
        <v>PRD048</v>
      </c>
      <c r="D205" t="str">
        <f ca="1">_xlfn.XLOOKUP(C205,Master_Product!A:A,Master_Product!D:D)</f>
        <v>SUP019</v>
      </c>
      <c r="E205" t="str">
        <f ca="1">_xlfn.XLOOKUP(C205,Master_Product!A:A,Master_Product!B:B)</f>
        <v>Placeat Product</v>
      </c>
      <c r="F205" t="str">
        <f ca="1">_xlfn.XLOOKUP(C206,Master_Product!A:A,Master_Product!C:C)</f>
        <v>CAT008</v>
      </c>
      <c r="G205" t="str">
        <f ca="1">VLOOKUP(F205,Master_Category!A:B,2,FALSE)</f>
        <v>Snack</v>
      </c>
      <c r="H205" t="str">
        <f ca="1">_xlfn.XLOOKUP(D205,Master_Supplier!A:A,Master_Supplier!B:B)</f>
        <v>PT Indo Beverage</v>
      </c>
      <c r="I205" t="str">
        <f ca="1">_xlfn.XLOOKUP(D205,Master_Supplier!A:A,Master_Supplier!E:E)</f>
        <v>Jakarta</v>
      </c>
      <c r="J205">
        <f ca="1">_xlfn.XLOOKUP(C205,Master_Product!A:A,Master_Product!E:E)</f>
        <v>44691</v>
      </c>
      <c r="K205">
        <v>50</v>
      </c>
      <c r="L205">
        <f ca="1">Table_StockIn[[#This Row],[buy_price]]*Table_StockIn[[#This Row],[quantity]]</f>
        <v>2234550</v>
      </c>
    </row>
    <row r="206" spans="1:12" x14ac:dyDescent="0.3">
      <c r="A206" t="str">
        <f t="shared" si="6"/>
        <v>PUR0205</v>
      </c>
      <c r="B206" s="1">
        <f t="shared" ca="1" si="7"/>
        <v>46003</v>
      </c>
      <c r="C206" t="str" cm="1">
        <f t="array" aca="1" ref="C206" ca="1">INDEX(Master_Product!$A$2:$A$101,RANDBETWEEN(1,100))</f>
        <v>PRD029</v>
      </c>
      <c r="D206" t="str">
        <f ca="1">_xlfn.XLOOKUP(C206,Master_Product!A:A,Master_Product!D:D)</f>
        <v>SUP010</v>
      </c>
      <c r="E206" t="str">
        <f ca="1">_xlfn.XLOOKUP(C206,Master_Product!A:A,Master_Product!B:B)</f>
        <v>Croissant</v>
      </c>
      <c r="F206" t="str">
        <f ca="1">_xlfn.XLOOKUP(C207,Master_Product!A:A,Master_Product!C:C)</f>
        <v>CAT003</v>
      </c>
      <c r="G206" t="str">
        <f ca="1">VLOOKUP(F206,Master_Category!A:B,2,FALSE)</f>
        <v>Milk</v>
      </c>
      <c r="H206" t="str">
        <f ca="1">_xlfn.XLOOKUP(D206,Master_Supplier!A:A,Master_Supplier!B:B)</f>
        <v>PT Gula Manis</v>
      </c>
      <c r="I206" t="str">
        <f ca="1">_xlfn.XLOOKUP(D206,Master_Supplier!A:A,Master_Supplier!E:E)</f>
        <v>Malang</v>
      </c>
      <c r="J206">
        <f ca="1">_xlfn.XLOOKUP(C206,Master_Product!A:A,Master_Product!E:E)</f>
        <v>12180</v>
      </c>
      <c r="K206">
        <v>30</v>
      </c>
      <c r="L206">
        <f ca="1">Table_StockIn[[#This Row],[buy_price]]*Table_StockIn[[#This Row],[quantity]]</f>
        <v>365400</v>
      </c>
    </row>
    <row r="207" spans="1:12" x14ac:dyDescent="0.3">
      <c r="A207" t="str">
        <f t="shared" si="6"/>
        <v>PUR0206</v>
      </c>
      <c r="B207" s="1">
        <f t="shared" ca="1" si="7"/>
        <v>46019</v>
      </c>
      <c r="C207" t="str" cm="1">
        <f t="array" aca="1" ref="C207" ca="1">INDEX(Master_Product!$A$2:$A$101,RANDBETWEEN(1,100))</f>
        <v>PRD009</v>
      </c>
      <c r="D207" t="str">
        <f ca="1">_xlfn.XLOOKUP(C207,Master_Product!A:A,Master_Product!D:D)</f>
        <v>SUP004</v>
      </c>
      <c r="E207" t="str">
        <f ca="1">_xlfn.XLOOKUP(C207,Master_Product!A:A,Master_Product!B:B)</f>
        <v>Fresh Milk</v>
      </c>
      <c r="F207" t="str">
        <f ca="1">_xlfn.XLOOKUP(C208,Master_Product!A:A,Master_Product!C:C)</f>
        <v>CAT005</v>
      </c>
      <c r="G207" t="str">
        <f ca="1">VLOOKUP(F207,Master_Category!A:B,2,FALSE)</f>
        <v>Powder</v>
      </c>
      <c r="H207" t="str">
        <f ca="1">_xlfn.XLOOKUP(D207,Master_Supplier!A:A,Master_Supplier!B:B)</f>
        <v>PT Dairy Fresh</v>
      </c>
      <c r="I207" t="str">
        <f ca="1">_xlfn.XLOOKUP(D207,Master_Supplier!A:A,Master_Supplier!E:E)</f>
        <v>Depok</v>
      </c>
      <c r="J207">
        <f ca="1">_xlfn.XLOOKUP(C207,Master_Product!A:A,Master_Product!E:E)</f>
        <v>16188</v>
      </c>
      <c r="K207">
        <v>20</v>
      </c>
      <c r="L207">
        <f ca="1">Table_StockIn[[#This Row],[buy_price]]*Table_StockIn[[#This Row],[quantity]]</f>
        <v>323760</v>
      </c>
    </row>
    <row r="208" spans="1:12" x14ac:dyDescent="0.3">
      <c r="A208" t="str">
        <f t="shared" si="6"/>
        <v>PUR0207</v>
      </c>
      <c r="B208" s="1">
        <f t="shared" ca="1" si="7"/>
        <v>45795</v>
      </c>
      <c r="C208" t="str" cm="1">
        <f t="array" aca="1" ref="C208" ca="1">INDEX(Master_Product!$A$2:$A$101,RANDBETWEEN(1,100))</f>
        <v>PRD017</v>
      </c>
      <c r="D208" t="str">
        <f ca="1">_xlfn.XLOOKUP(C208,Master_Product!A:A,Master_Product!D:D)</f>
        <v>SUP022</v>
      </c>
      <c r="E208" t="str">
        <f ca="1">_xlfn.XLOOKUP(C208,Master_Product!A:A,Master_Product!B:B)</f>
        <v>Chocolate Powder</v>
      </c>
      <c r="F208" t="str">
        <f ca="1">_xlfn.XLOOKUP(C209,Master_Product!A:A,Master_Product!C:C)</f>
        <v>CAT008</v>
      </c>
      <c r="G208" t="str">
        <f ca="1">VLOOKUP(F208,Master_Category!A:B,2,FALSE)</f>
        <v>Snack</v>
      </c>
      <c r="H208" t="str">
        <f ca="1">_xlfn.XLOOKUP(D208,Master_Supplier!A:A,Master_Supplier!B:B)</f>
        <v>CV Biji Nusantara</v>
      </c>
      <c r="I208" t="str">
        <f ca="1">_xlfn.XLOOKUP(D208,Master_Supplier!A:A,Master_Supplier!E:E)</f>
        <v>Yogyakarta</v>
      </c>
      <c r="J208">
        <f ca="1">_xlfn.XLOOKUP(C208,Master_Product!A:A,Master_Product!E:E)</f>
        <v>8441</v>
      </c>
      <c r="K208">
        <v>30</v>
      </c>
      <c r="L208">
        <f ca="1">Table_StockIn[[#This Row],[buy_price]]*Table_StockIn[[#This Row],[quantity]]</f>
        <v>253230</v>
      </c>
    </row>
    <row r="209" spans="1:12" x14ac:dyDescent="0.3">
      <c r="A209" t="str">
        <f t="shared" si="6"/>
        <v>PUR0208</v>
      </c>
      <c r="B209" s="1">
        <f t="shared" ca="1" si="7"/>
        <v>45989</v>
      </c>
      <c r="C209" t="str" cm="1">
        <f t="array" aca="1" ref="C209" ca="1">INDEX(Master_Product!$A$2:$A$101,RANDBETWEEN(1,100))</f>
        <v>PRD029</v>
      </c>
      <c r="D209" t="str">
        <f ca="1">_xlfn.XLOOKUP(C209,Master_Product!A:A,Master_Product!D:D)</f>
        <v>SUP010</v>
      </c>
      <c r="E209" t="str">
        <f ca="1">_xlfn.XLOOKUP(C209,Master_Product!A:A,Master_Product!B:B)</f>
        <v>Croissant</v>
      </c>
      <c r="F209" t="str">
        <f ca="1">_xlfn.XLOOKUP(C210,Master_Product!A:A,Master_Product!C:C)</f>
        <v>CAT007</v>
      </c>
      <c r="G209" t="str">
        <f ca="1">VLOOKUP(F209,Master_Category!A:B,2,FALSE)</f>
        <v>Cup &amp; Packaging</v>
      </c>
      <c r="H209" t="str">
        <f ca="1">_xlfn.XLOOKUP(D209,Master_Supplier!A:A,Master_Supplier!B:B)</f>
        <v>PT Gula Manis</v>
      </c>
      <c r="I209" t="str">
        <f ca="1">_xlfn.XLOOKUP(D209,Master_Supplier!A:A,Master_Supplier!E:E)</f>
        <v>Malang</v>
      </c>
      <c r="J209">
        <f ca="1">_xlfn.XLOOKUP(C209,Master_Product!A:A,Master_Product!E:E)</f>
        <v>12180</v>
      </c>
      <c r="K209">
        <v>80</v>
      </c>
      <c r="L209">
        <f ca="1">Table_StockIn[[#This Row],[buy_price]]*Table_StockIn[[#This Row],[quantity]]</f>
        <v>974400</v>
      </c>
    </row>
    <row r="210" spans="1:12" x14ac:dyDescent="0.3">
      <c r="A210" t="str">
        <f t="shared" si="6"/>
        <v>PUR0209</v>
      </c>
      <c r="B210" s="1">
        <f t="shared" ca="1" si="7"/>
        <v>45771</v>
      </c>
      <c r="C210" t="str" cm="1">
        <f t="array" aca="1" ref="C210" ca="1">INDEX(Master_Product!$A$2:$A$101,RANDBETWEEN(1,100))</f>
        <v>PRD047</v>
      </c>
      <c r="D210" t="str">
        <f ca="1">_xlfn.XLOOKUP(C210,Master_Product!A:A,Master_Product!D:D)</f>
        <v>SUP003</v>
      </c>
      <c r="E210" t="str">
        <f ca="1">_xlfn.XLOOKUP(C210,Master_Product!A:A,Master_Product!B:B)</f>
        <v>Accusamus Product</v>
      </c>
      <c r="F210" t="str">
        <f ca="1">_xlfn.XLOOKUP(C211,Master_Product!A:A,Master_Product!C:C)</f>
        <v>CAT003</v>
      </c>
      <c r="G210" t="str">
        <f ca="1">VLOOKUP(F210,Master_Category!A:B,2,FALSE)</f>
        <v>Milk</v>
      </c>
      <c r="H210" t="str">
        <f ca="1">_xlfn.XLOOKUP(D210,Master_Supplier!A:A,Master_Supplier!B:B)</f>
        <v>CV Barista Indonesia</v>
      </c>
      <c r="I210" t="str">
        <f ca="1">_xlfn.XLOOKUP(D210,Master_Supplier!A:A,Master_Supplier!E:E)</f>
        <v>Bekasi</v>
      </c>
      <c r="J210">
        <f ca="1">_xlfn.XLOOKUP(C210,Master_Product!A:A,Master_Product!E:E)</f>
        <v>46436</v>
      </c>
      <c r="K210">
        <v>80</v>
      </c>
      <c r="L210">
        <f ca="1">Table_StockIn[[#This Row],[buy_price]]*Table_StockIn[[#This Row],[quantity]]</f>
        <v>3714880</v>
      </c>
    </row>
    <row r="211" spans="1:12" x14ac:dyDescent="0.3">
      <c r="A211" t="str">
        <f t="shared" si="6"/>
        <v>PUR0210</v>
      </c>
      <c r="B211" s="1">
        <f t="shared" ca="1" si="7"/>
        <v>46014</v>
      </c>
      <c r="C211" t="str" cm="1">
        <f t="array" aca="1" ref="C211" ca="1">INDEX(Master_Product!$A$2:$A$101,RANDBETWEEN(1,100))</f>
        <v>PRD079</v>
      </c>
      <c r="D211" t="str">
        <f ca="1">_xlfn.XLOOKUP(C211,Master_Product!A:A,Master_Product!D:D)</f>
        <v>SUP023</v>
      </c>
      <c r="E211" t="str">
        <f ca="1">_xlfn.XLOOKUP(C211,Master_Product!A:A,Master_Product!B:B)</f>
        <v>Quaerat Product</v>
      </c>
      <c r="F211" t="str">
        <f ca="1">_xlfn.XLOOKUP(C212,Master_Product!A:A,Master_Product!C:C)</f>
        <v>CAT009</v>
      </c>
      <c r="G211" t="str">
        <f ca="1">VLOOKUP(F211,Master_Category!A:B,2,FALSE)</f>
        <v>Machine Supply</v>
      </c>
      <c r="H211" t="str">
        <f ca="1">_xlfn.XLOOKUP(D211,Master_Supplier!A:A,Master_Supplier!B:B)</f>
        <v>PT Mesin Kopi Indonesia</v>
      </c>
      <c r="I211" t="str">
        <f ca="1">_xlfn.XLOOKUP(D211,Master_Supplier!A:A,Master_Supplier!E:E)</f>
        <v>Surabaya</v>
      </c>
      <c r="J211">
        <f ca="1">_xlfn.XLOOKUP(C211,Master_Product!A:A,Master_Product!E:E)</f>
        <v>77684</v>
      </c>
      <c r="K211">
        <v>20</v>
      </c>
      <c r="L211">
        <f ca="1">Table_StockIn[[#This Row],[buy_price]]*Table_StockIn[[#This Row],[quantity]]</f>
        <v>1553680</v>
      </c>
    </row>
    <row r="212" spans="1:12" x14ac:dyDescent="0.3">
      <c r="A212" t="str">
        <f t="shared" si="6"/>
        <v>PUR0211</v>
      </c>
      <c r="B212" s="1">
        <f t="shared" ca="1" si="7"/>
        <v>45830</v>
      </c>
      <c r="C212" t="str" cm="1">
        <f t="array" aca="1" ref="C212" ca="1">INDEX(Master_Product!$A$2:$A$101,RANDBETWEEN(1,100))</f>
        <v>PRD076</v>
      </c>
      <c r="D212" t="str">
        <f ca="1">_xlfn.XLOOKUP(C212,Master_Product!A:A,Master_Product!D:D)</f>
        <v>SUP017</v>
      </c>
      <c r="E212" t="str">
        <f ca="1">_xlfn.XLOOKUP(C212,Master_Product!A:A,Master_Product!B:B)</f>
        <v>Recusandae Product</v>
      </c>
      <c r="F212" t="str">
        <f ca="1">_xlfn.XLOOKUP(C213,Master_Product!A:A,Master_Product!C:C)</f>
        <v>CAT004</v>
      </c>
      <c r="G212" t="str">
        <f ca="1">VLOOKUP(F212,Master_Category!A:B,2,FALSE)</f>
        <v>Syrup</v>
      </c>
      <c r="H212" t="str">
        <f ca="1">_xlfn.XLOOKUP(D212,Master_Supplier!A:A,Master_Supplier!B:B)</f>
        <v>PT Premium Beans</v>
      </c>
      <c r="I212" t="str">
        <f ca="1">_xlfn.XLOOKUP(D212,Master_Supplier!A:A,Master_Supplier!E:E)</f>
        <v>Yogyakarta</v>
      </c>
      <c r="J212">
        <f ca="1">_xlfn.XLOOKUP(C212,Master_Product!A:A,Master_Product!E:E)</f>
        <v>41932</v>
      </c>
      <c r="K212">
        <v>30</v>
      </c>
      <c r="L212">
        <f ca="1">Table_StockIn[[#This Row],[buy_price]]*Table_StockIn[[#This Row],[quantity]]</f>
        <v>1257960</v>
      </c>
    </row>
    <row r="213" spans="1:12" x14ac:dyDescent="0.3">
      <c r="A213" t="str">
        <f t="shared" si="6"/>
        <v>PUR0212</v>
      </c>
      <c r="B213" s="1">
        <f t="shared" ca="1" si="7"/>
        <v>45945</v>
      </c>
      <c r="C213" t="str" cm="1">
        <f t="array" aca="1" ref="C213" ca="1">INDEX(Master_Product!$A$2:$A$101,RANDBETWEEN(1,100))</f>
        <v>PRD060</v>
      </c>
      <c r="D213" t="str">
        <f ca="1">_xlfn.XLOOKUP(C213,Master_Product!A:A,Master_Product!D:D)</f>
        <v>SUP028</v>
      </c>
      <c r="E213" t="str">
        <f ca="1">_xlfn.XLOOKUP(C213,Master_Product!A:A,Master_Product!B:B)</f>
        <v>Voluptatum Product</v>
      </c>
      <c r="F213" t="str">
        <f ca="1">_xlfn.XLOOKUP(C214,Master_Product!A:A,Master_Product!C:C)</f>
        <v>CAT005</v>
      </c>
      <c r="G213" t="str">
        <f ca="1">VLOOKUP(F213,Master_Category!A:B,2,FALSE)</f>
        <v>Powder</v>
      </c>
      <c r="H213" t="str">
        <f ca="1">_xlfn.XLOOKUP(D213,Master_Supplier!A:A,Master_Supplier!B:B)</f>
        <v>PT Beverage Nusantara</v>
      </c>
      <c r="I213" t="str">
        <f ca="1">_xlfn.XLOOKUP(D213,Master_Supplier!A:A,Master_Supplier!E:E)</f>
        <v>Jakarta</v>
      </c>
      <c r="J213">
        <f ca="1">_xlfn.XLOOKUP(C213,Master_Product!A:A,Master_Product!E:E)</f>
        <v>42243</v>
      </c>
      <c r="K213">
        <v>30</v>
      </c>
      <c r="L213">
        <f ca="1">Table_StockIn[[#This Row],[buy_price]]*Table_StockIn[[#This Row],[quantity]]</f>
        <v>1267290</v>
      </c>
    </row>
    <row r="214" spans="1:12" x14ac:dyDescent="0.3">
      <c r="A214" t="str">
        <f t="shared" si="6"/>
        <v>PUR0213</v>
      </c>
      <c r="B214" s="1">
        <f t="shared" ca="1" si="7"/>
        <v>45936</v>
      </c>
      <c r="C214" t="str" cm="1">
        <f t="array" aca="1" ref="C214" ca="1">INDEX(Master_Product!$A$2:$A$101,RANDBETWEEN(1,100))</f>
        <v>PRD086</v>
      </c>
      <c r="D214" t="str">
        <f ca="1">_xlfn.XLOOKUP(C214,Master_Product!A:A,Master_Product!D:D)</f>
        <v>SUP010</v>
      </c>
      <c r="E214" t="str">
        <f ca="1">_xlfn.XLOOKUP(C214,Master_Product!A:A,Master_Product!B:B)</f>
        <v>Quis Product</v>
      </c>
      <c r="F214" t="str">
        <f ca="1">_xlfn.XLOOKUP(C215,Master_Product!A:A,Master_Product!C:C)</f>
        <v>CAT007</v>
      </c>
      <c r="G214" t="str">
        <f ca="1">VLOOKUP(F214,Master_Category!A:B,2,FALSE)</f>
        <v>Cup &amp; Packaging</v>
      </c>
      <c r="H214" t="str">
        <f ca="1">_xlfn.XLOOKUP(D214,Master_Supplier!A:A,Master_Supplier!B:B)</f>
        <v>PT Gula Manis</v>
      </c>
      <c r="I214" t="str">
        <f ca="1">_xlfn.XLOOKUP(D214,Master_Supplier!A:A,Master_Supplier!E:E)</f>
        <v>Malang</v>
      </c>
      <c r="J214">
        <f ca="1">_xlfn.XLOOKUP(C214,Master_Product!A:A,Master_Product!E:E)</f>
        <v>24142</v>
      </c>
      <c r="K214">
        <v>50</v>
      </c>
      <c r="L214">
        <f ca="1">Table_StockIn[[#This Row],[buy_price]]*Table_StockIn[[#This Row],[quantity]]</f>
        <v>1207100</v>
      </c>
    </row>
    <row r="215" spans="1:12" x14ac:dyDescent="0.3">
      <c r="A215" t="str">
        <f t="shared" si="6"/>
        <v>PUR0214</v>
      </c>
      <c r="B215" s="1">
        <f t="shared" ca="1" si="7"/>
        <v>45963</v>
      </c>
      <c r="C215" t="str" cm="1">
        <f t="array" aca="1" ref="C215" ca="1">INDEX(Master_Product!$A$2:$A$101,RANDBETWEEN(1,100))</f>
        <v>PRD097</v>
      </c>
      <c r="D215" t="str">
        <f ca="1">_xlfn.XLOOKUP(C215,Master_Product!A:A,Master_Product!D:D)</f>
        <v>SUP017</v>
      </c>
      <c r="E215" t="str">
        <f ca="1">_xlfn.XLOOKUP(C215,Master_Product!A:A,Master_Product!B:B)</f>
        <v>Odio Product</v>
      </c>
      <c r="F215" t="str">
        <f ca="1">_xlfn.XLOOKUP(C216,Master_Product!A:A,Master_Product!C:C)</f>
        <v>CAT007</v>
      </c>
      <c r="G215" t="str">
        <f ca="1">VLOOKUP(F215,Master_Category!A:B,2,FALSE)</f>
        <v>Cup &amp; Packaging</v>
      </c>
      <c r="H215" t="str">
        <f ca="1">_xlfn.XLOOKUP(D215,Master_Supplier!A:A,Master_Supplier!B:B)</f>
        <v>PT Premium Beans</v>
      </c>
      <c r="I215" t="str">
        <f ca="1">_xlfn.XLOOKUP(D215,Master_Supplier!A:A,Master_Supplier!E:E)</f>
        <v>Yogyakarta</v>
      </c>
      <c r="J215">
        <f ca="1">_xlfn.XLOOKUP(C215,Master_Product!A:A,Master_Product!E:E)</f>
        <v>76313</v>
      </c>
      <c r="K215">
        <v>40</v>
      </c>
      <c r="L215">
        <f ca="1">Table_StockIn[[#This Row],[buy_price]]*Table_StockIn[[#This Row],[quantity]]</f>
        <v>3052520</v>
      </c>
    </row>
    <row r="216" spans="1:12" x14ac:dyDescent="0.3">
      <c r="A216" t="str">
        <f t="shared" si="6"/>
        <v>PUR0215</v>
      </c>
      <c r="B216" s="1">
        <f t="shared" ca="1" si="7"/>
        <v>45839</v>
      </c>
      <c r="C216" t="str" cm="1">
        <f t="array" aca="1" ref="C216" ca="1">INDEX(Master_Product!$A$2:$A$101,RANDBETWEEN(1,100))</f>
        <v>PRD025</v>
      </c>
      <c r="D216" t="str">
        <f ca="1">_xlfn.XLOOKUP(C216,Master_Product!A:A,Master_Product!D:D)</f>
        <v>SUP014</v>
      </c>
      <c r="E216" t="str">
        <f ca="1">_xlfn.XLOOKUP(C216,Master_Product!A:A,Master_Product!B:B)</f>
        <v>Paper Bag</v>
      </c>
      <c r="F216" t="str">
        <f ca="1">_xlfn.XLOOKUP(C217,Master_Product!A:A,Master_Product!C:C)</f>
        <v>CAT001</v>
      </c>
      <c r="G216" t="str">
        <f ca="1">VLOOKUP(F216,Master_Category!A:B,2,FALSE)</f>
        <v>Coffee Bean</v>
      </c>
      <c r="H216" t="str">
        <f ca="1">_xlfn.XLOOKUP(D216,Master_Supplier!A:A,Master_Supplier!B:B)</f>
        <v>PT Food Ingredients</v>
      </c>
      <c r="I216" t="str">
        <f ca="1">_xlfn.XLOOKUP(D216,Master_Supplier!A:A,Master_Supplier!E:E)</f>
        <v>Bandung</v>
      </c>
      <c r="J216">
        <f ca="1">_xlfn.XLOOKUP(C216,Master_Product!A:A,Master_Product!E:E)</f>
        <v>40665</v>
      </c>
      <c r="K216">
        <v>30</v>
      </c>
      <c r="L216">
        <f ca="1">Table_StockIn[[#This Row],[buy_price]]*Table_StockIn[[#This Row],[quantity]]</f>
        <v>1219950</v>
      </c>
    </row>
    <row r="217" spans="1:12" x14ac:dyDescent="0.3">
      <c r="A217" t="str">
        <f t="shared" si="6"/>
        <v>PUR0216</v>
      </c>
      <c r="B217" s="1">
        <f t="shared" ca="1" si="7"/>
        <v>45931</v>
      </c>
      <c r="C217" t="str" cm="1">
        <f t="array" aca="1" ref="C217" ca="1">INDEX(Master_Product!$A$2:$A$101,RANDBETWEEN(1,100))</f>
        <v>PRD005</v>
      </c>
      <c r="D217" t="str">
        <f ca="1">_xlfn.XLOOKUP(C217,Master_Product!A:A,Master_Product!D:D)</f>
        <v>SUP029</v>
      </c>
      <c r="E217" t="str">
        <f ca="1">_xlfn.XLOOKUP(C217,Master_Product!A:A,Master_Product!B:B)</f>
        <v>House Blend</v>
      </c>
      <c r="F217" t="str">
        <f ca="1">_xlfn.XLOOKUP(C218,Master_Product!A:A,Master_Product!C:C)</f>
        <v>CAT009</v>
      </c>
      <c r="G217" t="str">
        <f ca="1">VLOOKUP(F217,Master_Category!A:B,2,FALSE)</f>
        <v>Machine Supply</v>
      </c>
      <c r="H217" t="e">
        <f ca="1">_xlfn.XLOOKUP(D217,Master_Supplier!A:A,Master_Supplier!B:B)</f>
        <v>#N/A</v>
      </c>
      <c r="I217" t="e">
        <f ca="1">_xlfn.XLOOKUP(D217,Master_Supplier!A:A,Master_Supplier!E:E)</f>
        <v>#N/A</v>
      </c>
      <c r="J217">
        <f ca="1">_xlfn.XLOOKUP(C217,Master_Product!A:A,Master_Product!E:E)</f>
        <v>33183</v>
      </c>
      <c r="K217">
        <v>20</v>
      </c>
      <c r="L217">
        <f ca="1">Table_StockIn[[#This Row],[buy_price]]*Table_StockIn[[#This Row],[quantity]]</f>
        <v>663660</v>
      </c>
    </row>
    <row r="218" spans="1:12" x14ac:dyDescent="0.3">
      <c r="A218" t="str">
        <f t="shared" si="6"/>
        <v>PUR0217</v>
      </c>
      <c r="B218" s="1">
        <f t="shared" ca="1" si="7"/>
        <v>45747</v>
      </c>
      <c r="C218" t="str" cm="1">
        <f t="array" aca="1" ref="C218" ca="1">INDEX(Master_Product!$A$2:$A$101,RANDBETWEEN(1,100))</f>
        <v>PRD076</v>
      </c>
      <c r="D218" t="str">
        <f ca="1">_xlfn.XLOOKUP(C218,Master_Product!A:A,Master_Product!D:D)</f>
        <v>SUP017</v>
      </c>
      <c r="E218" t="str">
        <f ca="1">_xlfn.XLOOKUP(C218,Master_Product!A:A,Master_Product!B:B)</f>
        <v>Recusandae Product</v>
      </c>
      <c r="F218" t="str">
        <f ca="1">_xlfn.XLOOKUP(C219,Master_Product!A:A,Master_Product!C:C)</f>
        <v>CAT006</v>
      </c>
      <c r="G218" t="str">
        <f ca="1">VLOOKUP(F218,Master_Category!A:B,2,FALSE)</f>
        <v>Topping</v>
      </c>
      <c r="H218" t="str">
        <f ca="1">_xlfn.XLOOKUP(D218,Master_Supplier!A:A,Master_Supplier!B:B)</f>
        <v>PT Premium Beans</v>
      </c>
      <c r="I218" t="str">
        <f ca="1">_xlfn.XLOOKUP(D218,Master_Supplier!A:A,Master_Supplier!E:E)</f>
        <v>Yogyakarta</v>
      </c>
      <c r="J218">
        <f ca="1">_xlfn.XLOOKUP(C218,Master_Product!A:A,Master_Product!E:E)</f>
        <v>41932</v>
      </c>
      <c r="K218">
        <v>30</v>
      </c>
      <c r="L218">
        <f ca="1">Table_StockIn[[#This Row],[buy_price]]*Table_StockIn[[#This Row],[quantity]]</f>
        <v>1257960</v>
      </c>
    </row>
    <row r="219" spans="1:12" x14ac:dyDescent="0.3">
      <c r="A219" t="str">
        <f t="shared" si="6"/>
        <v>PUR0218</v>
      </c>
      <c r="B219" s="1">
        <f t="shared" ca="1" si="7"/>
        <v>45834</v>
      </c>
      <c r="C219" t="str" cm="1">
        <f t="array" aca="1" ref="C219" ca="1">INDEX(Master_Product!$A$2:$A$101,RANDBETWEEN(1,100))</f>
        <v>PRD021</v>
      </c>
      <c r="D219" t="str">
        <f ca="1">_xlfn.XLOOKUP(C219,Master_Product!A:A,Master_Product!D:D)</f>
        <v>SUP007</v>
      </c>
      <c r="E219" t="str">
        <f ca="1">_xlfn.XLOOKUP(C219,Master_Product!A:A,Master_Product!B:B)</f>
        <v>Whipping Cream</v>
      </c>
      <c r="F219" t="str">
        <f ca="1">_xlfn.XLOOKUP(C220,Master_Product!A:A,Master_Product!C:C)</f>
        <v>CAT010</v>
      </c>
      <c r="G219" t="str">
        <f ca="1">VLOOKUP(F219,Master_Category!A:B,2,FALSE)</f>
        <v>Cleaning</v>
      </c>
      <c r="H219" t="e">
        <f ca="1">_xlfn.XLOOKUP(D219,Master_Supplier!A:A,Master_Supplier!B:B)</f>
        <v>#N/A</v>
      </c>
      <c r="I219" t="e">
        <f ca="1">_xlfn.XLOOKUP(D219,Master_Supplier!A:A,Master_Supplier!E:E)</f>
        <v>#N/A</v>
      </c>
      <c r="J219">
        <f ca="1">_xlfn.XLOOKUP(C219,Master_Product!A:A,Master_Product!E:E)</f>
        <v>17026</v>
      </c>
      <c r="K219">
        <v>30</v>
      </c>
      <c r="L219">
        <f ca="1">Table_StockIn[[#This Row],[buy_price]]*Table_StockIn[[#This Row],[quantity]]</f>
        <v>510780</v>
      </c>
    </row>
    <row r="220" spans="1:12" x14ac:dyDescent="0.3">
      <c r="A220" t="str">
        <f t="shared" si="6"/>
        <v>PUR0219</v>
      </c>
      <c r="B220" s="1">
        <f t="shared" ca="1" si="7"/>
        <v>45686</v>
      </c>
      <c r="C220" t="str" cm="1">
        <f t="array" aca="1" ref="C220" ca="1">INDEX(Master_Product!$A$2:$A$101,RANDBETWEEN(1,100))</f>
        <v>PRD056</v>
      </c>
      <c r="D220" t="str">
        <f ca="1">_xlfn.XLOOKUP(C220,Master_Product!A:A,Master_Product!D:D)</f>
        <v>SUP017</v>
      </c>
      <c r="E220" t="str">
        <f ca="1">_xlfn.XLOOKUP(C220,Master_Product!A:A,Master_Product!B:B)</f>
        <v>Nemo Product</v>
      </c>
      <c r="F220" t="str">
        <f ca="1">_xlfn.XLOOKUP(C221,Master_Product!A:A,Master_Product!C:C)</f>
        <v>CAT002</v>
      </c>
      <c r="G220" t="str">
        <f ca="1">VLOOKUP(F220,Master_Category!A:B,2,FALSE)</f>
        <v>Tea</v>
      </c>
      <c r="H220" t="str">
        <f ca="1">_xlfn.XLOOKUP(D220,Master_Supplier!A:A,Master_Supplier!B:B)</f>
        <v>PT Premium Beans</v>
      </c>
      <c r="I220" t="str">
        <f ca="1">_xlfn.XLOOKUP(D220,Master_Supplier!A:A,Master_Supplier!E:E)</f>
        <v>Yogyakarta</v>
      </c>
      <c r="J220">
        <f ca="1">_xlfn.XLOOKUP(C220,Master_Product!A:A,Master_Product!E:E)</f>
        <v>62377</v>
      </c>
      <c r="K220">
        <v>20</v>
      </c>
      <c r="L220">
        <f ca="1">Table_StockIn[[#This Row],[buy_price]]*Table_StockIn[[#This Row],[quantity]]</f>
        <v>1247540</v>
      </c>
    </row>
    <row r="221" spans="1:12" x14ac:dyDescent="0.3">
      <c r="A221" t="str">
        <f t="shared" si="6"/>
        <v>PUR0220</v>
      </c>
      <c r="B221" s="1">
        <f t="shared" ca="1" si="7"/>
        <v>45821</v>
      </c>
      <c r="C221" t="str" cm="1">
        <f t="array" aca="1" ref="C221" ca="1">INDEX(Master_Product!$A$2:$A$101,RANDBETWEEN(1,100))</f>
        <v>PRD006</v>
      </c>
      <c r="D221" t="str">
        <f ca="1">_xlfn.XLOOKUP(C221,Master_Product!A:A,Master_Product!D:D)</f>
        <v>SUP013</v>
      </c>
      <c r="E221" t="str">
        <f ca="1">_xlfn.XLOOKUP(C221,Master_Product!A:A,Master_Product!B:B)</f>
        <v>Green Tea</v>
      </c>
      <c r="F221" t="str">
        <f ca="1">_xlfn.XLOOKUP(C222,Master_Product!A:A,Master_Product!C:C)</f>
        <v>CAT006</v>
      </c>
      <c r="G221" t="str">
        <f ca="1">VLOOKUP(F221,Master_Category!A:B,2,FALSE)</f>
        <v>Topping</v>
      </c>
      <c r="H221" t="str">
        <f ca="1">_xlfn.XLOOKUP(D221,Master_Supplier!A:A,Master_Supplier!B:B)</f>
        <v>PT Coffee Trading</v>
      </c>
      <c r="I221" t="str">
        <f ca="1">_xlfn.XLOOKUP(D221,Master_Supplier!A:A,Master_Supplier!E:E)</f>
        <v>Jakarta</v>
      </c>
      <c r="J221">
        <f ca="1">_xlfn.XLOOKUP(C221,Master_Product!A:A,Master_Product!E:E)</f>
        <v>49424</v>
      </c>
      <c r="K221">
        <v>50</v>
      </c>
      <c r="L221">
        <f ca="1">Table_StockIn[[#This Row],[buy_price]]*Table_StockIn[[#This Row],[quantity]]</f>
        <v>2471200</v>
      </c>
    </row>
    <row r="222" spans="1:12" x14ac:dyDescent="0.3">
      <c r="A222" t="str">
        <f t="shared" si="6"/>
        <v>PUR0221</v>
      </c>
      <c r="B222" s="1">
        <f t="shared" ca="1" si="7"/>
        <v>45822</v>
      </c>
      <c r="C222" t="str" cm="1">
        <f t="array" aca="1" ref="C222" ca="1">INDEX(Master_Product!$A$2:$A$101,RANDBETWEEN(1,100))</f>
        <v>PRD089</v>
      </c>
      <c r="D222" t="str">
        <f ca="1">_xlfn.XLOOKUP(C222,Master_Product!A:A,Master_Product!D:D)</f>
        <v>SUP020</v>
      </c>
      <c r="E222" t="str">
        <f ca="1">_xlfn.XLOOKUP(C222,Master_Product!A:A,Master_Product!B:B)</f>
        <v>Quisquam Product</v>
      </c>
      <c r="F222" t="str">
        <f ca="1">_xlfn.XLOOKUP(C223,Master_Product!A:A,Master_Product!C:C)</f>
        <v>CAT003</v>
      </c>
      <c r="G222" t="str">
        <f ca="1">VLOOKUP(F222,Master_Category!A:B,2,FALSE)</f>
        <v>Milk</v>
      </c>
      <c r="H222" t="str">
        <f ca="1">_xlfn.XLOOKUP(D222,Master_Supplier!A:A,Master_Supplier!B:B)</f>
        <v>PT Clean Solution</v>
      </c>
      <c r="I222" t="str">
        <f ca="1">_xlfn.XLOOKUP(D222,Master_Supplier!A:A,Master_Supplier!E:E)</f>
        <v>Yogyakarta</v>
      </c>
      <c r="J222">
        <f ca="1">_xlfn.XLOOKUP(C222,Master_Product!A:A,Master_Product!E:E)</f>
        <v>76932</v>
      </c>
      <c r="K222">
        <v>80</v>
      </c>
      <c r="L222">
        <f ca="1">Table_StockIn[[#This Row],[buy_price]]*Table_StockIn[[#This Row],[quantity]]</f>
        <v>6154560</v>
      </c>
    </row>
    <row r="223" spans="1:12" x14ac:dyDescent="0.3">
      <c r="A223" t="str">
        <f t="shared" si="6"/>
        <v>PUR0222</v>
      </c>
      <c r="B223" s="1">
        <f t="shared" ca="1" si="7"/>
        <v>45676</v>
      </c>
      <c r="C223" t="str" cm="1">
        <f t="array" aca="1" ref="C223" ca="1">INDEX(Master_Product!$A$2:$A$101,RANDBETWEEN(1,100))</f>
        <v>PRD011</v>
      </c>
      <c r="D223" t="str">
        <f ca="1">_xlfn.XLOOKUP(C223,Master_Product!A:A,Master_Product!D:D)</f>
        <v>SUP004</v>
      </c>
      <c r="E223" t="str">
        <f ca="1">_xlfn.XLOOKUP(C223,Master_Product!A:A,Master_Product!B:B)</f>
        <v>Soy Milk</v>
      </c>
      <c r="F223" t="str">
        <f ca="1">_xlfn.XLOOKUP(C224,Master_Product!A:A,Master_Product!C:C)</f>
        <v>CAT007</v>
      </c>
      <c r="G223" t="str">
        <f ca="1">VLOOKUP(F223,Master_Category!A:B,2,FALSE)</f>
        <v>Cup &amp; Packaging</v>
      </c>
      <c r="H223" t="str">
        <f ca="1">_xlfn.XLOOKUP(D223,Master_Supplier!A:A,Master_Supplier!B:B)</f>
        <v>PT Dairy Fresh</v>
      </c>
      <c r="I223" t="str">
        <f ca="1">_xlfn.XLOOKUP(D223,Master_Supplier!A:A,Master_Supplier!E:E)</f>
        <v>Depok</v>
      </c>
      <c r="J223">
        <f ca="1">_xlfn.XLOOKUP(C223,Master_Product!A:A,Master_Product!E:E)</f>
        <v>78620</v>
      </c>
      <c r="K223">
        <v>40</v>
      </c>
      <c r="L223">
        <f ca="1">Table_StockIn[[#This Row],[buy_price]]*Table_StockIn[[#This Row],[quantity]]</f>
        <v>3144800</v>
      </c>
    </row>
    <row r="224" spans="1:12" x14ac:dyDescent="0.3">
      <c r="A224" t="str">
        <f t="shared" si="6"/>
        <v>PUR0223</v>
      </c>
      <c r="B224" s="1">
        <f t="shared" ca="1" si="7"/>
        <v>45748</v>
      </c>
      <c r="C224" t="str" cm="1">
        <f t="array" aca="1" ref="C224" ca="1">INDEX(Master_Product!$A$2:$A$101,RANDBETWEEN(1,100))</f>
        <v>PRD025</v>
      </c>
      <c r="D224" t="str">
        <f ca="1">_xlfn.XLOOKUP(C224,Master_Product!A:A,Master_Product!D:D)</f>
        <v>SUP014</v>
      </c>
      <c r="E224" t="str">
        <f ca="1">_xlfn.XLOOKUP(C224,Master_Product!A:A,Master_Product!B:B)</f>
        <v>Paper Bag</v>
      </c>
      <c r="F224" t="str">
        <f ca="1">_xlfn.XLOOKUP(C225,Master_Product!A:A,Master_Product!C:C)</f>
        <v>CAT004</v>
      </c>
      <c r="G224" t="str">
        <f ca="1">VLOOKUP(F224,Master_Category!A:B,2,FALSE)</f>
        <v>Syrup</v>
      </c>
      <c r="H224" t="str">
        <f ca="1">_xlfn.XLOOKUP(D224,Master_Supplier!A:A,Master_Supplier!B:B)</f>
        <v>PT Food Ingredients</v>
      </c>
      <c r="I224" t="str">
        <f ca="1">_xlfn.XLOOKUP(D224,Master_Supplier!A:A,Master_Supplier!E:E)</f>
        <v>Bandung</v>
      </c>
      <c r="J224">
        <f ca="1">_xlfn.XLOOKUP(C224,Master_Product!A:A,Master_Product!E:E)</f>
        <v>40665</v>
      </c>
      <c r="K224">
        <v>80</v>
      </c>
      <c r="L224">
        <f ca="1">Table_StockIn[[#This Row],[buy_price]]*Table_StockIn[[#This Row],[quantity]]</f>
        <v>3253200</v>
      </c>
    </row>
    <row r="225" spans="1:12" x14ac:dyDescent="0.3">
      <c r="A225" t="str">
        <f t="shared" si="6"/>
        <v>PUR0224</v>
      </c>
      <c r="B225" s="1">
        <f t="shared" ca="1" si="7"/>
        <v>45699</v>
      </c>
      <c r="C225" t="str" cm="1">
        <f t="array" aca="1" ref="C225" ca="1">INDEX(Master_Product!$A$2:$A$101,RANDBETWEEN(1,100))</f>
        <v>PRD015</v>
      </c>
      <c r="D225" t="str">
        <f ca="1">_xlfn.XLOOKUP(C225,Master_Product!A:A,Master_Product!D:D)</f>
        <v>SUP012</v>
      </c>
      <c r="E225" t="str">
        <f ca="1">_xlfn.XLOOKUP(C225,Master_Product!A:A,Master_Product!B:B)</f>
        <v>Chocolate Syrup</v>
      </c>
      <c r="F225" t="str">
        <f ca="1">_xlfn.XLOOKUP(C226,Master_Product!A:A,Master_Product!C:C)</f>
        <v>CAT005</v>
      </c>
      <c r="G225" t="str">
        <f ca="1">VLOOKUP(F225,Master_Category!A:B,2,FALSE)</f>
        <v>Powder</v>
      </c>
      <c r="H225" t="str">
        <f ca="1">_xlfn.XLOOKUP(D225,Master_Supplier!A:A,Master_Supplier!B:B)</f>
        <v>PT Tea Indonesia</v>
      </c>
      <c r="I225" t="str">
        <f ca="1">_xlfn.XLOOKUP(D225,Master_Supplier!A:A,Master_Supplier!E:E)</f>
        <v>Jakarta</v>
      </c>
      <c r="J225">
        <f ca="1">_xlfn.XLOOKUP(C225,Master_Product!A:A,Master_Product!E:E)</f>
        <v>50890</v>
      </c>
      <c r="K225">
        <v>40</v>
      </c>
      <c r="L225">
        <f ca="1">Table_StockIn[[#This Row],[buy_price]]*Table_StockIn[[#This Row],[quantity]]</f>
        <v>2035600</v>
      </c>
    </row>
    <row r="226" spans="1:12" x14ac:dyDescent="0.3">
      <c r="A226" t="str">
        <f t="shared" si="6"/>
        <v>PUR0225</v>
      </c>
      <c r="B226" s="1">
        <f t="shared" ca="1" si="7"/>
        <v>45658</v>
      </c>
      <c r="C226" t="str" cm="1">
        <f t="array" aca="1" ref="C226" ca="1">INDEX(Master_Product!$A$2:$A$101,RANDBETWEEN(1,100))</f>
        <v>PRD019</v>
      </c>
      <c r="D226" t="str">
        <f ca="1">_xlfn.XLOOKUP(C226,Master_Product!A:A,Master_Product!D:D)</f>
        <v>SUP006</v>
      </c>
      <c r="E226" t="str">
        <f ca="1">_xlfn.XLOOKUP(C226,Master_Product!A:A,Master_Product!B:B)</f>
        <v>Red Velvet Powder</v>
      </c>
      <c r="F226" t="str">
        <f ca="1">_xlfn.XLOOKUP(C227,Master_Product!A:A,Master_Product!C:C)</f>
        <v>CAT006</v>
      </c>
      <c r="G226" t="str">
        <f ca="1">VLOOKUP(F226,Master_Category!A:B,2,FALSE)</f>
        <v>Topping</v>
      </c>
      <c r="H226" t="str">
        <f ca="1">_xlfn.XLOOKUP(D226,Master_Supplier!A:A,Master_Supplier!B:B)</f>
        <v>CV Java Coffee</v>
      </c>
      <c r="I226" t="str">
        <f ca="1">_xlfn.XLOOKUP(D226,Master_Supplier!A:A,Master_Supplier!E:E)</f>
        <v>Bogor</v>
      </c>
      <c r="J226">
        <f ca="1">_xlfn.XLOOKUP(C226,Master_Product!A:A,Master_Product!E:E)</f>
        <v>49541</v>
      </c>
      <c r="K226">
        <v>30</v>
      </c>
      <c r="L226">
        <f ca="1">Table_StockIn[[#This Row],[buy_price]]*Table_StockIn[[#This Row],[quantity]]</f>
        <v>1486230</v>
      </c>
    </row>
    <row r="227" spans="1:12" x14ac:dyDescent="0.3">
      <c r="A227" t="str">
        <f t="shared" si="6"/>
        <v>PUR0226</v>
      </c>
      <c r="B227" s="1">
        <f t="shared" ca="1" si="7"/>
        <v>45823</v>
      </c>
      <c r="C227" t="str" cm="1">
        <f t="array" aca="1" ref="C227" ca="1">INDEX(Master_Product!$A$2:$A$101,RANDBETWEEN(1,100))</f>
        <v>PRD067</v>
      </c>
      <c r="D227" t="str">
        <f ca="1">_xlfn.XLOOKUP(C227,Master_Product!A:A,Master_Product!D:D)</f>
        <v>SUP016</v>
      </c>
      <c r="E227" t="str">
        <f ca="1">_xlfn.XLOOKUP(C227,Master_Product!A:A,Master_Product!B:B)</f>
        <v>Est Product</v>
      </c>
      <c r="F227" t="str">
        <f ca="1">_xlfn.XLOOKUP(C228,Master_Product!A:A,Master_Product!C:C)</f>
        <v>CAT010</v>
      </c>
      <c r="G227" t="str">
        <f ca="1">VLOOKUP(F227,Master_Category!A:B,2,FALSE)</f>
        <v>Cleaning</v>
      </c>
      <c r="H227" t="str">
        <f ca="1">_xlfn.XLOOKUP(D227,Master_Supplier!A:A,Master_Supplier!B:B)</f>
        <v>PT Espresso Supply</v>
      </c>
      <c r="I227" t="str">
        <f ca="1">_xlfn.XLOOKUP(D227,Master_Supplier!A:A,Master_Supplier!E:E)</f>
        <v>Depok</v>
      </c>
      <c r="J227">
        <f ca="1">_xlfn.XLOOKUP(C227,Master_Product!A:A,Master_Product!E:E)</f>
        <v>49791</v>
      </c>
      <c r="K227">
        <v>20</v>
      </c>
      <c r="L227">
        <f ca="1">Table_StockIn[[#This Row],[buy_price]]*Table_StockIn[[#This Row],[quantity]]</f>
        <v>995820</v>
      </c>
    </row>
    <row r="228" spans="1:12" x14ac:dyDescent="0.3">
      <c r="A228" t="str">
        <f t="shared" si="6"/>
        <v>PUR0227</v>
      </c>
      <c r="B228" s="1">
        <f t="shared" ca="1" si="7"/>
        <v>45866</v>
      </c>
      <c r="C228" t="str" cm="1">
        <f t="array" aca="1" ref="C228" ca="1">INDEX(Master_Product!$A$2:$A$101,RANDBETWEEN(1,100))</f>
        <v>PRD055</v>
      </c>
      <c r="D228" t="str">
        <f ca="1">_xlfn.XLOOKUP(C228,Master_Product!A:A,Master_Product!D:D)</f>
        <v>SUP006</v>
      </c>
      <c r="E228" t="str">
        <f ca="1">_xlfn.XLOOKUP(C228,Master_Product!A:A,Master_Product!B:B)</f>
        <v>Possimus Product</v>
      </c>
      <c r="F228" t="str">
        <f ca="1">_xlfn.XLOOKUP(C229,Master_Product!A:A,Master_Product!C:C)</f>
        <v>CAT007</v>
      </c>
      <c r="G228" t="str">
        <f ca="1">VLOOKUP(F228,Master_Category!A:B,2,FALSE)</f>
        <v>Cup &amp; Packaging</v>
      </c>
      <c r="H228" t="str">
        <f ca="1">_xlfn.XLOOKUP(D228,Master_Supplier!A:A,Master_Supplier!B:B)</f>
        <v>CV Java Coffee</v>
      </c>
      <c r="I228" t="str">
        <f ca="1">_xlfn.XLOOKUP(D228,Master_Supplier!A:A,Master_Supplier!E:E)</f>
        <v>Bogor</v>
      </c>
      <c r="J228">
        <f ca="1">_xlfn.XLOOKUP(C228,Master_Product!A:A,Master_Product!E:E)</f>
        <v>16053</v>
      </c>
      <c r="K228">
        <v>50</v>
      </c>
      <c r="L228">
        <f ca="1">Table_StockIn[[#This Row],[buy_price]]*Table_StockIn[[#This Row],[quantity]]</f>
        <v>802650</v>
      </c>
    </row>
    <row r="229" spans="1:12" x14ac:dyDescent="0.3">
      <c r="A229" t="str">
        <f t="shared" si="6"/>
        <v>PUR0228</v>
      </c>
      <c r="B229" s="1">
        <f t="shared" ca="1" si="7"/>
        <v>45731</v>
      </c>
      <c r="C229" t="str" cm="1">
        <f t="array" aca="1" ref="C229" ca="1">INDEX(Master_Product!$A$2:$A$101,RANDBETWEEN(1,100))</f>
        <v>PRD025</v>
      </c>
      <c r="D229" t="str">
        <f ca="1">_xlfn.XLOOKUP(C229,Master_Product!A:A,Master_Product!D:D)</f>
        <v>SUP014</v>
      </c>
      <c r="E229" t="str">
        <f ca="1">_xlfn.XLOOKUP(C229,Master_Product!A:A,Master_Product!B:B)</f>
        <v>Paper Bag</v>
      </c>
      <c r="F229" t="str">
        <f ca="1">_xlfn.XLOOKUP(C230,Master_Product!A:A,Master_Product!C:C)</f>
        <v>CAT010</v>
      </c>
      <c r="G229" t="str">
        <f ca="1">VLOOKUP(F229,Master_Category!A:B,2,FALSE)</f>
        <v>Cleaning</v>
      </c>
      <c r="H229" t="str">
        <f ca="1">_xlfn.XLOOKUP(D229,Master_Supplier!A:A,Master_Supplier!B:B)</f>
        <v>PT Food Ingredients</v>
      </c>
      <c r="I229" t="str">
        <f ca="1">_xlfn.XLOOKUP(D229,Master_Supplier!A:A,Master_Supplier!E:E)</f>
        <v>Bandung</v>
      </c>
      <c r="J229">
        <f ca="1">_xlfn.XLOOKUP(C229,Master_Product!A:A,Master_Product!E:E)</f>
        <v>40665</v>
      </c>
      <c r="K229">
        <v>80</v>
      </c>
      <c r="L229">
        <f ca="1">Table_StockIn[[#This Row],[buy_price]]*Table_StockIn[[#This Row],[quantity]]</f>
        <v>3253200</v>
      </c>
    </row>
    <row r="230" spans="1:12" x14ac:dyDescent="0.3">
      <c r="A230" t="str">
        <f t="shared" si="6"/>
        <v>PUR0229</v>
      </c>
      <c r="B230" s="1">
        <f t="shared" ca="1" si="7"/>
        <v>45674</v>
      </c>
      <c r="C230" t="str" cm="1">
        <f t="array" aca="1" ref="C230" ca="1">INDEX(Master_Product!$A$2:$A$101,RANDBETWEEN(1,100))</f>
        <v>PRD055</v>
      </c>
      <c r="D230" t="str">
        <f ca="1">_xlfn.XLOOKUP(C230,Master_Product!A:A,Master_Product!D:D)</f>
        <v>SUP006</v>
      </c>
      <c r="E230" t="str">
        <f ca="1">_xlfn.XLOOKUP(C230,Master_Product!A:A,Master_Product!B:B)</f>
        <v>Possimus Product</v>
      </c>
      <c r="F230" t="str">
        <f ca="1">_xlfn.XLOOKUP(C231,Master_Product!A:A,Master_Product!C:C)</f>
        <v>CAT005</v>
      </c>
      <c r="G230" t="str">
        <f ca="1">VLOOKUP(F230,Master_Category!A:B,2,FALSE)</f>
        <v>Powder</v>
      </c>
      <c r="H230" t="str">
        <f ca="1">_xlfn.XLOOKUP(D230,Master_Supplier!A:A,Master_Supplier!B:B)</f>
        <v>CV Java Coffee</v>
      </c>
      <c r="I230" t="str">
        <f ca="1">_xlfn.XLOOKUP(D230,Master_Supplier!A:A,Master_Supplier!E:E)</f>
        <v>Bogor</v>
      </c>
      <c r="J230">
        <f ca="1">_xlfn.XLOOKUP(C230,Master_Product!A:A,Master_Product!E:E)</f>
        <v>16053</v>
      </c>
      <c r="K230">
        <v>30</v>
      </c>
      <c r="L230">
        <f ca="1">Table_StockIn[[#This Row],[buy_price]]*Table_StockIn[[#This Row],[quantity]]</f>
        <v>481590</v>
      </c>
    </row>
    <row r="231" spans="1:12" x14ac:dyDescent="0.3">
      <c r="A231" t="str">
        <f t="shared" si="6"/>
        <v>PUR0230</v>
      </c>
      <c r="B231" s="1">
        <f t="shared" ca="1" si="7"/>
        <v>45732</v>
      </c>
      <c r="C231" t="str" cm="1">
        <f t="array" aca="1" ref="C231" ca="1">INDEX(Master_Product!$A$2:$A$101,RANDBETWEEN(1,100))</f>
        <v>PRD062</v>
      </c>
      <c r="D231" t="str">
        <f ca="1">_xlfn.XLOOKUP(C231,Master_Product!A:A,Master_Product!D:D)</f>
        <v>SUP023</v>
      </c>
      <c r="E231" t="str">
        <f ca="1">_xlfn.XLOOKUP(C231,Master_Product!A:A,Master_Product!B:B)</f>
        <v>Porro Product</v>
      </c>
      <c r="F231" t="str">
        <f ca="1">_xlfn.XLOOKUP(C232,Master_Product!A:A,Master_Product!C:C)</f>
        <v>CAT007</v>
      </c>
      <c r="G231" t="str">
        <f ca="1">VLOOKUP(F231,Master_Category!A:B,2,FALSE)</f>
        <v>Cup &amp; Packaging</v>
      </c>
      <c r="H231" t="str">
        <f ca="1">_xlfn.XLOOKUP(D231,Master_Supplier!A:A,Master_Supplier!B:B)</f>
        <v>PT Mesin Kopi Indonesia</v>
      </c>
      <c r="I231" t="str">
        <f ca="1">_xlfn.XLOOKUP(D231,Master_Supplier!A:A,Master_Supplier!E:E)</f>
        <v>Surabaya</v>
      </c>
      <c r="J231">
        <f ca="1">_xlfn.XLOOKUP(C231,Master_Product!A:A,Master_Product!E:E)</f>
        <v>45662</v>
      </c>
      <c r="K231">
        <v>100</v>
      </c>
      <c r="L231">
        <f ca="1">Table_StockIn[[#This Row],[buy_price]]*Table_StockIn[[#This Row],[quantity]]</f>
        <v>4566200</v>
      </c>
    </row>
    <row r="232" spans="1:12" x14ac:dyDescent="0.3">
      <c r="A232" t="str">
        <f t="shared" si="6"/>
        <v>PUR0231</v>
      </c>
      <c r="B232" s="1">
        <f t="shared" ca="1" si="7"/>
        <v>45772</v>
      </c>
      <c r="C232" t="str" cm="1">
        <f t="array" aca="1" ref="C232" ca="1">INDEX(Master_Product!$A$2:$A$101,RANDBETWEEN(1,100))</f>
        <v>PRD047</v>
      </c>
      <c r="D232" t="str">
        <f ca="1">_xlfn.XLOOKUP(C232,Master_Product!A:A,Master_Product!D:D)</f>
        <v>SUP003</v>
      </c>
      <c r="E232" t="str">
        <f ca="1">_xlfn.XLOOKUP(C232,Master_Product!A:A,Master_Product!B:B)</f>
        <v>Accusamus Product</v>
      </c>
      <c r="F232" t="str">
        <f ca="1">_xlfn.XLOOKUP(C233,Master_Product!A:A,Master_Product!C:C)</f>
        <v>CAT005</v>
      </c>
      <c r="G232" t="str">
        <f ca="1">VLOOKUP(F232,Master_Category!A:B,2,FALSE)</f>
        <v>Powder</v>
      </c>
      <c r="H232" t="str">
        <f ca="1">_xlfn.XLOOKUP(D232,Master_Supplier!A:A,Master_Supplier!B:B)</f>
        <v>CV Barista Indonesia</v>
      </c>
      <c r="I232" t="str">
        <f ca="1">_xlfn.XLOOKUP(D232,Master_Supplier!A:A,Master_Supplier!E:E)</f>
        <v>Bekasi</v>
      </c>
      <c r="J232">
        <f ca="1">_xlfn.XLOOKUP(C232,Master_Product!A:A,Master_Product!E:E)</f>
        <v>46436</v>
      </c>
      <c r="K232">
        <v>80</v>
      </c>
      <c r="L232">
        <f ca="1">Table_StockIn[[#This Row],[buy_price]]*Table_StockIn[[#This Row],[quantity]]</f>
        <v>3714880</v>
      </c>
    </row>
    <row r="233" spans="1:12" x14ac:dyDescent="0.3">
      <c r="A233" t="str">
        <f t="shared" si="6"/>
        <v>PUR0232</v>
      </c>
      <c r="B233" s="1">
        <f t="shared" ca="1" si="7"/>
        <v>45983</v>
      </c>
      <c r="C233" t="str" cm="1">
        <f t="array" aca="1" ref="C233" ca="1">INDEX(Master_Product!$A$2:$A$101,RANDBETWEEN(1,100))</f>
        <v>PRD046</v>
      </c>
      <c r="D233" t="str">
        <f ca="1">_xlfn.XLOOKUP(C233,Master_Product!A:A,Master_Product!D:D)</f>
        <v>SUP029</v>
      </c>
      <c r="E233" t="str">
        <f ca="1">_xlfn.XLOOKUP(C233,Master_Product!A:A,Master_Product!B:B)</f>
        <v>Magnam Product</v>
      </c>
      <c r="F233" t="str">
        <f ca="1">_xlfn.XLOOKUP(C234,Master_Product!A:A,Master_Product!C:C)</f>
        <v>CAT004</v>
      </c>
      <c r="G233" t="str">
        <f ca="1">VLOOKUP(F233,Master_Category!A:B,2,FALSE)</f>
        <v>Syrup</v>
      </c>
      <c r="H233" t="e">
        <f ca="1">_xlfn.XLOOKUP(D233,Master_Supplier!A:A,Master_Supplier!B:B)</f>
        <v>#N/A</v>
      </c>
      <c r="I233" t="e">
        <f ca="1">_xlfn.XLOOKUP(D233,Master_Supplier!A:A,Master_Supplier!E:E)</f>
        <v>#N/A</v>
      </c>
      <c r="J233">
        <f ca="1">_xlfn.XLOOKUP(C233,Master_Product!A:A,Master_Product!E:E)</f>
        <v>63838</v>
      </c>
      <c r="K233">
        <v>20</v>
      </c>
      <c r="L233">
        <f ca="1">Table_StockIn[[#This Row],[buy_price]]*Table_StockIn[[#This Row],[quantity]]</f>
        <v>1276760</v>
      </c>
    </row>
    <row r="234" spans="1:12" x14ac:dyDescent="0.3">
      <c r="A234" t="str">
        <f t="shared" si="6"/>
        <v>PUR0233</v>
      </c>
      <c r="B234" s="1">
        <f t="shared" ca="1" si="7"/>
        <v>45734</v>
      </c>
      <c r="C234" t="str" cm="1">
        <f t="array" aca="1" ref="C234" ca="1">INDEX(Master_Product!$A$2:$A$101,RANDBETWEEN(1,100))</f>
        <v>PRD066</v>
      </c>
      <c r="D234" t="str">
        <f ca="1">_xlfn.XLOOKUP(C234,Master_Product!A:A,Master_Product!D:D)</f>
        <v>SUP010</v>
      </c>
      <c r="E234" t="str">
        <f ca="1">_xlfn.XLOOKUP(C234,Master_Product!A:A,Master_Product!B:B)</f>
        <v>Aliquam Product</v>
      </c>
      <c r="F234" t="str">
        <f ca="1">_xlfn.XLOOKUP(C235,Master_Product!A:A,Master_Product!C:C)</f>
        <v>CAT001</v>
      </c>
      <c r="G234" t="str">
        <f ca="1">VLOOKUP(F234,Master_Category!A:B,2,FALSE)</f>
        <v>Coffee Bean</v>
      </c>
      <c r="H234" t="str">
        <f ca="1">_xlfn.XLOOKUP(D234,Master_Supplier!A:A,Master_Supplier!B:B)</f>
        <v>PT Gula Manis</v>
      </c>
      <c r="I234" t="str">
        <f ca="1">_xlfn.XLOOKUP(D234,Master_Supplier!A:A,Master_Supplier!E:E)</f>
        <v>Malang</v>
      </c>
      <c r="J234">
        <f ca="1">_xlfn.XLOOKUP(C234,Master_Product!A:A,Master_Product!E:E)</f>
        <v>52425</v>
      </c>
      <c r="K234">
        <v>100</v>
      </c>
      <c r="L234">
        <f ca="1">Table_StockIn[[#This Row],[buy_price]]*Table_StockIn[[#This Row],[quantity]]</f>
        <v>5242500</v>
      </c>
    </row>
    <row r="235" spans="1:12" x14ac:dyDescent="0.3">
      <c r="A235" t="str">
        <f t="shared" si="6"/>
        <v>PUR0234</v>
      </c>
      <c r="B235" s="1">
        <f t="shared" ca="1" si="7"/>
        <v>45659</v>
      </c>
      <c r="C235" t="str" cm="1">
        <f t="array" aca="1" ref="C235" ca="1">INDEX(Master_Product!$A$2:$A$101,RANDBETWEEN(1,100))</f>
        <v>PRD003</v>
      </c>
      <c r="D235" t="str">
        <f ca="1">_xlfn.XLOOKUP(C235,Master_Product!A:A,Master_Product!D:D)</f>
        <v>SUP020</v>
      </c>
      <c r="E235" t="str">
        <f ca="1">_xlfn.XLOOKUP(C235,Master_Product!A:A,Master_Product!B:B)</f>
        <v>Arabica Toraja</v>
      </c>
      <c r="F235" t="str">
        <f ca="1">_xlfn.XLOOKUP(C236,Master_Product!A:A,Master_Product!C:C)</f>
        <v>CAT008</v>
      </c>
      <c r="G235" t="str">
        <f ca="1">VLOOKUP(F235,Master_Category!A:B,2,FALSE)</f>
        <v>Snack</v>
      </c>
      <c r="H235" t="str">
        <f ca="1">_xlfn.XLOOKUP(D235,Master_Supplier!A:A,Master_Supplier!B:B)</f>
        <v>PT Clean Solution</v>
      </c>
      <c r="I235" t="str">
        <f ca="1">_xlfn.XLOOKUP(D235,Master_Supplier!A:A,Master_Supplier!E:E)</f>
        <v>Yogyakarta</v>
      </c>
      <c r="J235">
        <f ca="1">_xlfn.XLOOKUP(C235,Master_Product!A:A,Master_Product!E:E)</f>
        <v>43652</v>
      </c>
      <c r="K235">
        <v>80</v>
      </c>
      <c r="L235">
        <f ca="1">Table_StockIn[[#This Row],[buy_price]]*Table_StockIn[[#This Row],[quantity]]</f>
        <v>3492160</v>
      </c>
    </row>
    <row r="236" spans="1:12" x14ac:dyDescent="0.3">
      <c r="A236" t="str">
        <f t="shared" si="6"/>
        <v>PUR0235</v>
      </c>
      <c r="B236" s="1">
        <f t="shared" ca="1" si="7"/>
        <v>45708</v>
      </c>
      <c r="C236" t="str" cm="1">
        <f t="array" aca="1" ref="C236" ca="1">INDEX(Master_Product!$A$2:$A$101,RANDBETWEEN(1,100))</f>
        <v>PRD030</v>
      </c>
      <c r="D236" t="str">
        <f ca="1">_xlfn.XLOOKUP(C236,Master_Product!A:A,Master_Product!D:D)</f>
        <v>SUP010</v>
      </c>
      <c r="E236" t="str">
        <f ca="1">_xlfn.XLOOKUP(C236,Master_Product!A:A,Master_Product!B:B)</f>
        <v>Muffin</v>
      </c>
      <c r="F236" t="str">
        <f ca="1">_xlfn.XLOOKUP(C237,Master_Product!A:A,Master_Product!C:C)</f>
        <v>CAT006</v>
      </c>
      <c r="G236" t="str">
        <f ca="1">VLOOKUP(F236,Master_Category!A:B,2,FALSE)</f>
        <v>Topping</v>
      </c>
      <c r="H236" t="str">
        <f ca="1">_xlfn.XLOOKUP(D236,Master_Supplier!A:A,Master_Supplier!B:B)</f>
        <v>PT Gula Manis</v>
      </c>
      <c r="I236" t="str">
        <f ca="1">_xlfn.XLOOKUP(D236,Master_Supplier!A:A,Master_Supplier!E:E)</f>
        <v>Malang</v>
      </c>
      <c r="J236">
        <f ca="1">_xlfn.XLOOKUP(C236,Master_Product!A:A,Master_Product!E:E)</f>
        <v>22987</v>
      </c>
      <c r="K236">
        <v>40</v>
      </c>
      <c r="L236">
        <f ca="1">Table_StockIn[[#This Row],[buy_price]]*Table_StockIn[[#This Row],[quantity]]</f>
        <v>919480</v>
      </c>
    </row>
    <row r="237" spans="1:12" x14ac:dyDescent="0.3">
      <c r="A237" t="str">
        <f t="shared" si="6"/>
        <v>PUR0236</v>
      </c>
      <c r="B237" s="1">
        <f t="shared" ca="1" si="7"/>
        <v>45923</v>
      </c>
      <c r="C237" t="str" cm="1">
        <f t="array" aca="1" ref="C237" ca="1">INDEX(Master_Product!$A$2:$A$101,RANDBETWEEN(1,100))</f>
        <v>PRD067</v>
      </c>
      <c r="D237" t="str">
        <f ca="1">_xlfn.XLOOKUP(C237,Master_Product!A:A,Master_Product!D:D)</f>
        <v>SUP016</v>
      </c>
      <c r="E237" t="str">
        <f ca="1">_xlfn.XLOOKUP(C237,Master_Product!A:A,Master_Product!B:B)</f>
        <v>Est Product</v>
      </c>
      <c r="F237" t="str">
        <f ca="1">_xlfn.XLOOKUP(C238,Master_Product!A:A,Master_Product!C:C)</f>
        <v>CAT007</v>
      </c>
      <c r="G237" t="str">
        <f ca="1">VLOOKUP(F237,Master_Category!A:B,2,FALSE)</f>
        <v>Cup &amp; Packaging</v>
      </c>
      <c r="H237" t="str">
        <f ca="1">_xlfn.XLOOKUP(D237,Master_Supplier!A:A,Master_Supplier!B:B)</f>
        <v>PT Espresso Supply</v>
      </c>
      <c r="I237" t="str">
        <f ca="1">_xlfn.XLOOKUP(D237,Master_Supplier!A:A,Master_Supplier!E:E)</f>
        <v>Depok</v>
      </c>
      <c r="J237">
        <f ca="1">_xlfn.XLOOKUP(C237,Master_Product!A:A,Master_Product!E:E)</f>
        <v>49791</v>
      </c>
      <c r="K237">
        <v>20</v>
      </c>
      <c r="L237">
        <f ca="1">Table_StockIn[[#This Row],[buy_price]]*Table_StockIn[[#This Row],[quantity]]</f>
        <v>995820</v>
      </c>
    </row>
    <row r="238" spans="1:12" x14ac:dyDescent="0.3">
      <c r="A238" t="str">
        <f t="shared" si="6"/>
        <v>PUR0237</v>
      </c>
      <c r="B238" s="1">
        <f t="shared" ca="1" si="7"/>
        <v>45803</v>
      </c>
      <c r="C238" t="str" cm="1">
        <f t="array" aca="1" ref="C238" ca="1">INDEX(Master_Product!$A$2:$A$101,RANDBETWEEN(1,100))</f>
        <v>PRD025</v>
      </c>
      <c r="D238" t="str">
        <f ca="1">_xlfn.XLOOKUP(C238,Master_Product!A:A,Master_Product!D:D)</f>
        <v>SUP014</v>
      </c>
      <c r="E238" t="str">
        <f ca="1">_xlfn.XLOOKUP(C238,Master_Product!A:A,Master_Product!B:B)</f>
        <v>Paper Bag</v>
      </c>
      <c r="F238" t="str">
        <f ca="1">_xlfn.XLOOKUP(C239,Master_Product!A:A,Master_Product!C:C)</f>
        <v>CAT002</v>
      </c>
      <c r="G238" t="str">
        <f ca="1">VLOOKUP(F238,Master_Category!A:B,2,FALSE)</f>
        <v>Tea</v>
      </c>
      <c r="H238" t="str">
        <f ca="1">_xlfn.XLOOKUP(D238,Master_Supplier!A:A,Master_Supplier!B:B)</f>
        <v>PT Food Ingredients</v>
      </c>
      <c r="I238" t="str">
        <f ca="1">_xlfn.XLOOKUP(D238,Master_Supplier!A:A,Master_Supplier!E:E)</f>
        <v>Bandung</v>
      </c>
      <c r="J238">
        <f ca="1">_xlfn.XLOOKUP(C238,Master_Product!A:A,Master_Product!E:E)</f>
        <v>40665</v>
      </c>
      <c r="K238">
        <v>50</v>
      </c>
      <c r="L238">
        <f ca="1">Table_StockIn[[#This Row],[buy_price]]*Table_StockIn[[#This Row],[quantity]]</f>
        <v>2033250</v>
      </c>
    </row>
    <row r="239" spans="1:12" x14ac:dyDescent="0.3">
      <c r="A239" t="str">
        <f t="shared" si="6"/>
        <v>PUR0238</v>
      </c>
      <c r="B239" s="1">
        <f t="shared" ca="1" si="7"/>
        <v>45835</v>
      </c>
      <c r="C239" t="str" cm="1">
        <f t="array" aca="1" ref="C239" ca="1">INDEX(Master_Product!$A$2:$A$101,RANDBETWEEN(1,100))</f>
        <v>PRD057</v>
      </c>
      <c r="D239" t="str">
        <f ca="1">_xlfn.XLOOKUP(C239,Master_Product!A:A,Master_Product!D:D)</f>
        <v>SUP010</v>
      </c>
      <c r="E239" t="str">
        <f ca="1">_xlfn.XLOOKUP(C239,Master_Product!A:A,Master_Product!B:B)</f>
        <v>Vitae Product</v>
      </c>
      <c r="F239" t="str">
        <f ca="1">_xlfn.XLOOKUP(C240,Master_Product!A:A,Master_Product!C:C)</f>
        <v>CAT004</v>
      </c>
      <c r="G239" t="str">
        <f ca="1">VLOOKUP(F239,Master_Category!A:B,2,FALSE)</f>
        <v>Syrup</v>
      </c>
      <c r="H239" t="str">
        <f ca="1">_xlfn.XLOOKUP(D239,Master_Supplier!A:A,Master_Supplier!B:B)</f>
        <v>PT Gula Manis</v>
      </c>
      <c r="I239" t="str">
        <f ca="1">_xlfn.XLOOKUP(D239,Master_Supplier!A:A,Master_Supplier!E:E)</f>
        <v>Malang</v>
      </c>
      <c r="J239">
        <f ca="1">_xlfn.XLOOKUP(C239,Master_Product!A:A,Master_Product!E:E)</f>
        <v>52696</v>
      </c>
      <c r="K239">
        <v>30</v>
      </c>
      <c r="L239">
        <f ca="1">Table_StockIn[[#This Row],[buy_price]]*Table_StockIn[[#This Row],[quantity]]</f>
        <v>1580880</v>
      </c>
    </row>
    <row r="240" spans="1:12" x14ac:dyDescent="0.3">
      <c r="A240" t="str">
        <f t="shared" si="6"/>
        <v>PUR0239</v>
      </c>
      <c r="B240" s="1">
        <f t="shared" ca="1" si="7"/>
        <v>45709</v>
      </c>
      <c r="C240" t="str" cm="1">
        <f t="array" aca="1" ref="C240" ca="1">INDEX(Master_Product!$A$2:$A$101,RANDBETWEEN(1,100))</f>
        <v>PRD012</v>
      </c>
      <c r="D240" t="str">
        <f ca="1">_xlfn.XLOOKUP(C240,Master_Product!A:A,Master_Product!D:D)</f>
        <v>SUP024</v>
      </c>
      <c r="E240" t="str">
        <f ca="1">_xlfn.XLOOKUP(C240,Master_Product!A:A,Master_Product!B:B)</f>
        <v>Hazelnut Syrup</v>
      </c>
      <c r="F240" t="str">
        <f ca="1">_xlfn.XLOOKUP(C241,Master_Product!A:A,Master_Product!C:C)</f>
        <v>CAT009</v>
      </c>
      <c r="G240" t="str">
        <f ca="1">VLOOKUP(F240,Master_Category!A:B,2,FALSE)</f>
        <v>Machine Supply</v>
      </c>
      <c r="H240" t="str">
        <f ca="1">_xlfn.XLOOKUP(D240,Master_Supplier!A:A,Master_Supplier!B:B)</f>
        <v>PT Coffee Chemical</v>
      </c>
      <c r="I240" t="str">
        <f ca="1">_xlfn.XLOOKUP(D240,Master_Supplier!A:A,Master_Supplier!E:E)</f>
        <v>Depok</v>
      </c>
      <c r="J240">
        <f ca="1">_xlfn.XLOOKUP(C240,Master_Product!A:A,Master_Product!E:E)</f>
        <v>60435</v>
      </c>
      <c r="K240">
        <v>20</v>
      </c>
      <c r="L240">
        <f ca="1">Table_StockIn[[#This Row],[buy_price]]*Table_StockIn[[#This Row],[quantity]]</f>
        <v>1208700</v>
      </c>
    </row>
    <row r="241" spans="1:12" x14ac:dyDescent="0.3">
      <c r="A241" t="str">
        <f t="shared" si="6"/>
        <v>PUR0240</v>
      </c>
      <c r="B241" s="1">
        <f t="shared" ca="1" si="7"/>
        <v>46013</v>
      </c>
      <c r="C241" t="str" cm="1">
        <f t="array" aca="1" ref="C241" ca="1">INDEX(Master_Product!$A$2:$A$101,RANDBETWEEN(1,100))</f>
        <v>PRD092</v>
      </c>
      <c r="D241" t="str">
        <f ca="1">_xlfn.XLOOKUP(C241,Master_Product!A:A,Master_Product!D:D)</f>
        <v>SUP029</v>
      </c>
      <c r="E241" t="str">
        <f ca="1">_xlfn.XLOOKUP(C241,Master_Product!A:A,Master_Product!B:B)</f>
        <v>Corporis Product</v>
      </c>
      <c r="F241" t="str">
        <f ca="1">_xlfn.XLOOKUP(C242,Master_Product!A:A,Master_Product!C:C)</f>
        <v>CAT002</v>
      </c>
      <c r="G241" t="str">
        <f ca="1">VLOOKUP(F241,Master_Category!A:B,2,FALSE)</f>
        <v>Tea</v>
      </c>
      <c r="H241" t="e">
        <f ca="1">_xlfn.XLOOKUP(D241,Master_Supplier!A:A,Master_Supplier!B:B)</f>
        <v>#N/A</v>
      </c>
      <c r="I241" t="e">
        <f ca="1">_xlfn.XLOOKUP(D241,Master_Supplier!A:A,Master_Supplier!E:E)</f>
        <v>#N/A</v>
      </c>
      <c r="J241">
        <f ca="1">_xlfn.XLOOKUP(C241,Master_Product!A:A,Master_Product!E:E)</f>
        <v>13232</v>
      </c>
      <c r="K241">
        <v>80</v>
      </c>
      <c r="L241">
        <f ca="1">Table_StockIn[[#This Row],[buy_price]]*Table_StockIn[[#This Row],[quantity]]</f>
        <v>1058560</v>
      </c>
    </row>
    <row r="242" spans="1:12" x14ac:dyDescent="0.3">
      <c r="A242" t="str">
        <f t="shared" si="6"/>
        <v>PUR0241</v>
      </c>
      <c r="B242" s="1">
        <f t="shared" ca="1" si="7"/>
        <v>45701</v>
      </c>
      <c r="C242" t="str" cm="1">
        <f t="array" aca="1" ref="C242" ca="1">INDEX(Master_Product!$A$2:$A$101,RANDBETWEEN(1,100))</f>
        <v>PRD082</v>
      </c>
      <c r="D242" t="str">
        <f ca="1">_xlfn.XLOOKUP(C242,Master_Product!A:A,Master_Product!D:D)</f>
        <v>SUP008</v>
      </c>
      <c r="E242" t="str">
        <f ca="1">_xlfn.XLOOKUP(C242,Master_Product!A:A,Master_Product!B:B)</f>
        <v>Cum Product</v>
      </c>
      <c r="F242" t="str">
        <f ca="1">_xlfn.XLOOKUP(C243,Master_Product!A:A,Master_Product!C:C)</f>
        <v>CAT004</v>
      </c>
      <c r="G242" t="str">
        <f ca="1">VLOOKUP(F242,Master_Category!A:B,2,FALSE)</f>
        <v>Syrup</v>
      </c>
      <c r="H242" t="str">
        <f ca="1">_xlfn.XLOOKUP(D242,Master_Supplier!A:A,Master_Supplier!B:B)</f>
        <v>PT Packaging Solution</v>
      </c>
      <c r="I242" t="str">
        <f ca="1">_xlfn.XLOOKUP(D242,Master_Supplier!A:A,Master_Supplier!E:E)</f>
        <v>Yogyakarta</v>
      </c>
      <c r="J242">
        <f ca="1">_xlfn.XLOOKUP(C242,Master_Product!A:A,Master_Product!E:E)</f>
        <v>17021</v>
      </c>
      <c r="K242">
        <v>20</v>
      </c>
      <c r="L242">
        <f ca="1">Table_StockIn[[#This Row],[buy_price]]*Table_StockIn[[#This Row],[quantity]]</f>
        <v>340420</v>
      </c>
    </row>
    <row r="243" spans="1:12" x14ac:dyDescent="0.3">
      <c r="A243" t="str">
        <f t="shared" si="6"/>
        <v>PUR0242</v>
      </c>
      <c r="B243" s="1">
        <f t="shared" ca="1" si="7"/>
        <v>45672</v>
      </c>
      <c r="C243" t="str" cm="1">
        <f t="array" aca="1" ref="C243" ca="1">INDEX(Master_Product!$A$2:$A$101,RANDBETWEEN(1,100))</f>
        <v>PRD060</v>
      </c>
      <c r="D243" t="str">
        <f ca="1">_xlfn.XLOOKUP(C243,Master_Product!A:A,Master_Product!D:D)</f>
        <v>SUP028</v>
      </c>
      <c r="E243" t="str">
        <f ca="1">_xlfn.XLOOKUP(C243,Master_Product!A:A,Master_Product!B:B)</f>
        <v>Voluptatum Product</v>
      </c>
      <c r="F243" t="str">
        <f ca="1">_xlfn.XLOOKUP(C244,Master_Product!A:A,Master_Product!C:C)</f>
        <v>CAT001</v>
      </c>
      <c r="G243" t="str">
        <f ca="1">VLOOKUP(F243,Master_Category!A:B,2,FALSE)</f>
        <v>Coffee Bean</v>
      </c>
      <c r="H243" t="str">
        <f ca="1">_xlfn.XLOOKUP(D243,Master_Supplier!A:A,Master_Supplier!B:B)</f>
        <v>PT Beverage Nusantara</v>
      </c>
      <c r="I243" t="str">
        <f ca="1">_xlfn.XLOOKUP(D243,Master_Supplier!A:A,Master_Supplier!E:E)</f>
        <v>Jakarta</v>
      </c>
      <c r="J243">
        <f ca="1">_xlfn.XLOOKUP(C243,Master_Product!A:A,Master_Product!E:E)</f>
        <v>42243</v>
      </c>
      <c r="K243">
        <v>50</v>
      </c>
      <c r="L243">
        <f ca="1">Table_StockIn[[#This Row],[buy_price]]*Table_StockIn[[#This Row],[quantity]]</f>
        <v>2112150</v>
      </c>
    </row>
    <row r="244" spans="1:12" x14ac:dyDescent="0.3">
      <c r="A244" t="str">
        <f t="shared" si="6"/>
        <v>PUR0243</v>
      </c>
      <c r="B244" s="1">
        <f t="shared" ca="1" si="7"/>
        <v>45925</v>
      </c>
      <c r="C244" t="str" cm="1">
        <f t="array" aca="1" ref="C244" ca="1">INDEX(Master_Product!$A$2:$A$101,RANDBETWEEN(1,100))</f>
        <v>PRD095</v>
      </c>
      <c r="D244" t="str">
        <f ca="1">_xlfn.XLOOKUP(C244,Master_Product!A:A,Master_Product!D:D)</f>
        <v>SUP022</v>
      </c>
      <c r="E244" t="str">
        <f ca="1">_xlfn.XLOOKUP(C244,Master_Product!A:A,Master_Product!B:B)</f>
        <v>In Product</v>
      </c>
      <c r="F244" t="str">
        <f ca="1">_xlfn.XLOOKUP(C245,Master_Product!A:A,Master_Product!C:C)</f>
        <v>CAT004</v>
      </c>
      <c r="G244" t="str">
        <f ca="1">VLOOKUP(F244,Master_Category!A:B,2,FALSE)</f>
        <v>Syrup</v>
      </c>
      <c r="H244" t="str">
        <f ca="1">_xlfn.XLOOKUP(D244,Master_Supplier!A:A,Master_Supplier!B:B)</f>
        <v>CV Biji Nusantara</v>
      </c>
      <c r="I244" t="str">
        <f ca="1">_xlfn.XLOOKUP(D244,Master_Supplier!A:A,Master_Supplier!E:E)</f>
        <v>Yogyakarta</v>
      </c>
      <c r="J244">
        <f ca="1">_xlfn.XLOOKUP(C244,Master_Product!A:A,Master_Product!E:E)</f>
        <v>79798</v>
      </c>
      <c r="K244">
        <v>20</v>
      </c>
      <c r="L244">
        <f ca="1">Table_StockIn[[#This Row],[buy_price]]*Table_StockIn[[#This Row],[quantity]]</f>
        <v>1595960</v>
      </c>
    </row>
    <row r="245" spans="1:12" x14ac:dyDescent="0.3">
      <c r="A245" t="str">
        <f t="shared" si="6"/>
        <v>PUR0244</v>
      </c>
      <c r="B245" s="1">
        <f t="shared" ca="1" si="7"/>
        <v>45775</v>
      </c>
      <c r="C245" t="str" cm="1">
        <f t="array" aca="1" ref="C245" ca="1">INDEX(Master_Product!$A$2:$A$101,RANDBETWEEN(1,100))</f>
        <v>PRD090</v>
      </c>
      <c r="D245" t="str">
        <f ca="1">_xlfn.XLOOKUP(C245,Master_Product!A:A,Master_Product!D:D)</f>
        <v>SUP008</v>
      </c>
      <c r="E245" t="str">
        <f ca="1">_xlfn.XLOOKUP(C245,Master_Product!A:A,Master_Product!B:B)</f>
        <v>Esse Product</v>
      </c>
      <c r="F245" t="str">
        <f ca="1">_xlfn.XLOOKUP(C246,Master_Product!A:A,Master_Product!C:C)</f>
        <v>CAT009</v>
      </c>
      <c r="G245" t="str">
        <f ca="1">VLOOKUP(F245,Master_Category!A:B,2,FALSE)</f>
        <v>Machine Supply</v>
      </c>
      <c r="H245" t="str">
        <f ca="1">_xlfn.XLOOKUP(D245,Master_Supplier!A:A,Master_Supplier!B:B)</f>
        <v>PT Packaging Solution</v>
      </c>
      <c r="I245" t="str">
        <f ca="1">_xlfn.XLOOKUP(D245,Master_Supplier!A:A,Master_Supplier!E:E)</f>
        <v>Yogyakarta</v>
      </c>
      <c r="J245">
        <f ca="1">_xlfn.XLOOKUP(C245,Master_Product!A:A,Master_Product!E:E)</f>
        <v>19573</v>
      </c>
      <c r="K245">
        <v>80</v>
      </c>
      <c r="L245">
        <f ca="1">Table_StockIn[[#This Row],[buy_price]]*Table_StockIn[[#This Row],[quantity]]</f>
        <v>1565840</v>
      </c>
    </row>
    <row r="246" spans="1:12" x14ac:dyDescent="0.3">
      <c r="A246" t="str">
        <f t="shared" si="6"/>
        <v>PUR0245</v>
      </c>
      <c r="B246" s="1">
        <f t="shared" ca="1" si="7"/>
        <v>45716</v>
      </c>
      <c r="C246" t="str" cm="1">
        <f t="array" aca="1" ref="C246" ca="1">INDEX(Master_Product!$A$2:$A$101,RANDBETWEEN(1,100))</f>
        <v>PRD061</v>
      </c>
      <c r="D246" t="str">
        <f ca="1">_xlfn.XLOOKUP(C246,Master_Product!A:A,Master_Product!D:D)</f>
        <v>SUP022</v>
      </c>
      <c r="E246" t="str">
        <f ca="1">_xlfn.XLOOKUP(C246,Master_Product!A:A,Master_Product!B:B)</f>
        <v>Numquam Product</v>
      </c>
      <c r="F246" t="str">
        <f ca="1">_xlfn.XLOOKUP(C247,Master_Product!A:A,Master_Product!C:C)</f>
        <v>CAT009</v>
      </c>
      <c r="G246" t="str">
        <f ca="1">VLOOKUP(F246,Master_Category!A:B,2,FALSE)</f>
        <v>Machine Supply</v>
      </c>
      <c r="H246" t="str">
        <f ca="1">_xlfn.XLOOKUP(D246,Master_Supplier!A:A,Master_Supplier!B:B)</f>
        <v>CV Biji Nusantara</v>
      </c>
      <c r="I246" t="str">
        <f ca="1">_xlfn.XLOOKUP(D246,Master_Supplier!A:A,Master_Supplier!E:E)</f>
        <v>Yogyakarta</v>
      </c>
      <c r="J246">
        <f ca="1">_xlfn.XLOOKUP(C246,Master_Product!A:A,Master_Product!E:E)</f>
        <v>48694</v>
      </c>
      <c r="K246">
        <v>30</v>
      </c>
      <c r="L246">
        <f ca="1">Table_StockIn[[#This Row],[buy_price]]*Table_StockIn[[#This Row],[quantity]]</f>
        <v>1460820</v>
      </c>
    </row>
    <row r="247" spans="1:12" x14ac:dyDescent="0.3">
      <c r="A247" t="str">
        <f t="shared" si="6"/>
        <v>PUR0246</v>
      </c>
      <c r="B247" s="1">
        <f t="shared" ca="1" si="7"/>
        <v>45728</v>
      </c>
      <c r="C247" t="str" cm="1">
        <f t="array" aca="1" ref="C247" ca="1">INDEX(Master_Product!$A$2:$A$101,RANDBETWEEN(1,100))</f>
        <v>PRD061</v>
      </c>
      <c r="D247" t="str">
        <f ca="1">_xlfn.XLOOKUP(C247,Master_Product!A:A,Master_Product!D:D)</f>
        <v>SUP022</v>
      </c>
      <c r="E247" t="str">
        <f ca="1">_xlfn.XLOOKUP(C247,Master_Product!A:A,Master_Product!B:B)</f>
        <v>Numquam Product</v>
      </c>
      <c r="F247" t="str">
        <f ca="1">_xlfn.XLOOKUP(C248,Master_Product!A:A,Master_Product!C:C)</f>
        <v>CAT005</v>
      </c>
      <c r="G247" t="str">
        <f ca="1">VLOOKUP(F247,Master_Category!A:B,2,FALSE)</f>
        <v>Powder</v>
      </c>
      <c r="H247" t="str">
        <f ca="1">_xlfn.XLOOKUP(D247,Master_Supplier!A:A,Master_Supplier!B:B)</f>
        <v>CV Biji Nusantara</v>
      </c>
      <c r="I247" t="str">
        <f ca="1">_xlfn.XLOOKUP(D247,Master_Supplier!A:A,Master_Supplier!E:E)</f>
        <v>Yogyakarta</v>
      </c>
      <c r="J247">
        <f ca="1">_xlfn.XLOOKUP(C247,Master_Product!A:A,Master_Product!E:E)</f>
        <v>48694</v>
      </c>
      <c r="K247">
        <v>20</v>
      </c>
      <c r="L247">
        <f ca="1">Table_StockIn[[#This Row],[buy_price]]*Table_StockIn[[#This Row],[quantity]]</f>
        <v>973880</v>
      </c>
    </row>
    <row r="248" spans="1:12" x14ac:dyDescent="0.3">
      <c r="A248" t="str">
        <f t="shared" si="6"/>
        <v>PUR0247</v>
      </c>
      <c r="B248" s="1">
        <f t="shared" ca="1" si="7"/>
        <v>45731</v>
      </c>
      <c r="C248" t="str" cm="1">
        <f t="array" aca="1" ref="C248" ca="1">INDEX(Master_Product!$A$2:$A$101,RANDBETWEEN(1,100))</f>
        <v>PRD042</v>
      </c>
      <c r="D248" t="str">
        <f ca="1">_xlfn.XLOOKUP(C248,Master_Product!A:A,Master_Product!D:D)</f>
        <v>SUP027</v>
      </c>
      <c r="E248" t="str">
        <f ca="1">_xlfn.XLOOKUP(C248,Master_Product!A:A,Master_Product!B:B)</f>
        <v>Ipsam Product</v>
      </c>
      <c r="F248" t="str">
        <f ca="1">_xlfn.XLOOKUP(C249,Master_Product!A:A,Master_Product!C:C)</f>
        <v>CAT006</v>
      </c>
      <c r="G248" t="str">
        <f ca="1">VLOOKUP(F248,Master_Category!A:B,2,FALSE)</f>
        <v>Topping</v>
      </c>
      <c r="H248" t="str">
        <f ca="1">_xlfn.XLOOKUP(D248,Master_Supplier!A:A,Master_Supplier!B:B)</f>
        <v>CV Premium Supplier</v>
      </c>
      <c r="I248" t="str">
        <f ca="1">_xlfn.XLOOKUP(D248,Master_Supplier!A:A,Master_Supplier!E:E)</f>
        <v>Bekasi</v>
      </c>
      <c r="J248">
        <f ca="1">_xlfn.XLOOKUP(C248,Master_Product!A:A,Master_Product!E:E)</f>
        <v>50793</v>
      </c>
      <c r="K248">
        <v>20</v>
      </c>
      <c r="L248">
        <f ca="1">Table_StockIn[[#This Row],[buy_price]]*Table_StockIn[[#This Row],[quantity]]</f>
        <v>1015860</v>
      </c>
    </row>
    <row r="249" spans="1:12" x14ac:dyDescent="0.3">
      <c r="A249" t="str">
        <f t="shared" si="6"/>
        <v>PUR0248</v>
      </c>
      <c r="B249" s="1">
        <f t="shared" ca="1" si="7"/>
        <v>45863</v>
      </c>
      <c r="C249" t="str" cm="1">
        <f t="array" aca="1" ref="C249" ca="1">INDEX(Master_Product!$A$2:$A$101,RANDBETWEEN(1,100))</f>
        <v>PRD021</v>
      </c>
      <c r="D249" t="str">
        <f ca="1">_xlfn.XLOOKUP(C249,Master_Product!A:A,Master_Product!D:D)</f>
        <v>SUP007</v>
      </c>
      <c r="E249" t="str">
        <f ca="1">_xlfn.XLOOKUP(C249,Master_Product!A:A,Master_Product!B:B)</f>
        <v>Whipping Cream</v>
      </c>
      <c r="F249" t="str">
        <f ca="1">_xlfn.XLOOKUP(C250,Master_Product!A:A,Master_Product!C:C)</f>
        <v>CAT008</v>
      </c>
      <c r="G249" t="str">
        <f ca="1">VLOOKUP(F249,Master_Category!A:B,2,FALSE)</f>
        <v>Snack</v>
      </c>
      <c r="H249" t="e">
        <f ca="1">_xlfn.XLOOKUP(D249,Master_Supplier!A:A,Master_Supplier!B:B)</f>
        <v>#N/A</v>
      </c>
      <c r="I249" t="e">
        <f ca="1">_xlfn.XLOOKUP(D249,Master_Supplier!A:A,Master_Supplier!E:E)</f>
        <v>#N/A</v>
      </c>
      <c r="J249">
        <f ca="1">_xlfn.XLOOKUP(C249,Master_Product!A:A,Master_Product!E:E)</f>
        <v>17026</v>
      </c>
      <c r="K249">
        <v>20</v>
      </c>
      <c r="L249">
        <f ca="1">Table_StockIn[[#This Row],[buy_price]]*Table_StockIn[[#This Row],[quantity]]</f>
        <v>340520</v>
      </c>
    </row>
    <row r="250" spans="1:12" x14ac:dyDescent="0.3">
      <c r="A250" t="str">
        <f t="shared" si="6"/>
        <v>PUR0249</v>
      </c>
      <c r="B250" s="1">
        <f t="shared" ca="1" si="7"/>
        <v>45830</v>
      </c>
      <c r="C250" t="str" cm="1">
        <f t="array" aca="1" ref="C250" ca="1">INDEX(Master_Product!$A$2:$A$101,RANDBETWEEN(1,100))</f>
        <v>PRD030</v>
      </c>
      <c r="D250" t="str">
        <f ca="1">_xlfn.XLOOKUP(C250,Master_Product!A:A,Master_Product!D:D)</f>
        <v>SUP010</v>
      </c>
      <c r="E250" t="str">
        <f ca="1">_xlfn.XLOOKUP(C250,Master_Product!A:A,Master_Product!B:B)</f>
        <v>Muffin</v>
      </c>
      <c r="F250" t="str">
        <f ca="1">_xlfn.XLOOKUP(C251,Master_Product!A:A,Master_Product!C:C)</f>
        <v>CAT001</v>
      </c>
      <c r="G250" t="str">
        <f ca="1">VLOOKUP(F250,Master_Category!A:B,2,FALSE)</f>
        <v>Coffee Bean</v>
      </c>
      <c r="H250" t="str">
        <f ca="1">_xlfn.XLOOKUP(D250,Master_Supplier!A:A,Master_Supplier!B:B)</f>
        <v>PT Gula Manis</v>
      </c>
      <c r="I250" t="str">
        <f ca="1">_xlfn.XLOOKUP(D250,Master_Supplier!A:A,Master_Supplier!E:E)</f>
        <v>Malang</v>
      </c>
      <c r="J250">
        <f ca="1">_xlfn.XLOOKUP(C250,Master_Product!A:A,Master_Product!E:E)</f>
        <v>22987</v>
      </c>
      <c r="K250">
        <v>40</v>
      </c>
      <c r="L250">
        <f ca="1">Table_StockIn[[#This Row],[buy_price]]*Table_StockIn[[#This Row],[quantity]]</f>
        <v>919480</v>
      </c>
    </row>
    <row r="251" spans="1:12" x14ac:dyDescent="0.3">
      <c r="A251" t="str">
        <f t="shared" si="6"/>
        <v>PUR0250</v>
      </c>
      <c r="B251" s="1">
        <f t="shared" ca="1" si="7"/>
        <v>45783</v>
      </c>
      <c r="C251" t="str" cm="1">
        <f t="array" aca="1" ref="C251" ca="1">INDEX(Master_Product!$A$2:$A$101,RANDBETWEEN(1,100))</f>
        <v>PRD075</v>
      </c>
      <c r="D251" t="str">
        <f ca="1">_xlfn.XLOOKUP(C251,Master_Product!A:A,Master_Product!D:D)</f>
        <v>SUP019</v>
      </c>
      <c r="E251" t="str">
        <f ca="1">_xlfn.XLOOKUP(C251,Master_Product!A:A,Master_Product!B:B)</f>
        <v>Officia Product</v>
      </c>
      <c r="F251" t="str">
        <f ca="1">_xlfn.XLOOKUP(C252,Master_Product!A:A,Master_Product!C:C)</f>
        <v>CAT005</v>
      </c>
      <c r="G251" t="str">
        <f ca="1">VLOOKUP(F251,Master_Category!A:B,2,FALSE)</f>
        <v>Powder</v>
      </c>
      <c r="H251" t="str">
        <f ca="1">_xlfn.XLOOKUP(D251,Master_Supplier!A:A,Master_Supplier!B:B)</f>
        <v>PT Indo Beverage</v>
      </c>
      <c r="I251" t="str">
        <f ca="1">_xlfn.XLOOKUP(D251,Master_Supplier!A:A,Master_Supplier!E:E)</f>
        <v>Jakarta</v>
      </c>
      <c r="J251">
        <f ca="1">_xlfn.XLOOKUP(C251,Master_Product!A:A,Master_Product!E:E)</f>
        <v>30430</v>
      </c>
      <c r="K251">
        <v>20</v>
      </c>
      <c r="L251">
        <f ca="1">Table_StockIn[[#This Row],[buy_price]]*Table_StockIn[[#This Row],[quantity]]</f>
        <v>608600</v>
      </c>
    </row>
    <row r="252" spans="1:12" x14ac:dyDescent="0.3">
      <c r="A252" t="str">
        <f t="shared" si="6"/>
        <v>PUR0251</v>
      </c>
      <c r="B252" s="1">
        <f t="shared" ca="1" si="7"/>
        <v>45664</v>
      </c>
      <c r="C252" t="str" cm="1">
        <f t="array" aca="1" ref="C252" ca="1">INDEX(Master_Product!$A$2:$A$101,RANDBETWEEN(1,100))</f>
        <v>PRD094</v>
      </c>
      <c r="D252" t="str">
        <f ca="1">_xlfn.XLOOKUP(C252,Master_Product!A:A,Master_Product!D:D)</f>
        <v>SUP020</v>
      </c>
      <c r="E252" t="str">
        <f ca="1">_xlfn.XLOOKUP(C252,Master_Product!A:A,Master_Product!B:B)</f>
        <v>Expedita Product</v>
      </c>
      <c r="F252" t="str">
        <f ca="1">_xlfn.XLOOKUP(C253,Master_Product!A:A,Master_Product!C:C)</f>
        <v>CAT007</v>
      </c>
      <c r="G252" t="str">
        <f ca="1">VLOOKUP(F252,Master_Category!A:B,2,FALSE)</f>
        <v>Cup &amp; Packaging</v>
      </c>
      <c r="H252" t="str">
        <f ca="1">_xlfn.XLOOKUP(D252,Master_Supplier!A:A,Master_Supplier!B:B)</f>
        <v>PT Clean Solution</v>
      </c>
      <c r="I252" t="str">
        <f ca="1">_xlfn.XLOOKUP(D252,Master_Supplier!A:A,Master_Supplier!E:E)</f>
        <v>Yogyakarta</v>
      </c>
      <c r="J252">
        <f ca="1">_xlfn.XLOOKUP(C252,Master_Product!A:A,Master_Product!E:E)</f>
        <v>43177</v>
      </c>
      <c r="K252">
        <v>100</v>
      </c>
      <c r="L252">
        <f ca="1">Table_StockIn[[#This Row],[buy_price]]*Table_StockIn[[#This Row],[quantity]]</f>
        <v>4317700</v>
      </c>
    </row>
    <row r="253" spans="1:12" x14ac:dyDescent="0.3">
      <c r="A253" t="str">
        <f t="shared" si="6"/>
        <v>PUR0252</v>
      </c>
      <c r="B253" s="1">
        <f t="shared" ca="1" si="7"/>
        <v>45757</v>
      </c>
      <c r="C253" t="str" cm="1">
        <f t="array" aca="1" ref="C253" ca="1">INDEX(Master_Product!$A$2:$A$101,RANDBETWEEN(1,100))</f>
        <v>PRD024</v>
      </c>
      <c r="D253" t="str">
        <f ca="1">_xlfn.XLOOKUP(C253,Master_Product!A:A,Master_Product!D:D)</f>
        <v>SUP002</v>
      </c>
      <c r="E253" t="str">
        <f ca="1">_xlfn.XLOOKUP(C253,Master_Product!A:A,Master_Product!B:B)</f>
        <v>Cup 16 oz</v>
      </c>
      <c r="F253" t="str">
        <f ca="1">_xlfn.XLOOKUP(C254,Master_Product!A:A,Master_Product!C:C)</f>
        <v>CAT002</v>
      </c>
      <c r="G253" t="str">
        <f ca="1">VLOOKUP(F253,Master_Category!A:B,2,FALSE)</f>
        <v>Tea</v>
      </c>
      <c r="H253" t="e">
        <f ca="1">_xlfn.XLOOKUP(D253,Master_Supplier!A:A,Master_Supplier!B:B)</f>
        <v>#N/A</v>
      </c>
      <c r="I253" t="e">
        <f ca="1">_xlfn.XLOOKUP(D253,Master_Supplier!A:A,Master_Supplier!E:E)</f>
        <v>#N/A</v>
      </c>
      <c r="J253">
        <f ca="1">_xlfn.XLOOKUP(C253,Master_Product!A:A,Master_Product!E:E)</f>
        <v>25632</v>
      </c>
      <c r="K253">
        <v>50</v>
      </c>
      <c r="L253">
        <f ca="1">Table_StockIn[[#This Row],[buy_price]]*Table_StockIn[[#This Row],[quantity]]</f>
        <v>1281600</v>
      </c>
    </row>
    <row r="254" spans="1:12" x14ac:dyDescent="0.3">
      <c r="A254" t="str">
        <f t="shared" si="6"/>
        <v>PUR0253</v>
      </c>
      <c r="B254" s="1">
        <f t="shared" ca="1" si="7"/>
        <v>45697</v>
      </c>
      <c r="C254" t="str" cm="1">
        <f t="array" aca="1" ref="C254" ca="1">INDEX(Master_Product!$A$2:$A$101,RANDBETWEEN(1,100))</f>
        <v>PRD008</v>
      </c>
      <c r="D254" t="str">
        <f ca="1">_xlfn.XLOOKUP(C254,Master_Product!A:A,Master_Product!D:D)</f>
        <v>SUP016</v>
      </c>
      <c r="E254" t="str">
        <f ca="1">_xlfn.XLOOKUP(C254,Master_Product!A:A,Master_Product!B:B)</f>
        <v>Chamomile</v>
      </c>
      <c r="F254" t="str">
        <f ca="1">_xlfn.XLOOKUP(C255,Master_Product!A:A,Master_Product!C:C)</f>
        <v>CAT010</v>
      </c>
      <c r="G254" t="str">
        <f ca="1">VLOOKUP(F254,Master_Category!A:B,2,FALSE)</f>
        <v>Cleaning</v>
      </c>
      <c r="H254" t="str">
        <f ca="1">_xlfn.XLOOKUP(D254,Master_Supplier!A:A,Master_Supplier!B:B)</f>
        <v>PT Espresso Supply</v>
      </c>
      <c r="I254" t="str">
        <f ca="1">_xlfn.XLOOKUP(D254,Master_Supplier!A:A,Master_Supplier!E:E)</f>
        <v>Depok</v>
      </c>
      <c r="J254">
        <f ca="1">_xlfn.XLOOKUP(C254,Master_Product!A:A,Master_Product!E:E)</f>
        <v>25006</v>
      </c>
      <c r="K254">
        <v>40</v>
      </c>
      <c r="L254">
        <f ca="1">Table_StockIn[[#This Row],[buy_price]]*Table_StockIn[[#This Row],[quantity]]</f>
        <v>1000240</v>
      </c>
    </row>
    <row r="255" spans="1:12" x14ac:dyDescent="0.3">
      <c r="A255" t="str">
        <f t="shared" si="6"/>
        <v>PUR0254</v>
      </c>
      <c r="B255" s="1">
        <f t="shared" ca="1" si="7"/>
        <v>45663</v>
      </c>
      <c r="C255" t="str" cm="1">
        <f t="array" aca="1" ref="C255" ca="1">INDEX(Master_Product!$A$2:$A$101,RANDBETWEEN(1,100))</f>
        <v>PRD073</v>
      </c>
      <c r="D255" t="str">
        <f ca="1">_xlfn.XLOOKUP(C255,Master_Product!A:A,Master_Product!D:D)</f>
        <v>SUP025</v>
      </c>
      <c r="E255" t="str">
        <f ca="1">_xlfn.XLOOKUP(C255,Master_Product!A:A,Master_Product!B:B)</f>
        <v>Illo Product</v>
      </c>
      <c r="F255" t="str">
        <f ca="1">_xlfn.XLOOKUP(C256,Master_Product!A:A,Master_Product!C:C)</f>
        <v>CAT003</v>
      </c>
      <c r="G255" t="str">
        <f ca="1">VLOOKUP(F255,Master_Category!A:B,2,FALSE)</f>
        <v>Milk</v>
      </c>
      <c r="H255" t="str">
        <f ca="1">_xlfn.XLOOKUP(D255,Master_Supplier!A:A,Master_Supplier!B:B)</f>
        <v>PT Arabica Indonesia</v>
      </c>
      <c r="I255" t="str">
        <f ca="1">_xlfn.XLOOKUP(D255,Master_Supplier!A:A,Master_Supplier!E:E)</f>
        <v>Semarang</v>
      </c>
      <c r="J255">
        <f ca="1">_xlfn.XLOOKUP(C255,Master_Product!A:A,Master_Product!E:E)</f>
        <v>63222</v>
      </c>
      <c r="K255">
        <v>40</v>
      </c>
      <c r="L255">
        <f ca="1">Table_StockIn[[#This Row],[buy_price]]*Table_StockIn[[#This Row],[quantity]]</f>
        <v>2528880</v>
      </c>
    </row>
    <row r="256" spans="1:12" x14ac:dyDescent="0.3">
      <c r="A256" t="str">
        <f t="shared" si="6"/>
        <v>PUR0255</v>
      </c>
      <c r="B256" s="1">
        <f t="shared" ca="1" si="7"/>
        <v>45925</v>
      </c>
      <c r="C256" t="str" cm="1">
        <f t="array" aca="1" ref="C256" ca="1">INDEX(Master_Product!$A$2:$A$101,RANDBETWEEN(1,100))</f>
        <v>PRD063</v>
      </c>
      <c r="D256" t="str">
        <f ca="1">_xlfn.XLOOKUP(C256,Master_Product!A:A,Master_Product!D:D)</f>
        <v>SUP003</v>
      </c>
      <c r="E256" t="str">
        <f ca="1">_xlfn.XLOOKUP(C256,Master_Product!A:A,Master_Product!B:B)</f>
        <v>Doloremque Product</v>
      </c>
      <c r="F256" t="str">
        <f ca="1">_xlfn.XLOOKUP(C257,Master_Product!A:A,Master_Product!C:C)</f>
        <v>CAT003</v>
      </c>
      <c r="G256" t="str">
        <f ca="1">VLOOKUP(F256,Master_Category!A:B,2,FALSE)</f>
        <v>Milk</v>
      </c>
      <c r="H256" t="str">
        <f ca="1">_xlfn.XLOOKUP(D256,Master_Supplier!A:A,Master_Supplier!B:B)</f>
        <v>CV Barista Indonesia</v>
      </c>
      <c r="I256" t="str">
        <f ca="1">_xlfn.XLOOKUP(D256,Master_Supplier!A:A,Master_Supplier!E:E)</f>
        <v>Bekasi</v>
      </c>
      <c r="J256">
        <f ca="1">_xlfn.XLOOKUP(C256,Master_Product!A:A,Master_Product!E:E)</f>
        <v>21901</v>
      </c>
      <c r="K256">
        <v>20</v>
      </c>
      <c r="L256">
        <f ca="1">Table_StockIn[[#This Row],[buy_price]]*Table_StockIn[[#This Row],[quantity]]</f>
        <v>438020</v>
      </c>
    </row>
    <row r="257" spans="1:12" x14ac:dyDescent="0.3">
      <c r="A257" t="str">
        <f t="shared" si="6"/>
        <v>PUR0256</v>
      </c>
      <c r="B257" s="1">
        <f t="shared" ca="1" si="7"/>
        <v>45921</v>
      </c>
      <c r="C257" t="str" cm="1">
        <f t="array" aca="1" ref="C257" ca="1">INDEX(Master_Product!$A$2:$A$101,RANDBETWEEN(1,100))</f>
        <v>PRD048</v>
      </c>
      <c r="D257" t="str">
        <f ca="1">_xlfn.XLOOKUP(C257,Master_Product!A:A,Master_Product!D:D)</f>
        <v>SUP019</v>
      </c>
      <c r="E257" t="str">
        <f ca="1">_xlfn.XLOOKUP(C257,Master_Product!A:A,Master_Product!B:B)</f>
        <v>Placeat Product</v>
      </c>
      <c r="F257" t="str">
        <f ca="1">_xlfn.XLOOKUP(C258,Master_Product!A:A,Master_Product!C:C)</f>
        <v>CAT002</v>
      </c>
      <c r="G257" t="str">
        <f ca="1">VLOOKUP(F257,Master_Category!A:B,2,FALSE)</f>
        <v>Tea</v>
      </c>
      <c r="H257" t="str">
        <f ca="1">_xlfn.XLOOKUP(D257,Master_Supplier!A:A,Master_Supplier!B:B)</f>
        <v>PT Indo Beverage</v>
      </c>
      <c r="I257" t="str">
        <f ca="1">_xlfn.XLOOKUP(D257,Master_Supplier!A:A,Master_Supplier!E:E)</f>
        <v>Jakarta</v>
      </c>
      <c r="J257">
        <f ca="1">_xlfn.XLOOKUP(C257,Master_Product!A:A,Master_Product!E:E)</f>
        <v>44691</v>
      </c>
      <c r="K257">
        <v>30</v>
      </c>
      <c r="L257">
        <f ca="1">Table_StockIn[[#This Row],[buy_price]]*Table_StockIn[[#This Row],[quantity]]</f>
        <v>1340730</v>
      </c>
    </row>
    <row r="258" spans="1:12" x14ac:dyDescent="0.3">
      <c r="A258" t="str">
        <f t="shared" si="6"/>
        <v>PUR0257</v>
      </c>
      <c r="B258" s="1">
        <f t="shared" ca="1" si="7"/>
        <v>45880</v>
      </c>
      <c r="C258" t="str" cm="1">
        <f t="array" aca="1" ref="C258" ca="1">INDEX(Master_Product!$A$2:$A$101,RANDBETWEEN(1,100))</f>
        <v>PRD058</v>
      </c>
      <c r="D258" t="str">
        <f ca="1">_xlfn.XLOOKUP(C258,Master_Product!A:A,Master_Product!D:D)</f>
        <v>SUP002</v>
      </c>
      <c r="E258" t="str">
        <f ca="1">_xlfn.XLOOKUP(C258,Master_Product!A:A,Master_Product!B:B)</f>
        <v>Porro Product</v>
      </c>
      <c r="F258" t="str">
        <f ca="1">_xlfn.XLOOKUP(C259,Master_Product!A:A,Master_Product!C:C)</f>
        <v>CAT005</v>
      </c>
      <c r="G258" t="str">
        <f ca="1">VLOOKUP(F258,Master_Category!A:B,2,FALSE)</f>
        <v>Powder</v>
      </c>
      <c r="H258" t="e">
        <f ca="1">_xlfn.XLOOKUP(D258,Master_Supplier!A:A,Master_Supplier!B:B)</f>
        <v>#N/A</v>
      </c>
      <c r="I258" t="e">
        <f ca="1">_xlfn.XLOOKUP(D258,Master_Supplier!A:A,Master_Supplier!E:E)</f>
        <v>#N/A</v>
      </c>
      <c r="J258">
        <f ca="1">_xlfn.XLOOKUP(C258,Master_Product!A:A,Master_Product!E:E)</f>
        <v>49350</v>
      </c>
      <c r="K258">
        <v>80</v>
      </c>
      <c r="L258">
        <f ca="1">Table_StockIn[[#This Row],[buy_price]]*Table_StockIn[[#This Row],[quantity]]</f>
        <v>3948000</v>
      </c>
    </row>
    <row r="259" spans="1:12" x14ac:dyDescent="0.3">
      <c r="A259" t="str">
        <f t="shared" ref="A259:A322" si="8">"PUR"&amp;TEXT(ROW()-1,"0000")</f>
        <v>PUR0258</v>
      </c>
      <c r="B259" s="1">
        <f t="shared" ref="B259:B322" ca="1" si="9">DATE(2025,1,1)+RANDBETWEEN(0,364)</f>
        <v>46004</v>
      </c>
      <c r="C259" t="str" cm="1">
        <f t="array" aca="1" ref="C259" ca="1">INDEX(Master_Product!$A$2:$A$101,RANDBETWEEN(1,100))</f>
        <v>PRD019</v>
      </c>
      <c r="D259" t="str">
        <f ca="1">_xlfn.XLOOKUP(C259,Master_Product!A:A,Master_Product!D:D)</f>
        <v>SUP006</v>
      </c>
      <c r="E259" t="str">
        <f ca="1">_xlfn.XLOOKUP(C259,Master_Product!A:A,Master_Product!B:B)</f>
        <v>Red Velvet Powder</v>
      </c>
      <c r="F259" t="str">
        <f ca="1">_xlfn.XLOOKUP(C260,Master_Product!A:A,Master_Product!C:C)</f>
        <v>CAT002</v>
      </c>
      <c r="G259" t="str">
        <f ca="1">VLOOKUP(F259,Master_Category!A:B,2,FALSE)</f>
        <v>Tea</v>
      </c>
      <c r="H259" t="str">
        <f ca="1">_xlfn.XLOOKUP(D259,Master_Supplier!A:A,Master_Supplier!B:B)</f>
        <v>CV Java Coffee</v>
      </c>
      <c r="I259" t="str">
        <f ca="1">_xlfn.XLOOKUP(D259,Master_Supplier!A:A,Master_Supplier!E:E)</f>
        <v>Bogor</v>
      </c>
      <c r="J259">
        <f ca="1">_xlfn.XLOOKUP(C259,Master_Product!A:A,Master_Product!E:E)</f>
        <v>49541</v>
      </c>
      <c r="K259">
        <v>30</v>
      </c>
      <c r="L259">
        <f ca="1">Table_StockIn[[#This Row],[buy_price]]*Table_StockIn[[#This Row],[quantity]]</f>
        <v>1486230</v>
      </c>
    </row>
    <row r="260" spans="1:12" x14ac:dyDescent="0.3">
      <c r="A260" t="str">
        <f t="shared" si="8"/>
        <v>PUR0259</v>
      </c>
      <c r="B260" s="1">
        <f t="shared" ca="1" si="9"/>
        <v>45979</v>
      </c>
      <c r="C260" t="str" cm="1">
        <f t="array" aca="1" ref="C260" ca="1">INDEX(Master_Product!$A$2:$A$101,RANDBETWEEN(1,100))</f>
        <v>PRD036</v>
      </c>
      <c r="D260" t="str">
        <f ca="1">_xlfn.XLOOKUP(C260,Master_Product!A:A,Master_Product!D:D)</f>
        <v>SUP001</v>
      </c>
      <c r="E260" t="str">
        <f ca="1">_xlfn.XLOOKUP(C260,Master_Product!A:A,Master_Product!B:B)</f>
        <v>Quos Product</v>
      </c>
      <c r="F260" t="str">
        <f ca="1">_xlfn.XLOOKUP(C261,Master_Product!A:A,Master_Product!C:C)</f>
        <v>CAT004</v>
      </c>
      <c r="G260" t="str">
        <f ca="1">VLOOKUP(F260,Master_Category!A:B,2,FALSE)</f>
        <v>Syrup</v>
      </c>
      <c r="H260" t="e">
        <f ca="1">_xlfn.XLOOKUP(D260,Master_Supplier!A:A,Master_Supplier!B:B)</f>
        <v>#N/A</v>
      </c>
      <c r="I260" t="e">
        <f ca="1">_xlfn.XLOOKUP(D260,Master_Supplier!A:A,Master_Supplier!E:E)</f>
        <v>#N/A</v>
      </c>
      <c r="J260">
        <f ca="1">_xlfn.XLOOKUP(C260,Master_Product!A:A,Master_Product!E:E)</f>
        <v>42947</v>
      </c>
      <c r="K260">
        <v>50</v>
      </c>
      <c r="L260">
        <f ca="1">Table_StockIn[[#This Row],[buy_price]]*Table_StockIn[[#This Row],[quantity]]</f>
        <v>2147350</v>
      </c>
    </row>
    <row r="261" spans="1:12" x14ac:dyDescent="0.3">
      <c r="A261" t="str">
        <f t="shared" si="8"/>
        <v>PUR0260</v>
      </c>
      <c r="B261" s="1">
        <f t="shared" ca="1" si="9"/>
        <v>45692</v>
      </c>
      <c r="C261" t="str" cm="1">
        <f t="array" aca="1" ref="C261" ca="1">INDEX(Master_Product!$A$2:$A$101,RANDBETWEEN(1,100))</f>
        <v>PRD060</v>
      </c>
      <c r="D261" t="str">
        <f ca="1">_xlfn.XLOOKUP(C261,Master_Product!A:A,Master_Product!D:D)</f>
        <v>SUP028</v>
      </c>
      <c r="E261" t="str">
        <f ca="1">_xlfn.XLOOKUP(C261,Master_Product!A:A,Master_Product!B:B)</f>
        <v>Voluptatum Product</v>
      </c>
      <c r="F261" t="str">
        <f ca="1">_xlfn.XLOOKUP(C262,Master_Product!A:A,Master_Product!C:C)</f>
        <v>CAT004</v>
      </c>
      <c r="G261" t="str">
        <f ca="1">VLOOKUP(F261,Master_Category!A:B,2,FALSE)</f>
        <v>Syrup</v>
      </c>
      <c r="H261" t="str">
        <f ca="1">_xlfn.XLOOKUP(D261,Master_Supplier!A:A,Master_Supplier!B:B)</f>
        <v>PT Beverage Nusantara</v>
      </c>
      <c r="I261" t="str">
        <f ca="1">_xlfn.XLOOKUP(D261,Master_Supplier!A:A,Master_Supplier!E:E)</f>
        <v>Jakarta</v>
      </c>
      <c r="J261">
        <f ca="1">_xlfn.XLOOKUP(C261,Master_Product!A:A,Master_Product!E:E)</f>
        <v>42243</v>
      </c>
      <c r="K261">
        <v>30</v>
      </c>
      <c r="L261">
        <f ca="1">Table_StockIn[[#This Row],[buy_price]]*Table_StockIn[[#This Row],[quantity]]</f>
        <v>1267290</v>
      </c>
    </row>
    <row r="262" spans="1:12" x14ac:dyDescent="0.3">
      <c r="A262" t="str">
        <f t="shared" si="8"/>
        <v>PUR0261</v>
      </c>
      <c r="B262" s="1">
        <f t="shared" ca="1" si="9"/>
        <v>45729</v>
      </c>
      <c r="C262" t="str" cm="1">
        <f t="array" aca="1" ref="C262" ca="1">INDEX(Master_Product!$A$2:$A$101,RANDBETWEEN(1,100))</f>
        <v>PRD012</v>
      </c>
      <c r="D262" t="str">
        <f ca="1">_xlfn.XLOOKUP(C262,Master_Product!A:A,Master_Product!D:D)</f>
        <v>SUP024</v>
      </c>
      <c r="E262" t="str">
        <f ca="1">_xlfn.XLOOKUP(C262,Master_Product!A:A,Master_Product!B:B)</f>
        <v>Hazelnut Syrup</v>
      </c>
      <c r="F262" t="str">
        <f ca="1">_xlfn.XLOOKUP(C263,Master_Product!A:A,Master_Product!C:C)</f>
        <v>CAT009</v>
      </c>
      <c r="G262" t="str">
        <f ca="1">VLOOKUP(F262,Master_Category!A:B,2,FALSE)</f>
        <v>Machine Supply</v>
      </c>
      <c r="H262" t="str">
        <f ca="1">_xlfn.XLOOKUP(D262,Master_Supplier!A:A,Master_Supplier!B:B)</f>
        <v>PT Coffee Chemical</v>
      </c>
      <c r="I262" t="str">
        <f ca="1">_xlfn.XLOOKUP(D262,Master_Supplier!A:A,Master_Supplier!E:E)</f>
        <v>Depok</v>
      </c>
      <c r="J262">
        <f ca="1">_xlfn.XLOOKUP(C262,Master_Product!A:A,Master_Product!E:E)</f>
        <v>60435</v>
      </c>
      <c r="K262">
        <v>100</v>
      </c>
      <c r="L262">
        <f ca="1">Table_StockIn[[#This Row],[buy_price]]*Table_StockIn[[#This Row],[quantity]]</f>
        <v>6043500</v>
      </c>
    </row>
    <row r="263" spans="1:12" x14ac:dyDescent="0.3">
      <c r="A263" t="str">
        <f t="shared" si="8"/>
        <v>PUR0262</v>
      </c>
      <c r="B263" s="1">
        <f t="shared" ca="1" si="9"/>
        <v>45948</v>
      </c>
      <c r="C263" t="str" cm="1">
        <f t="array" aca="1" ref="C263" ca="1">INDEX(Master_Product!$A$2:$A$101,RANDBETWEEN(1,100))</f>
        <v>PRD033</v>
      </c>
      <c r="D263" t="str">
        <f ca="1">_xlfn.XLOOKUP(C263,Master_Product!A:A,Master_Product!D:D)</f>
        <v>SUP028</v>
      </c>
      <c r="E263" t="str">
        <f ca="1">_xlfn.XLOOKUP(C263,Master_Product!A:A,Master_Product!B:B)</f>
        <v>Milk Pitcher</v>
      </c>
      <c r="F263" t="str">
        <f ca="1">_xlfn.XLOOKUP(C264,Master_Product!A:A,Master_Product!C:C)</f>
        <v>CAT008</v>
      </c>
      <c r="G263" t="str">
        <f ca="1">VLOOKUP(F263,Master_Category!A:B,2,FALSE)</f>
        <v>Snack</v>
      </c>
      <c r="H263" t="str">
        <f ca="1">_xlfn.XLOOKUP(D263,Master_Supplier!A:A,Master_Supplier!B:B)</f>
        <v>PT Beverage Nusantara</v>
      </c>
      <c r="I263" t="str">
        <f ca="1">_xlfn.XLOOKUP(D263,Master_Supplier!A:A,Master_Supplier!E:E)</f>
        <v>Jakarta</v>
      </c>
      <c r="J263">
        <f ca="1">_xlfn.XLOOKUP(C263,Master_Product!A:A,Master_Product!E:E)</f>
        <v>51421</v>
      </c>
      <c r="K263">
        <v>20</v>
      </c>
      <c r="L263">
        <f ca="1">Table_StockIn[[#This Row],[buy_price]]*Table_StockIn[[#This Row],[quantity]]</f>
        <v>1028420</v>
      </c>
    </row>
    <row r="264" spans="1:12" x14ac:dyDescent="0.3">
      <c r="A264" t="str">
        <f t="shared" si="8"/>
        <v>PUR0263</v>
      </c>
      <c r="B264" s="1">
        <f t="shared" ca="1" si="9"/>
        <v>45973</v>
      </c>
      <c r="C264" t="str" cm="1">
        <f t="array" aca="1" ref="C264" ca="1">INDEX(Master_Product!$A$2:$A$101,RANDBETWEEN(1,100))</f>
        <v>PRD029</v>
      </c>
      <c r="D264" t="str">
        <f ca="1">_xlfn.XLOOKUP(C264,Master_Product!A:A,Master_Product!D:D)</f>
        <v>SUP010</v>
      </c>
      <c r="E264" t="str">
        <f ca="1">_xlfn.XLOOKUP(C264,Master_Product!A:A,Master_Product!B:B)</f>
        <v>Croissant</v>
      </c>
      <c r="F264" t="str">
        <f ca="1">_xlfn.XLOOKUP(C265,Master_Product!A:A,Master_Product!C:C)</f>
        <v>CAT003</v>
      </c>
      <c r="G264" t="str">
        <f ca="1">VLOOKUP(F264,Master_Category!A:B,2,FALSE)</f>
        <v>Milk</v>
      </c>
      <c r="H264" t="str">
        <f ca="1">_xlfn.XLOOKUP(D264,Master_Supplier!A:A,Master_Supplier!B:B)</f>
        <v>PT Gula Manis</v>
      </c>
      <c r="I264" t="str">
        <f ca="1">_xlfn.XLOOKUP(D264,Master_Supplier!A:A,Master_Supplier!E:E)</f>
        <v>Malang</v>
      </c>
      <c r="J264">
        <f ca="1">_xlfn.XLOOKUP(C264,Master_Product!A:A,Master_Product!E:E)</f>
        <v>12180</v>
      </c>
      <c r="K264">
        <v>30</v>
      </c>
      <c r="L264">
        <f ca="1">Table_StockIn[[#This Row],[buy_price]]*Table_StockIn[[#This Row],[quantity]]</f>
        <v>365400</v>
      </c>
    </row>
    <row r="265" spans="1:12" x14ac:dyDescent="0.3">
      <c r="A265" t="str">
        <f t="shared" si="8"/>
        <v>PUR0264</v>
      </c>
      <c r="B265" s="1">
        <f t="shared" ca="1" si="9"/>
        <v>45883</v>
      </c>
      <c r="C265" t="str" cm="1">
        <f t="array" aca="1" ref="C265" ca="1">INDEX(Master_Product!$A$2:$A$101,RANDBETWEEN(1,100))</f>
        <v>PRD063</v>
      </c>
      <c r="D265" t="str">
        <f ca="1">_xlfn.XLOOKUP(C265,Master_Product!A:A,Master_Product!D:D)</f>
        <v>SUP003</v>
      </c>
      <c r="E265" t="str">
        <f ca="1">_xlfn.XLOOKUP(C265,Master_Product!A:A,Master_Product!B:B)</f>
        <v>Doloremque Product</v>
      </c>
      <c r="F265" t="str">
        <f ca="1">_xlfn.XLOOKUP(C266,Master_Product!A:A,Master_Product!C:C)</f>
        <v>CAT008</v>
      </c>
      <c r="G265" t="str">
        <f ca="1">VLOOKUP(F265,Master_Category!A:B,2,FALSE)</f>
        <v>Snack</v>
      </c>
      <c r="H265" t="str">
        <f ca="1">_xlfn.XLOOKUP(D265,Master_Supplier!A:A,Master_Supplier!B:B)</f>
        <v>CV Barista Indonesia</v>
      </c>
      <c r="I265" t="str">
        <f ca="1">_xlfn.XLOOKUP(D265,Master_Supplier!A:A,Master_Supplier!E:E)</f>
        <v>Bekasi</v>
      </c>
      <c r="J265">
        <f ca="1">_xlfn.XLOOKUP(C265,Master_Product!A:A,Master_Product!E:E)</f>
        <v>21901</v>
      </c>
      <c r="K265">
        <v>30</v>
      </c>
      <c r="L265">
        <f ca="1">Table_StockIn[[#This Row],[buy_price]]*Table_StockIn[[#This Row],[quantity]]</f>
        <v>657030</v>
      </c>
    </row>
    <row r="266" spans="1:12" x14ac:dyDescent="0.3">
      <c r="A266" t="str">
        <f t="shared" si="8"/>
        <v>PUR0265</v>
      </c>
      <c r="B266" s="1">
        <f t="shared" ca="1" si="9"/>
        <v>45708</v>
      </c>
      <c r="C266" t="str" cm="1">
        <f t="array" aca="1" ref="C266" ca="1">INDEX(Master_Product!$A$2:$A$101,RANDBETWEEN(1,100))</f>
        <v>PRD054</v>
      </c>
      <c r="D266" t="str">
        <f ca="1">_xlfn.XLOOKUP(C266,Master_Product!A:A,Master_Product!D:D)</f>
        <v>SUP029</v>
      </c>
      <c r="E266" t="str">
        <f ca="1">_xlfn.XLOOKUP(C266,Master_Product!A:A,Master_Product!B:B)</f>
        <v>Ullam Product</v>
      </c>
      <c r="F266" t="str">
        <f ca="1">_xlfn.XLOOKUP(C267,Master_Product!A:A,Master_Product!C:C)</f>
        <v>CAT009</v>
      </c>
      <c r="G266" t="str">
        <f ca="1">VLOOKUP(F266,Master_Category!A:B,2,FALSE)</f>
        <v>Machine Supply</v>
      </c>
      <c r="H266" t="e">
        <f ca="1">_xlfn.XLOOKUP(D266,Master_Supplier!A:A,Master_Supplier!B:B)</f>
        <v>#N/A</v>
      </c>
      <c r="I266" t="e">
        <f ca="1">_xlfn.XLOOKUP(D266,Master_Supplier!A:A,Master_Supplier!E:E)</f>
        <v>#N/A</v>
      </c>
      <c r="J266">
        <f ca="1">_xlfn.XLOOKUP(C266,Master_Product!A:A,Master_Product!E:E)</f>
        <v>64050</v>
      </c>
      <c r="K266">
        <v>30</v>
      </c>
      <c r="L266">
        <f ca="1">Table_StockIn[[#This Row],[buy_price]]*Table_StockIn[[#This Row],[quantity]]</f>
        <v>1921500</v>
      </c>
    </row>
    <row r="267" spans="1:12" x14ac:dyDescent="0.3">
      <c r="A267" t="str">
        <f t="shared" si="8"/>
        <v>PUR0266</v>
      </c>
      <c r="B267" s="1">
        <f t="shared" ca="1" si="9"/>
        <v>45932</v>
      </c>
      <c r="C267" t="str" cm="1">
        <f t="array" aca="1" ref="C267" ca="1">INDEX(Master_Product!$A$2:$A$101,RANDBETWEEN(1,100))</f>
        <v>PRD033</v>
      </c>
      <c r="D267" t="str">
        <f ca="1">_xlfn.XLOOKUP(C267,Master_Product!A:A,Master_Product!D:D)</f>
        <v>SUP028</v>
      </c>
      <c r="E267" t="str">
        <f ca="1">_xlfn.XLOOKUP(C267,Master_Product!A:A,Master_Product!B:B)</f>
        <v>Milk Pitcher</v>
      </c>
      <c r="F267" t="str">
        <f ca="1">_xlfn.XLOOKUP(C268,Master_Product!A:A,Master_Product!C:C)</f>
        <v>CAT009</v>
      </c>
      <c r="G267" t="str">
        <f ca="1">VLOOKUP(F267,Master_Category!A:B,2,FALSE)</f>
        <v>Machine Supply</v>
      </c>
      <c r="H267" t="str">
        <f ca="1">_xlfn.XLOOKUP(D267,Master_Supplier!A:A,Master_Supplier!B:B)</f>
        <v>PT Beverage Nusantara</v>
      </c>
      <c r="I267" t="str">
        <f ca="1">_xlfn.XLOOKUP(D267,Master_Supplier!A:A,Master_Supplier!E:E)</f>
        <v>Jakarta</v>
      </c>
      <c r="J267">
        <f ca="1">_xlfn.XLOOKUP(C267,Master_Product!A:A,Master_Product!E:E)</f>
        <v>51421</v>
      </c>
      <c r="K267">
        <v>50</v>
      </c>
      <c r="L267">
        <f ca="1">Table_StockIn[[#This Row],[buy_price]]*Table_StockIn[[#This Row],[quantity]]</f>
        <v>2571050</v>
      </c>
    </row>
    <row r="268" spans="1:12" x14ac:dyDescent="0.3">
      <c r="A268" t="str">
        <f t="shared" si="8"/>
        <v>PUR0267</v>
      </c>
      <c r="B268" s="1">
        <f t="shared" ca="1" si="9"/>
        <v>45922</v>
      </c>
      <c r="C268" t="str" cm="1">
        <f t="array" aca="1" ref="C268" ca="1">INDEX(Master_Product!$A$2:$A$101,RANDBETWEEN(1,100))</f>
        <v>PRD032</v>
      </c>
      <c r="D268" t="str">
        <f ca="1">_xlfn.XLOOKUP(C268,Master_Product!A:A,Master_Product!D:D)</f>
        <v>SUP008</v>
      </c>
      <c r="E268" t="str">
        <f ca="1">_xlfn.XLOOKUP(C268,Master_Product!A:A,Master_Product!B:B)</f>
        <v>Filter Paper</v>
      </c>
      <c r="F268" t="str">
        <f ca="1">_xlfn.XLOOKUP(C269,Master_Product!A:A,Master_Product!C:C)</f>
        <v>CAT004</v>
      </c>
      <c r="G268" t="str">
        <f ca="1">VLOOKUP(F268,Master_Category!A:B,2,FALSE)</f>
        <v>Syrup</v>
      </c>
      <c r="H268" t="str">
        <f ca="1">_xlfn.XLOOKUP(D268,Master_Supplier!A:A,Master_Supplier!B:B)</f>
        <v>PT Packaging Solution</v>
      </c>
      <c r="I268" t="str">
        <f ca="1">_xlfn.XLOOKUP(D268,Master_Supplier!A:A,Master_Supplier!E:E)</f>
        <v>Yogyakarta</v>
      </c>
      <c r="J268">
        <f ca="1">_xlfn.XLOOKUP(C268,Master_Product!A:A,Master_Product!E:E)</f>
        <v>54834</v>
      </c>
      <c r="K268">
        <v>20</v>
      </c>
      <c r="L268">
        <f ca="1">Table_StockIn[[#This Row],[buy_price]]*Table_StockIn[[#This Row],[quantity]]</f>
        <v>1096680</v>
      </c>
    </row>
    <row r="269" spans="1:12" x14ac:dyDescent="0.3">
      <c r="A269" t="str">
        <f t="shared" si="8"/>
        <v>PUR0268</v>
      </c>
      <c r="B269" s="1">
        <f t="shared" ca="1" si="9"/>
        <v>45667</v>
      </c>
      <c r="C269" t="str" cm="1">
        <f t="array" aca="1" ref="C269" ca="1">INDEX(Master_Product!$A$2:$A$101,RANDBETWEEN(1,100))</f>
        <v>PRD013</v>
      </c>
      <c r="D269" t="str">
        <f ca="1">_xlfn.XLOOKUP(C269,Master_Product!A:A,Master_Product!D:D)</f>
        <v>SUP019</v>
      </c>
      <c r="E269" t="str">
        <f ca="1">_xlfn.XLOOKUP(C269,Master_Product!A:A,Master_Product!B:B)</f>
        <v>Caramel Syrup</v>
      </c>
      <c r="F269" t="str">
        <f ca="1">_xlfn.XLOOKUP(C270,Master_Product!A:A,Master_Product!C:C)</f>
        <v>CAT006</v>
      </c>
      <c r="G269" t="str">
        <f ca="1">VLOOKUP(F269,Master_Category!A:B,2,FALSE)</f>
        <v>Topping</v>
      </c>
      <c r="H269" t="str">
        <f ca="1">_xlfn.XLOOKUP(D269,Master_Supplier!A:A,Master_Supplier!B:B)</f>
        <v>PT Indo Beverage</v>
      </c>
      <c r="I269" t="str">
        <f ca="1">_xlfn.XLOOKUP(D269,Master_Supplier!A:A,Master_Supplier!E:E)</f>
        <v>Jakarta</v>
      </c>
      <c r="J269">
        <f ca="1">_xlfn.XLOOKUP(C269,Master_Product!A:A,Master_Product!E:E)</f>
        <v>45953</v>
      </c>
      <c r="K269">
        <v>100</v>
      </c>
      <c r="L269">
        <f ca="1">Table_StockIn[[#This Row],[buy_price]]*Table_StockIn[[#This Row],[quantity]]</f>
        <v>4595300</v>
      </c>
    </row>
    <row r="270" spans="1:12" x14ac:dyDescent="0.3">
      <c r="A270" t="str">
        <f t="shared" si="8"/>
        <v>PUR0269</v>
      </c>
      <c r="B270" s="1">
        <f t="shared" ca="1" si="9"/>
        <v>45662</v>
      </c>
      <c r="C270" t="str" cm="1">
        <f t="array" aca="1" ref="C270" ca="1">INDEX(Master_Product!$A$2:$A$101,RANDBETWEEN(1,100))</f>
        <v>PRD044</v>
      </c>
      <c r="D270" t="str">
        <f ca="1">_xlfn.XLOOKUP(C270,Master_Product!A:A,Master_Product!D:D)</f>
        <v>SUP021</v>
      </c>
      <c r="E270" t="str">
        <f ca="1">_xlfn.XLOOKUP(C270,Master_Product!A:A,Master_Product!B:B)</f>
        <v>Sit Product</v>
      </c>
      <c r="F270" t="str">
        <f ca="1">_xlfn.XLOOKUP(C271,Master_Product!A:A,Master_Product!C:C)</f>
        <v>CAT005</v>
      </c>
      <c r="G270" t="str">
        <f ca="1">VLOOKUP(F270,Master_Category!A:B,2,FALSE)</f>
        <v>Powder</v>
      </c>
      <c r="H270" t="str">
        <f ca="1">_xlfn.XLOOKUP(D270,Master_Supplier!A:A,Master_Supplier!B:B)</f>
        <v>PT Coffee Packaging</v>
      </c>
      <c r="I270" t="str">
        <f ca="1">_xlfn.XLOOKUP(D270,Master_Supplier!A:A,Master_Supplier!E:E)</f>
        <v>Depok</v>
      </c>
      <c r="J270">
        <f ca="1">_xlfn.XLOOKUP(C270,Master_Product!A:A,Master_Product!E:E)</f>
        <v>25036</v>
      </c>
      <c r="K270">
        <v>100</v>
      </c>
      <c r="L270">
        <f ca="1">Table_StockIn[[#This Row],[buy_price]]*Table_StockIn[[#This Row],[quantity]]</f>
        <v>2503600</v>
      </c>
    </row>
    <row r="271" spans="1:12" x14ac:dyDescent="0.3">
      <c r="A271" t="str">
        <f t="shared" si="8"/>
        <v>PUR0270</v>
      </c>
      <c r="B271" s="1">
        <f t="shared" ca="1" si="9"/>
        <v>45986</v>
      </c>
      <c r="C271" t="str" cm="1">
        <f t="array" aca="1" ref="C271" ca="1">INDEX(Master_Product!$A$2:$A$101,RANDBETWEEN(1,100))</f>
        <v>PRD091</v>
      </c>
      <c r="D271" t="str">
        <f ca="1">_xlfn.XLOOKUP(C271,Master_Product!A:A,Master_Product!D:D)</f>
        <v>SUP021</v>
      </c>
      <c r="E271" t="str">
        <f ca="1">_xlfn.XLOOKUP(C271,Master_Product!A:A,Master_Product!B:B)</f>
        <v>Nisi Product</v>
      </c>
      <c r="F271" t="str">
        <f ca="1">_xlfn.XLOOKUP(C272,Master_Product!A:A,Master_Product!C:C)</f>
        <v>CAT005</v>
      </c>
      <c r="G271" t="str">
        <f ca="1">VLOOKUP(F271,Master_Category!A:B,2,FALSE)</f>
        <v>Powder</v>
      </c>
      <c r="H271" t="str">
        <f ca="1">_xlfn.XLOOKUP(D271,Master_Supplier!A:A,Master_Supplier!B:B)</f>
        <v>PT Coffee Packaging</v>
      </c>
      <c r="I271" t="str">
        <f ca="1">_xlfn.XLOOKUP(D271,Master_Supplier!A:A,Master_Supplier!E:E)</f>
        <v>Depok</v>
      </c>
      <c r="J271">
        <f ca="1">_xlfn.XLOOKUP(C271,Master_Product!A:A,Master_Product!E:E)</f>
        <v>11258</v>
      </c>
      <c r="K271">
        <v>100</v>
      </c>
      <c r="L271">
        <f ca="1">Table_StockIn[[#This Row],[buy_price]]*Table_StockIn[[#This Row],[quantity]]</f>
        <v>1125800</v>
      </c>
    </row>
    <row r="272" spans="1:12" x14ac:dyDescent="0.3">
      <c r="A272" t="str">
        <f t="shared" si="8"/>
        <v>PUR0271</v>
      </c>
      <c r="B272" s="1">
        <f t="shared" ca="1" si="9"/>
        <v>45819</v>
      </c>
      <c r="C272" t="str" cm="1">
        <f t="array" aca="1" ref="C272" ca="1">INDEX(Master_Product!$A$2:$A$101,RANDBETWEEN(1,100))</f>
        <v>PRD019</v>
      </c>
      <c r="D272" t="str">
        <f ca="1">_xlfn.XLOOKUP(C272,Master_Product!A:A,Master_Product!D:D)</f>
        <v>SUP006</v>
      </c>
      <c r="E272" t="str">
        <f ca="1">_xlfn.XLOOKUP(C272,Master_Product!A:A,Master_Product!B:B)</f>
        <v>Red Velvet Powder</v>
      </c>
      <c r="F272" t="str">
        <f ca="1">_xlfn.XLOOKUP(C273,Master_Product!A:A,Master_Product!C:C)</f>
        <v>CAT002</v>
      </c>
      <c r="G272" t="str">
        <f ca="1">VLOOKUP(F272,Master_Category!A:B,2,FALSE)</f>
        <v>Tea</v>
      </c>
      <c r="H272" t="str">
        <f ca="1">_xlfn.XLOOKUP(D272,Master_Supplier!A:A,Master_Supplier!B:B)</f>
        <v>CV Java Coffee</v>
      </c>
      <c r="I272" t="str">
        <f ca="1">_xlfn.XLOOKUP(D272,Master_Supplier!A:A,Master_Supplier!E:E)</f>
        <v>Bogor</v>
      </c>
      <c r="J272">
        <f ca="1">_xlfn.XLOOKUP(C272,Master_Product!A:A,Master_Product!E:E)</f>
        <v>49541</v>
      </c>
      <c r="K272">
        <v>80</v>
      </c>
      <c r="L272">
        <f ca="1">Table_StockIn[[#This Row],[buy_price]]*Table_StockIn[[#This Row],[quantity]]</f>
        <v>3963280</v>
      </c>
    </row>
    <row r="273" spans="1:12" x14ac:dyDescent="0.3">
      <c r="A273" t="str">
        <f t="shared" si="8"/>
        <v>PUR0272</v>
      </c>
      <c r="B273" s="1">
        <f t="shared" ca="1" si="9"/>
        <v>45909</v>
      </c>
      <c r="C273" t="str" cm="1">
        <f t="array" aca="1" ref="C273" ca="1">INDEX(Master_Product!$A$2:$A$101,RANDBETWEEN(1,100))</f>
        <v>PRD078</v>
      </c>
      <c r="D273" t="str">
        <f ca="1">_xlfn.XLOOKUP(C273,Master_Product!A:A,Master_Product!D:D)</f>
        <v>SUP016</v>
      </c>
      <c r="E273" t="str">
        <f ca="1">_xlfn.XLOOKUP(C273,Master_Product!A:A,Master_Product!B:B)</f>
        <v>Quo Product</v>
      </c>
      <c r="F273" t="str">
        <f ca="1">_xlfn.XLOOKUP(C274,Master_Product!A:A,Master_Product!C:C)</f>
        <v>CAT007</v>
      </c>
      <c r="G273" t="str">
        <f ca="1">VLOOKUP(F273,Master_Category!A:B,2,FALSE)</f>
        <v>Cup &amp; Packaging</v>
      </c>
      <c r="H273" t="str">
        <f ca="1">_xlfn.XLOOKUP(D273,Master_Supplier!A:A,Master_Supplier!B:B)</f>
        <v>PT Espresso Supply</v>
      </c>
      <c r="I273" t="str">
        <f ca="1">_xlfn.XLOOKUP(D273,Master_Supplier!A:A,Master_Supplier!E:E)</f>
        <v>Depok</v>
      </c>
      <c r="J273">
        <f ca="1">_xlfn.XLOOKUP(C273,Master_Product!A:A,Master_Product!E:E)</f>
        <v>37768</v>
      </c>
      <c r="K273">
        <v>20</v>
      </c>
      <c r="L273">
        <f ca="1">Table_StockIn[[#This Row],[buy_price]]*Table_StockIn[[#This Row],[quantity]]</f>
        <v>755360</v>
      </c>
    </row>
    <row r="274" spans="1:12" x14ac:dyDescent="0.3">
      <c r="A274" t="str">
        <f t="shared" si="8"/>
        <v>PUR0273</v>
      </c>
      <c r="B274" s="1">
        <f t="shared" ca="1" si="9"/>
        <v>45811</v>
      </c>
      <c r="C274" t="str" cm="1">
        <f t="array" aca="1" ref="C274" ca="1">INDEX(Master_Product!$A$2:$A$101,RANDBETWEEN(1,100))</f>
        <v>PRD023</v>
      </c>
      <c r="D274" t="str">
        <f ca="1">_xlfn.XLOOKUP(C274,Master_Product!A:A,Master_Product!D:D)</f>
        <v>SUP029</v>
      </c>
      <c r="E274" t="str">
        <f ca="1">_xlfn.XLOOKUP(C274,Master_Product!A:A,Master_Product!B:B)</f>
        <v>Cup 12 oz</v>
      </c>
      <c r="F274" t="str">
        <f ca="1">_xlfn.XLOOKUP(C275,Master_Product!A:A,Master_Product!C:C)</f>
        <v>CAT009</v>
      </c>
      <c r="G274" t="str">
        <f ca="1">VLOOKUP(F274,Master_Category!A:B,2,FALSE)</f>
        <v>Machine Supply</v>
      </c>
      <c r="H274" t="e">
        <f ca="1">_xlfn.XLOOKUP(D274,Master_Supplier!A:A,Master_Supplier!B:B)</f>
        <v>#N/A</v>
      </c>
      <c r="I274" t="e">
        <f ca="1">_xlfn.XLOOKUP(D274,Master_Supplier!A:A,Master_Supplier!E:E)</f>
        <v>#N/A</v>
      </c>
      <c r="J274">
        <f ca="1">_xlfn.XLOOKUP(C274,Master_Product!A:A,Master_Product!E:E)</f>
        <v>79395</v>
      </c>
      <c r="K274">
        <v>20</v>
      </c>
      <c r="L274">
        <f ca="1">Table_StockIn[[#This Row],[buy_price]]*Table_StockIn[[#This Row],[quantity]]</f>
        <v>1587900</v>
      </c>
    </row>
    <row r="275" spans="1:12" x14ac:dyDescent="0.3">
      <c r="A275" t="str">
        <f t="shared" si="8"/>
        <v>PUR0274</v>
      </c>
      <c r="B275" s="1">
        <f t="shared" ca="1" si="9"/>
        <v>45702</v>
      </c>
      <c r="C275" t="str" cm="1">
        <f t="array" aca="1" ref="C275" ca="1">INDEX(Master_Product!$A$2:$A$101,RANDBETWEEN(1,100))</f>
        <v>PRD033</v>
      </c>
      <c r="D275" t="str">
        <f ca="1">_xlfn.XLOOKUP(C275,Master_Product!A:A,Master_Product!D:D)</f>
        <v>SUP028</v>
      </c>
      <c r="E275" t="str">
        <f ca="1">_xlfn.XLOOKUP(C275,Master_Product!A:A,Master_Product!B:B)</f>
        <v>Milk Pitcher</v>
      </c>
      <c r="F275" t="str">
        <f ca="1">_xlfn.XLOOKUP(C276,Master_Product!A:A,Master_Product!C:C)</f>
        <v>CAT002</v>
      </c>
      <c r="G275" t="str">
        <f ca="1">VLOOKUP(F275,Master_Category!A:B,2,FALSE)</f>
        <v>Tea</v>
      </c>
      <c r="H275" t="str">
        <f ca="1">_xlfn.XLOOKUP(D275,Master_Supplier!A:A,Master_Supplier!B:B)</f>
        <v>PT Beverage Nusantara</v>
      </c>
      <c r="I275" t="str">
        <f ca="1">_xlfn.XLOOKUP(D275,Master_Supplier!A:A,Master_Supplier!E:E)</f>
        <v>Jakarta</v>
      </c>
      <c r="J275">
        <f ca="1">_xlfn.XLOOKUP(C275,Master_Product!A:A,Master_Product!E:E)</f>
        <v>51421</v>
      </c>
      <c r="K275">
        <v>50</v>
      </c>
      <c r="L275">
        <f ca="1">Table_StockIn[[#This Row],[buy_price]]*Table_StockIn[[#This Row],[quantity]]</f>
        <v>2571050</v>
      </c>
    </row>
    <row r="276" spans="1:12" x14ac:dyDescent="0.3">
      <c r="A276" t="str">
        <f t="shared" si="8"/>
        <v>PUR0275</v>
      </c>
      <c r="B276" s="1">
        <f t="shared" ca="1" si="9"/>
        <v>45870</v>
      </c>
      <c r="C276" t="str" cm="1">
        <f t="array" aca="1" ref="C276" ca="1">INDEX(Master_Product!$A$2:$A$101,RANDBETWEEN(1,100))</f>
        <v>PRD008</v>
      </c>
      <c r="D276" t="str">
        <f ca="1">_xlfn.XLOOKUP(C276,Master_Product!A:A,Master_Product!D:D)</f>
        <v>SUP016</v>
      </c>
      <c r="E276" t="str">
        <f ca="1">_xlfn.XLOOKUP(C276,Master_Product!A:A,Master_Product!B:B)</f>
        <v>Chamomile</v>
      </c>
      <c r="F276" t="str">
        <f ca="1">_xlfn.XLOOKUP(C277,Master_Product!A:A,Master_Product!C:C)</f>
        <v>CAT010</v>
      </c>
      <c r="G276" t="str">
        <f ca="1">VLOOKUP(F276,Master_Category!A:B,2,FALSE)</f>
        <v>Cleaning</v>
      </c>
      <c r="H276" t="str">
        <f ca="1">_xlfn.XLOOKUP(D276,Master_Supplier!A:A,Master_Supplier!B:B)</f>
        <v>PT Espresso Supply</v>
      </c>
      <c r="I276" t="str">
        <f ca="1">_xlfn.XLOOKUP(D276,Master_Supplier!A:A,Master_Supplier!E:E)</f>
        <v>Depok</v>
      </c>
      <c r="J276">
        <f ca="1">_xlfn.XLOOKUP(C276,Master_Product!A:A,Master_Product!E:E)</f>
        <v>25006</v>
      </c>
      <c r="K276">
        <v>40</v>
      </c>
      <c r="L276">
        <f ca="1">Table_StockIn[[#This Row],[buy_price]]*Table_StockIn[[#This Row],[quantity]]</f>
        <v>1000240</v>
      </c>
    </row>
    <row r="277" spans="1:12" x14ac:dyDescent="0.3">
      <c r="A277" t="str">
        <f t="shared" si="8"/>
        <v>PUR0276</v>
      </c>
      <c r="B277" s="1">
        <f t="shared" ca="1" si="9"/>
        <v>45755</v>
      </c>
      <c r="C277" t="str" cm="1">
        <f t="array" aca="1" ref="C277" ca="1">INDEX(Master_Product!$A$2:$A$101,RANDBETWEEN(1,100))</f>
        <v>PRD038</v>
      </c>
      <c r="D277" t="str">
        <f ca="1">_xlfn.XLOOKUP(C277,Master_Product!A:A,Master_Product!D:D)</f>
        <v>SUP004</v>
      </c>
      <c r="E277" t="str">
        <f ca="1">_xlfn.XLOOKUP(C277,Master_Product!A:A,Master_Product!B:B)</f>
        <v>Porro Product</v>
      </c>
      <c r="F277" t="str">
        <f ca="1">_xlfn.XLOOKUP(C278,Master_Product!A:A,Master_Product!C:C)</f>
        <v>CAT005</v>
      </c>
      <c r="G277" t="str">
        <f ca="1">VLOOKUP(F277,Master_Category!A:B,2,FALSE)</f>
        <v>Powder</v>
      </c>
      <c r="H277" t="str">
        <f ca="1">_xlfn.XLOOKUP(D277,Master_Supplier!A:A,Master_Supplier!B:B)</f>
        <v>PT Dairy Fresh</v>
      </c>
      <c r="I277" t="str">
        <f ca="1">_xlfn.XLOOKUP(D277,Master_Supplier!A:A,Master_Supplier!E:E)</f>
        <v>Depok</v>
      </c>
      <c r="J277">
        <f ca="1">_xlfn.XLOOKUP(C277,Master_Product!A:A,Master_Product!E:E)</f>
        <v>16551</v>
      </c>
      <c r="K277">
        <v>20</v>
      </c>
      <c r="L277">
        <f ca="1">Table_StockIn[[#This Row],[buy_price]]*Table_StockIn[[#This Row],[quantity]]</f>
        <v>331020</v>
      </c>
    </row>
    <row r="278" spans="1:12" x14ac:dyDescent="0.3">
      <c r="A278" t="str">
        <f t="shared" si="8"/>
        <v>PUR0277</v>
      </c>
      <c r="B278" s="1">
        <f t="shared" ca="1" si="9"/>
        <v>45991</v>
      </c>
      <c r="C278" t="str" cm="1">
        <f t="array" aca="1" ref="C278" ca="1">INDEX(Master_Product!$A$2:$A$101,RANDBETWEEN(1,100))</f>
        <v>PRD094</v>
      </c>
      <c r="D278" t="str">
        <f ca="1">_xlfn.XLOOKUP(C278,Master_Product!A:A,Master_Product!D:D)</f>
        <v>SUP020</v>
      </c>
      <c r="E278" t="str">
        <f ca="1">_xlfn.XLOOKUP(C278,Master_Product!A:A,Master_Product!B:B)</f>
        <v>Expedita Product</v>
      </c>
      <c r="F278" t="str">
        <f ca="1">_xlfn.XLOOKUP(C279,Master_Product!A:A,Master_Product!C:C)</f>
        <v>CAT002</v>
      </c>
      <c r="G278" t="str">
        <f ca="1">VLOOKUP(F278,Master_Category!A:B,2,FALSE)</f>
        <v>Tea</v>
      </c>
      <c r="H278" t="str">
        <f ca="1">_xlfn.XLOOKUP(D278,Master_Supplier!A:A,Master_Supplier!B:B)</f>
        <v>PT Clean Solution</v>
      </c>
      <c r="I278" t="str">
        <f ca="1">_xlfn.XLOOKUP(D278,Master_Supplier!A:A,Master_Supplier!E:E)</f>
        <v>Yogyakarta</v>
      </c>
      <c r="J278">
        <f ca="1">_xlfn.XLOOKUP(C278,Master_Product!A:A,Master_Product!E:E)</f>
        <v>43177</v>
      </c>
      <c r="K278">
        <v>40</v>
      </c>
      <c r="L278">
        <f ca="1">Table_StockIn[[#This Row],[buy_price]]*Table_StockIn[[#This Row],[quantity]]</f>
        <v>1727080</v>
      </c>
    </row>
    <row r="279" spans="1:12" x14ac:dyDescent="0.3">
      <c r="A279" t="str">
        <f t="shared" si="8"/>
        <v>PUR0278</v>
      </c>
      <c r="B279" s="1">
        <f t="shared" ca="1" si="9"/>
        <v>45968</v>
      </c>
      <c r="C279" t="str" cm="1">
        <f t="array" aca="1" ref="C279" ca="1">INDEX(Master_Product!$A$2:$A$101,RANDBETWEEN(1,100))</f>
        <v>PRD057</v>
      </c>
      <c r="D279" t="str">
        <f ca="1">_xlfn.XLOOKUP(C279,Master_Product!A:A,Master_Product!D:D)</f>
        <v>SUP010</v>
      </c>
      <c r="E279" t="str">
        <f ca="1">_xlfn.XLOOKUP(C279,Master_Product!A:A,Master_Product!B:B)</f>
        <v>Vitae Product</v>
      </c>
      <c r="F279" t="str">
        <f ca="1">_xlfn.XLOOKUP(C280,Master_Product!A:A,Master_Product!C:C)</f>
        <v>CAT001</v>
      </c>
      <c r="G279" t="str">
        <f ca="1">VLOOKUP(F279,Master_Category!A:B,2,FALSE)</f>
        <v>Coffee Bean</v>
      </c>
      <c r="H279" t="str">
        <f ca="1">_xlfn.XLOOKUP(D279,Master_Supplier!A:A,Master_Supplier!B:B)</f>
        <v>PT Gula Manis</v>
      </c>
      <c r="I279" t="str">
        <f ca="1">_xlfn.XLOOKUP(D279,Master_Supplier!A:A,Master_Supplier!E:E)</f>
        <v>Malang</v>
      </c>
      <c r="J279">
        <f ca="1">_xlfn.XLOOKUP(C279,Master_Product!A:A,Master_Product!E:E)</f>
        <v>52696</v>
      </c>
      <c r="K279">
        <v>50</v>
      </c>
      <c r="L279">
        <f ca="1">Table_StockIn[[#This Row],[buy_price]]*Table_StockIn[[#This Row],[quantity]]</f>
        <v>2634800</v>
      </c>
    </row>
    <row r="280" spans="1:12" x14ac:dyDescent="0.3">
      <c r="A280" t="str">
        <f t="shared" si="8"/>
        <v>PUR0279</v>
      </c>
      <c r="B280" s="1">
        <f t="shared" ca="1" si="9"/>
        <v>45707</v>
      </c>
      <c r="C280" t="str" cm="1">
        <f t="array" aca="1" ref="C280" ca="1">INDEX(Master_Product!$A$2:$A$101,RANDBETWEEN(1,100))</f>
        <v>PRD095</v>
      </c>
      <c r="D280" t="str">
        <f ca="1">_xlfn.XLOOKUP(C280,Master_Product!A:A,Master_Product!D:D)</f>
        <v>SUP022</v>
      </c>
      <c r="E280" t="str">
        <f ca="1">_xlfn.XLOOKUP(C280,Master_Product!A:A,Master_Product!B:B)</f>
        <v>In Product</v>
      </c>
      <c r="F280" t="str">
        <f ca="1">_xlfn.XLOOKUP(C281,Master_Product!A:A,Master_Product!C:C)</f>
        <v>CAT001</v>
      </c>
      <c r="G280" t="str">
        <f ca="1">VLOOKUP(F280,Master_Category!A:B,2,FALSE)</f>
        <v>Coffee Bean</v>
      </c>
      <c r="H280" t="str">
        <f ca="1">_xlfn.XLOOKUP(D280,Master_Supplier!A:A,Master_Supplier!B:B)</f>
        <v>CV Biji Nusantara</v>
      </c>
      <c r="I280" t="str">
        <f ca="1">_xlfn.XLOOKUP(D280,Master_Supplier!A:A,Master_Supplier!E:E)</f>
        <v>Yogyakarta</v>
      </c>
      <c r="J280">
        <f ca="1">_xlfn.XLOOKUP(C280,Master_Product!A:A,Master_Product!E:E)</f>
        <v>79798</v>
      </c>
      <c r="K280">
        <v>30</v>
      </c>
      <c r="L280">
        <f ca="1">Table_StockIn[[#This Row],[buy_price]]*Table_StockIn[[#This Row],[quantity]]</f>
        <v>2393940</v>
      </c>
    </row>
    <row r="281" spans="1:12" x14ac:dyDescent="0.3">
      <c r="A281" t="str">
        <f t="shared" si="8"/>
        <v>PUR0280</v>
      </c>
      <c r="B281" s="1">
        <f t="shared" ca="1" si="9"/>
        <v>45810</v>
      </c>
      <c r="C281" t="str" cm="1">
        <f t="array" aca="1" ref="C281" ca="1">INDEX(Master_Product!$A$2:$A$101,RANDBETWEEN(1,100))</f>
        <v>PRD100</v>
      </c>
      <c r="D281" t="str">
        <f ca="1">_xlfn.XLOOKUP(C281,Master_Product!A:A,Master_Product!D:D)</f>
        <v>SUP022</v>
      </c>
      <c r="E281" t="str">
        <f ca="1">_xlfn.XLOOKUP(C281,Master_Product!A:A,Master_Product!B:B)</f>
        <v>Commodi Product</v>
      </c>
      <c r="F281" t="str">
        <f ca="1">_xlfn.XLOOKUP(C282,Master_Product!A:A,Master_Product!C:C)</f>
        <v>CAT001</v>
      </c>
      <c r="G281" t="str">
        <f ca="1">VLOOKUP(F281,Master_Category!A:B,2,FALSE)</f>
        <v>Coffee Bean</v>
      </c>
      <c r="H281" t="str">
        <f ca="1">_xlfn.XLOOKUP(D281,Master_Supplier!A:A,Master_Supplier!B:B)</f>
        <v>CV Biji Nusantara</v>
      </c>
      <c r="I281" t="str">
        <f ca="1">_xlfn.XLOOKUP(D281,Master_Supplier!A:A,Master_Supplier!E:E)</f>
        <v>Yogyakarta</v>
      </c>
      <c r="J281">
        <f ca="1">_xlfn.XLOOKUP(C281,Master_Product!A:A,Master_Product!E:E)</f>
        <v>50193</v>
      </c>
      <c r="K281">
        <v>50</v>
      </c>
      <c r="L281">
        <f ca="1">Table_StockIn[[#This Row],[buy_price]]*Table_StockIn[[#This Row],[quantity]]</f>
        <v>2509650</v>
      </c>
    </row>
    <row r="282" spans="1:12" x14ac:dyDescent="0.3">
      <c r="A282" t="str">
        <f t="shared" si="8"/>
        <v>PUR0281</v>
      </c>
      <c r="B282" s="1">
        <f t="shared" ca="1" si="9"/>
        <v>45696</v>
      </c>
      <c r="C282" t="str" cm="1">
        <f t="array" aca="1" ref="C282" ca="1">INDEX(Master_Product!$A$2:$A$101,RANDBETWEEN(1,100))</f>
        <v>PRD003</v>
      </c>
      <c r="D282" t="str">
        <f ca="1">_xlfn.XLOOKUP(C282,Master_Product!A:A,Master_Product!D:D)</f>
        <v>SUP020</v>
      </c>
      <c r="E282" t="str">
        <f ca="1">_xlfn.XLOOKUP(C282,Master_Product!A:A,Master_Product!B:B)</f>
        <v>Arabica Toraja</v>
      </c>
      <c r="F282" t="str">
        <f ca="1">_xlfn.XLOOKUP(C283,Master_Product!A:A,Master_Product!C:C)</f>
        <v>CAT007</v>
      </c>
      <c r="G282" t="str">
        <f ca="1">VLOOKUP(F282,Master_Category!A:B,2,FALSE)</f>
        <v>Cup &amp; Packaging</v>
      </c>
      <c r="H282" t="str">
        <f ca="1">_xlfn.XLOOKUP(D282,Master_Supplier!A:A,Master_Supplier!B:B)</f>
        <v>PT Clean Solution</v>
      </c>
      <c r="I282" t="str">
        <f ca="1">_xlfn.XLOOKUP(D282,Master_Supplier!A:A,Master_Supplier!E:E)</f>
        <v>Yogyakarta</v>
      </c>
      <c r="J282">
        <f ca="1">_xlfn.XLOOKUP(C282,Master_Product!A:A,Master_Product!E:E)</f>
        <v>43652</v>
      </c>
      <c r="K282">
        <v>40</v>
      </c>
      <c r="L282">
        <f ca="1">Table_StockIn[[#This Row],[buy_price]]*Table_StockIn[[#This Row],[quantity]]</f>
        <v>1746080</v>
      </c>
    </row>
    <row r="283" spans="1:12" x14ac:dyDescent="0.3">
      <c r="A283" t="str">
        <f t="shared" si="8"/>
        <v>PUR0282</v>
      </c>
      <c r="B283" s="1">
        <f t="shared" ca="1" si="9"/>
        <v>45906</v>
      </c>
      <c r="C283" t="str" cm="1">
        <f t="array" aca="1" ref="C283" ca="1">INDEX(Master_Product!$A$2:$A$101,RANDBETWEEN(1,100))</f>
        <v>PRD026</v>
      </c>
      <c r="D283" t="str">
        <f ca="1">_xlfn.XLOOKUP(C283,Master_Product!A:A,Master_Product!D:D)</f>
        <v>SUP025</v>
      </c>
      <c r="E283" t="str">
        <f ca="1">_xlfn.XLOOKUP(C283,Master_Product!A:A,Master_Product!B:B)</f>
        <v>Plastic Lid</v>
      </c>
      <c r="F283" t="str">
        <f ca="1">_xlfn.XLOOKUP(C284,Master_Product!A:A,Master_Product!C:C)</f>
        <v>CAT001</v>
      </c>
      <c r="G283" t="str">
        <f ca="1">VLOOKUP(F283,Master_Category!A:B,2,FALSE)</f>
        <v>Coffee Bean</v>
      </c>
      <c r="H283" t="str">
        <f ca="1">_xlfn.XLOOKUP(D283,Master_Supplier!A:A,Master_Supplier!B:B)</f>
        <v>PT Arabica Indonesia</v>
      </c>
      <c r="I283" t="str">
        <f ca="1">_xlfn.XLOOKUP(D283,Master_Supplier!A:A,Master_Supplier!E:E)</f>
        <v>Semarang</v>
      </c>
      <c r="J283">
        <f ca="1">_xlfn.XLOOKUP(C283,Master_Product!A:A,Master_Product!E:E)</f>
        <v>59287</v>
      </c>
      <c r="K283">
        <v>100</v>
      </c>
      <c r="L283">
        <f ca="1">Table_StockIn[[#This Row],[buy_price]]*Table_StockIn[[#This Row],[quantity]]</f>
        <v>5928700</v>
      </c>
    </row>
    <row r="284" spans="1:12" x14ac:dyDescent="0.3">
      <c r="A284" t="str">
        <f t="shared" si="8"/>
        <v>PUR0283</v>
      </c>
      <c r="B284" s="1">
        <f t="shared" ca="1" si="9"/>
        <v>45837</v>
      </c>
      <c r="C284" t="str" cm="1">
        <f t="array" aca="1" ref="C284" ca="1">INDEX(Master_Product!$A$2:$A$101,RANDBETWEEN(1,100))</f>
        <v>PRD075</v>
      </c>
      <c r="D284" t="str">
        <f ca="1">_xlfn.XLOOKUP(C284,Master_Product!A:A,Master_Product!D:D)</f>
        <v>SUP019</v>
      </c>
      <c r="E284" t="str">
        <f ca="1">_xlfn.XLOOKUP(C284,Master_Product!A:A,Master_Product!B:B)</f>
        <v>Officia Product</v>
      </c>
      <c r="F284" t="str">
        <f ca="1">_xlfn.XLOOKUP(C285,Master_Product!A:A,Master_Product!C:C)</f>
        <v>CAT002</v>
      </c>
      <c r="G284" t="str">
        <f ca="1">VLOOKUP(F284,Master_Category!A:B,2,FALSE)</f>
        <v>Tea</v>
      </c>
      <c r="H284" t="str">
        <f ca="1">_xlfn.XLOOKUP(D284,Master_Supplier!A:A,Master_Supplier!B:B)</f>
        <v>PT Indo Beverage</v>
      </c>
      <c r="I284" t="str">
        <f ca="1">_xlfn.XLOOKUP(D284,Master_Supplier!A:A,Master_Supplier!E:E)</f>
        <v>Jakarta</v>
      </c>
      <c r="J284">
        <f ca="1">_xlfn.XLOOKUP(C284,Master_Product!A:A,Master_Product!E:E)</f>
        <v>30430</v>
      </c>
      <c r="K284">
        <v>100</v>
      </c>
      <c r="L284">
        <f ca="1">Table_StockIn[[#This Row],[buy_price]]*Table_StockIn[[#This Row],[quantity]]</f>
        <v>3043000</v>
      </c>
    </row>
    <row r="285" spans="1:12" x14ac:dyDescent="0.3">
      <c r="A285" t="str">
        <f t="shared" si="8"/>
        <v>PUR0284</v>
      </c>
      <c r="B285" s="1">
        <f t="shared" ca="1" si="9"/>
        <v>45955</v>
      </c>
      <c r="C285" t="str" cm="1">
        <f t="array" aca="1" ref="C285" ca="1">INDEX(Master_Product!$A$2:$A$101,RANDBETWEEN(1,100))</f>
        <v>PRD057</v>
      </c>
      <c r="D285" t="str">
        <f ca="1">_xlfn.XLOOKUP(C285,Master_Product!A:A,Master_Product!D:D)</f>
        <v>SUP010</v>
      </c>
      <c r="E285" t="str">
        <f ca="1">_xlfn.XLOOKUP(C285,Master_Product!A:A,Master_Product!B:B)</f>
        <v>Vitae Product</v>
      </c>
      <c r="F285" t="str">
        <f ca="1">_xlfn.XLOOKUP(C286,Master_Product!A:A,Master_Product!C:C)</f>
        <v>CAT003</v>
      </c>
      <c r="G285" t="str">
        <f ca="1">VLOOKUP(F285,Master_Category!A:B,2,FALSE)</f>
        <v>Milk</v>
      </c>
      <c r="H285" t="str">
        <f ca="1">_xlfn.XLOOKUP(D285,Master_Supplier!A:A,Master_Supplier!B:B)</f>
        <v>PT Gula Manis</v>
      </c>
      <c r="I285" t="str">
        <f ca="1">_xlfn.XLOOKUP(D285,Master_Supplier!A:A,Master_Supplier!E:E)</f>
        <v>Malang</v>
      </c>
      <c r="J285">
        <f ca="1">_xlfn.XLOOKUP(C285,Master_Product!A:A,Master_Product!E:E)</f>
        <v>52696</v>
      </c>
      <c r="K285">
        <v>40</v>
      </c>
      <c r="L285">
        <f ca="1">Table_StockIn[[#This Row],[buy_price]]*Table_StockIn[[#This Row],[quantity]]</f>
        <v>2107840</v>
      </c>
    </row>
    <row r="286" spans="1:12" x14ac:dyDescent="0.3">
      <c r="A286" t="str">
        <f t="shared" si="8"/>
        <v>PUR0285</v>
      </c>
      <c r="B286" s="1">
        <f t="shared" ca="1" si="9"/>
        <v>46013</v>
      </c>
      <c r="C286" t="str" cm="1">
        <f t="array" aca="1" ref="C286" ca="1">INDEX(Master_Product!$A$2:$A$101,RANDBETWEEN(1,100))</f>
        <v>PRD009</v>
      </c>
      <c r="D286" t="str">
        <f ca="1">_xlfn.XLOOKUP(C286,Master_Product!A:A,Master_Product!D:D)</f>
        <v>SUP004</v>
      </c>
      <c r="E286" t="str">
        <f ca="1">_xlfn.XLOOKUP(C286,Master_Product!A:A,Master_Product!B:B)</f>
        <v>Fresh Milk</v>
      </c>
      <c r="F286" t="str">
        <f ca="1">_xlfn.XLOOKUP(C287,Master_Product!A:A,Master_Product!C:C)</f>
        <v>CAT007</v>
      </c>
      <c r="G286" t="str">
        <f ca="1">VLOOKUP(F286,Master_Category!A:B,2,FALSE)</f>
        <v>Cup &amp; Packaging</v>
      </c>
      <c r="H286" t="str">
        <f ca="1">_xlfn.XLOOKUP(D286,Master_Supplier!A:A,Master_Supplier!B:B)</f>
        <v>PT Dairy Fresh</v>
      </c>
      <c r="I286" t="str">
        <f ca="1">_xlfn.XLOOKUP(D286,Master_Supplier!A:A,Master_Supplier!E:E)</f>
        <v>Depok</v>
      </c>
      <c r="J286">
        <f ca="1">_xlfn.XLOOKUP(C286,Master_Product!A:A,Master_Product!E:E)</f>
        <v>16188</v>
      </c>
      <c r="K286">
        <v>100</v>
      </c>
      <c r="L286">
        <f ca="1">Table_StockIn[[#This Row],[buy_price]]*Table_StockIn[[#This Row],[quantity]]</f>
        <v>1618800</v>
      </c>
    </row>
    <row r="287" spans="1:12" x14ac:dyDescent="0.3">
      <c r="A287" t="str">
        <f t="shared" si="8"/>
        <v>PUR0286</v>
      </c>
      <c r="B287" s="1">
        <f t="shared" ca="1" si="9"/>
        <v>45704</v>
      </c>
      <c r="C287" t="str" cm="1">
        <f t="array" aca="1" ref="C287" ca="1">INDEX(Master_Product!$A$2:$A$101,RANDBETWEEN(1,100))</f>
        <v>PRD026</v>
      </c>
      <c r="D287" t="str">
        <f ca="1">_xlfn.XLOOKUP(C287,Master_Product!A:A,Master_Product!D:D)</f>
        <v>SUP025</v>
      </c>
      <c r="E287" t="str">
        <f ca="1">_xlfn.XLOOKUP(C287,Master_Product!A:A,Master_Product!B:B)</f>
        <v>Plastic Lid</v>
      </c>
      <c r="F287" t="str">
        <f ca="1">_xlfn.XLOOKUP(C288,Master_Product!A:A,Master_Product!C:C)</f>
        <v>CAT009</v>
      </c>
      <c r="G287" t="str">
        <f ca="1">VLOOKUP(F287,Master_Category!A:B,2,FALSE)</f>
        <v>Machine Supply</v>
      </c>
      <c r="H287" t="str">
        <f ca="1">_xlfn.XLOOKUP(D287,Master_Supplier!A:A,Master_Supplier!B:B)</f>
        <v>PT Arabica Indonesia</v>
      </c>
      <c r="I287" t="str">
        <f ca="1">_xlfn.XLOOKUP(D287,Master_Supplier!A:A,Master_Supplier!E:E)</f>
        <v>Semarang</v>
      </c>
      <c r="J287">
        <f ca="1">_xlfn.XLOOKUP(C287,Master_Product!A:A,Master_Product!E:E)</f>
        <v>59287</v>
      </c>
      <c r="K287">
        <v>80</v>
      </c>
      <c r="L287">
        <f ca="1">Table_StockIn[[#This Row],[buy_price]]*Table_StockIn[[#This Row],[quantity]]</f>
        <v>4742960</v>
      </c>
    </row>
    <row r="288" spans="1:12" x14ac:dyDescent="0.3">
      <c r="A288" t="str">
        <f t="shared" si="8"/>
        <v>PUR0287</v>
      </c>
      <c r="B288" s="1">
        <f t="shared" ca="1" si="9"/>
        <v>45721</v>
      </c>
      <c r="C288" t="str" cm="1">
        <f t="array" aca="1" ref="C288" ca="1">INDEX(Master_Product!$A$2:$A$101,RANDBETWEEN(1,100))</f>
        <v>PRD040</v>
      </c>
      <c r="D288" t="str">
        <f ca="1">_xlfn.XLOOKUP(C288,Master_Product!A:A,Master_Product!D:D)</f>
        <v>SUP025</v>
      </c>
      <c r="E288" t="str">
        <f ca="1">_xlfn.XLOOKUP(C288,Master_Product!A:A,Master_Product!B:B)</f>
        <v>Deserunt Product</v>
      </c>
      <c r="F288" t="str">
        <f ca="1">_xlfn.XLOOKUP(C289,Master_Product!A:A,Master_Product!C:C)</f>
        <v>CAT009</v>
      </c>
      <c r="G288" t="str">
        <f ca="1">VLOOKUP(F288,Master_Category!A:B,2,FALSE)</f>
        <v>Machine Supply</v>
      </c>
      <c r="H288" t="str">
        <f ca="1">_xlfn.XLOOKUP(D288,Master_Supplier!A:A,Master_Supplier!B:B)</f>
        <v>PT Arabica Indonesia</v>
      </c>
      <c r="I288" t="str">
        <f ca="1">_xlfn.XLOOKUP(D288,Master_Supplier!A:A,Master_Supplier!E:E)</f>
        <v>Semarang</v>
      </c>
      <c r="J288">
        <f ca="1">_xlfn.XLOOKUP(C288,Master_Product!A:A,Master_Product!E:E)</f>
        <v>49500</v>
      </c>
      <c r="K288">
        <v>40</v>
      </c>
      <c r="L288">
        <f ca="1">Table_StockIn[[#This Row],[buy_price]]*Table_StockIn[[#This Row],[quantity]]</f>
        <v>1980000</v>
      </c>
    </row>
    <row r="289" spans="1:12" x14ac:dyDescent="0.3">
      <c r="A289" t="str">
        <f t="shared" si="8"/>
        <v>PUR0288</v>
      </c>
      <c r="B289" s="1">
        <f t="shared" ca="1" si="9"/>
        <v>45967</v>
      </c>
      <c r="C289" t="str" cm="1">
        <f t="array" aca="1" ref="C289" ca="1">INDEX(Master_Product!$A$2:$A$101,RANDBETWEEN(1,100))</f>
        <v>PRD040</v>
      </c>
      <c r="D289" t="str">
        <f ca="1">_xlfn.XLOOKUP(C289,Master_Product!A:A,Master_Product!D:D)</f>
        <v>SUP025</v>
      </c>
      <c r="E289" t="str">
        <f ca="1">_xlfn.XLOOKUP(C289,Master_Product!A:A,Master_Product!B:B)</f>
        <v>Deserunt Product</v>
      </c>
      <c r="F289" t="str">
        <f ca="1">_xlfn.XLOOKUP(C290,Master_Product!A:A,Master_Product!C:C)</f>
        <v>CAT007</v>
      </c>
      <c r="G289" t="str">
        <f ca="1">VLOOKUP(F289,Master_Category!A:B,2,FALSE)</f>
        <v>Cup &amp; Packaging</v>
      </c>
      <c r="H289" t="str">
        <f ca="1">_xlfn.XLOOKUP(D289,Master_Supplier!A:A,Master_Supplier!B:B)</f>
        <v>PT Arabica Indonesia</v>
      </c>
      <c r="I289" t="str">
        <f ca="1">_xlfn.XLOOKUP(D289,Master_Supplier!A:A,Master_Supplier!E:E)</f>
        <v>Semarang</v>
      </c>
      <c r="J289">
        <f ca="1">_xlfn.XLOOKUP(C289,Master_Product!A:A,Master_Product!E:E)</f>
        <v>49500</v>
      </c>
      <c r="K289">
        <v>80</v>
      </c>
      <c r="L289">
        <f ca="1">Table_StockIn[[#This Row],[buy_price]]*Table_StockIn[[#This Row],[quantity]]</f>
        <v>3960000</v>
      </c>
    </row>
    <row r="290" spans="1:12" x14ac:dyDescent="0.3">
      <c r="A290" t="str">
        <f t="shared" si="8"/>
        <v>PUR0289</v>
      </c>
      <c r="B290" s="1">
        <f t="shared" ca="1" si="9"/>
        <v>45710</v>
      </c>
      <c r="C290" t="str" cm="1">
        <f t="array" aca="1" ref="C290" ca="1">INDEX(Master_Product!$A$2:$A$101,RANDBETWEEN(1,100))</f>
        <v>PRD037</v>
      </c>
      <c r="D290" t="str">
        <f ca="1">_xlfn.XLOOKUP(C290,Master_Product!A:A,Master_Product!D:D)</f>
        <v>SUP020</v>
      </c>
      <c r="E290" t="str">
        <f ca="1">_xlfn.XLOOKUP(C290,Master_Product!A:A,Master_Product!B:B)</f>
        <v>Doloremque Product</v>
      </c>
      <c r="F290" t="str">
        <f ca="1">_xlfn.XLOOKUP(C291,Master_Product!A:A,Master_Product!C:C)</f>
        <v>CAT004</v>
      </c>
      <c r="G290" t="str">
        <f ca="1">VLOOKUP(F290,Master_Category!A:B,2,FALSE)</f>
        <v>Syrup</v>
      </c>
      <c r="H290" t="str">
        <f ca="1">_xlfn.XLOOKUP(D290,Master_Supplier!A:A,Master_Supplier!B:B)</f>
        <v>PT Clean Solution</v>
      </c>
      <c r="I290" t="str">
        <f ca="1">_xlfn.XLOOKUP(D290,Master_Supplier!A:A,Master_Supplier!E:E)</f>
        <v>Yogyakarta</v>
      </c>
      <c r="J290">
        <f ca="1">_xlfn.XLOOKUP(C290,Master_Product!A:A,Master_Product!E:E)</f>
        <v>27527</v>
      </c>
      <c r="K290">
        <v>20</v>
      </c>
      <c r="L290">
        <f ca="1">Table_StockIn[[#This Row],[buy_price]]*Table_StockIn[[#This Row],[quantity]]</f>
        <v>550540</v>
      </c>
    </row>
    <row r="291" spans="1:12" x14ac:dyDescent="0.3">
      <c r="A291" t="str">
        <f t="shared" si="8"/>
        <v>PUR0290</v>
      </c>
      <c r="B291" s="1">
        <f t="shared" ca="1" si="9"/>
        <v>45850</v>
      </c>
      <c r="C291" t="str" cm="1">
        <f t="array" aca="1" ref="C291" ca="1">INDEX(Master_Product!$A$2:$A$101,RANDBETWEEN(1,100))</f>
        <v>PRD090</v>
      </c>
      <c r="D291" t="str">
        <f ca="1">_xlfn.XLOOKUP(C291,Master_Product!A:A,Master_Product!D:D)</f>
        <v>SUP008</v>
      </c>
      <c r="E291" t="str">
        <f ca="1">_xlfn.XLOOKUP(C291,Master_Product!A:A,Master_Product!B:B)</f>
        <v>Esse Product</v>
      </c>
      <c r="F291" t="str">
        <f ca="1">_xlfn.XLOOKUP(C292,Master_Product!A:A,Master_Product!C:C)</f>
        <v>CAT001</v>
      </c>
      <c r="G291" t="str">
        <f ca="1">VLOOKUP(F291,Master_Category!A:B,2,FALSE)</f>
        <v>Coffee Bean</v>
      </c>
      <c r="H291" t="str">
        <f ca="1">_xlfn.XLOOKUP(D291,Master_Supplier!A:A,Master_Supplier!B:B)</f>
        <v>PT Packaging Solution</v>
      </c>
      <c r="I291" t="str">
        <f ca="1">_xlfn.XLOOKUP(D291,Master_Supplier!A:A,Master_Supplier!E:E)</f>
        <v>Yogyakarta</v>
      </c>
      <c r="J291">
        <f ca="1">_xlfn.XLOOKUP(C291,Master_Product!A:A,Master_Product!E:E)</f>
        <v>19573</v>
      </c>
      <c r="K291">
        <v>20</v>
      </c>
      <c r="L291">
        <f ca="1">Table_StockIn[[#This Row],[buy_price]]*Table_StockIn[[#This Row],[quantity]]</f>
        <v>391460</v>
      </c>
    </row>
    <row r="292" spans="1:12" x14ac:dyDescent="0.3">
      <c r="A292" t="str">
        <f t="shared" si="8"/>
        <v>PUR0291</v>
      </c>
      <c r="B292" s="1">
        <f t="shared" ca="1" si="9"/>
        <v>45775</v>
      </c>
      <c r="C292" t="str" cm="1">
        <f t="array" aca="1" ref="C292" ca="1">INDEX(Master_Product!$A$2:$A$101,RANDBETWEEN(1,100))</f>
        <v>PRD099</v>
      </c>
      <c r="D292" t="str">
        <f ca="1">_xlfn.XLOOKUP(C292,Master_Product!A:A,Master_Product!D:D)</f>
        <v>SUP001</v>
      </c>
      <c r="E292" t="str">
        <f ca="1">_xlfn.XLOOKUP(C292,Master_Product!A:A,Master_Product!B:B)</f>
        <v>Laudantium Product</v>
      </c>
      <c r="F292" t="str">
        <f ca="1">_xlfn.XLOOKUP(C293,Master_Product!A:A,Master_Product!C:C)</f>
        <v>CAT009</v>
      </c>
      <c r="G292" t="str">
        <f ca="1">VLOOKUP(F292,Master_Category!A:B,2,FALSE)</f>
        <v>Machine Supply</v>
      </c>
      <c r="H292" t="e">
        <f ca="1">_xlfn.XLOOKUP(D292,Master_Supplier!A:A,Master_Supplier!B:B)</f>
        <v>#N/A</v>
      </c>
      <c r="I292" t="e">
        <f ca="1">_xlfn.XLOOKUP(D292,Master_Supplier!A:A,Master_Supplier!E:E)</f>
        <v>#N/A</v>
      </c>
      <c r="J292">
        <f ca="1">_xlfn.XLOOKUP(C292,Master_Product!A:A,Master_Product!E:E)</f>
        <v>53929</v>
      </c>
      <c r="K292">
        <v>100</v>
      </c>
      <c r="L292">
        <f ca="1">Table_StockIn[[#This Row],[buy_price]]*Table_StockIn[[#This Row],[quantity]]</f>
        <v>5392900</v>
      </c>
    </row>
    <row r="293" spans="1:12" x14ac:dyDescent="0.3">
      <c r="A293" t="str">
        <f t="shared" si="8"/>
        <v>PUR0292</v>
      </c>
      <c r="B293" s="1">
        <f t="shared" ca="1" si="9"/>
        <v>45999</v>
      </c>
      <c r="C293" t="str" cm="1">
        <f t="array" aca="1" ref="C293" ca="1">INDEX(Master_Product!$A$2:$A$101,RANDBETWEEN(1,100))</f>
        <v>PRD076</v>
      </c>
      <c r="D293" t="str">
        <f ca="1">_xlfn.XLOOKUP(C293,Master_Product!A:A,Master_Product!D:D)</f>
        <v>SUP017</v>
      </c>
      <c r="E293" t="str">
        <f ca="1">_xlfn.XLOOKUP(C293,Master_Product!A:A,Master_Product!B:B)</f>
        <v>Recusandae Product</v>
      </c>
      <c r="F293" t="str">
        <f ca="1">_xlfn.XLOOKUP(C294,Master_Product!A:A,Master_Product!C:C)</f>
        <v>CAT002</v>
      </c>
      <c r="G293" t="str">
        <f ca="1">VLOOKUP(F293,Master_Category!A:B,2,FALSE)</f>
        <v>Tea</v>
      </c>
      <c r="H293" t="str">
        <f ca="1">_xlfn.XLOOKUP(D293,Master_Supplier!A:A,Master_Supplier!B:B)</f>
        <v>PT Premium Beans</v>
      </c>
      <c r="I293" t="str">
        <f ca="1">_xlfn.XLOOKUP(D293,Master_Supplier!A:A,Master_Supplier!E:E)</f>
        <v>Yogyakarta</v>
      </c>
      <c r="J293">
        <f ca="1">_xlfn.XLOOKUP(C293,Master_Product!A:A,Master_Product!E:E)</f>
        <v>41932</v>
      </c>
      <c r="K293">
        <v>50</v>
      </c>
      <c r="L293">
        <f ca="1">Table_StockIn[[#This Row],[buy_price]]*Table_StockIn[[#This Row],[quantity]]</f>
        <v>2096600</v>
      </c>
    </row>
    <row r="294" spans="1:12" x14ac:dyDescent="0.3">
      <c r="A294" t="str">
        <f t="shared" si="8"/>
        <v>PUR0293</v>
      </c>
      <c r="B294" s="1">
        <f t="shared" ca="1" si="9"/>
        <v>45891</v>
      </c>
      <c r="C294" t="str" cm="1">
        <f t="array" aca="1" ref="C294" ca="1">INDEX(Master_Product!$A$2:$A$101,RANDBETWEEN(1,100))</f>
        <v>PRD006</v>
      </c>
      <c r="D294" t="str">
        <f ca="1">_xlfn.XLOOKUP(C294,Master_Product!A:A,Master_Product!D:D)</f>
        <v>SUP013</v>
      </c>
      <c r="E294" t="str">
        <f ca="1">_xlfn.XLOOKUP(C294,Master_Product!A:A,Master_Product!B:B)</f>
        <v>Green Tea</v>
      </c>
      <c r="F294" t="str">
        <f ca="1">_xlfn.XLOOKUP(C295,Master_Product!A:A,Master_Product!C:C)</f>
        <v>CAT008</v>
      </c>
      <c r="G294" t="str">
        <f ca="1">VLOOKUP(F294,Master_Category!A:B,2,FALSE)</f>
        <v>Snack</v>
      </c>
      <c r="H294" t="str">
        <f ca="1">_xlfn.XLOOKUP(D294,Master_Supplier!A:A,Master_Supplier!B:B)</f>
        <v>PT Coffee Trading</v>
      </c>
      <c r="I294" t="str">
        <f ca="1">_xlfn.XLOOKUP(D294,Master_Supplier!A:A,Master_Supplier!E:E)</f>
        <v>Jakarta</v>
      </c>
      <c r="J294">
        <f ca="1">_xlfn.XLOOKUP(C294,Master_Product!A:A,Master_Product!E:E)</f>
        <v>49424</v>
      </c>
      <c r="K294">
        <v>40</v>
      </c>
      <c r="L294">
        <f ca="1">Table_StockIn[[#This Row],[buy_price]]*Table_StockIn[[#This Row],[quantity]]</f>
        <v>1976960</v>
      </c>
    </row>
    <row r="295" spans="1:12" x14ac:dyDescent="0.3">
      <c r="A295" t="str">
        <f t="shared" si="8"/>
        <v>PUR0294</v>
      </c>
      <c r="B295" s="1">
        <f t="shared" ca="1" si="9"/>
        <v>45797</v>
      </c>
      <c r="C295" t="str" cm="1">
        <f t="array" aca="1" ref="C295" ca="1">INDEX(Master_Product!$A$2:$A$101,RANDBETWEEN(1,100))</f>
        <v>PRD029</v>
      </c>
      <c r="D295" t="str">
        <f ca="1">_xlfn.XLOOKUP(C295,Master_Product!A:A,Master_Product!D:D)</f>
        <v>SUP010</v>
      </c>
      <c r="E295" t="str">
        <f ca="1">_xlfn.XLOOKUP(C295,Master_Product!A:A,Master_Product!B:B)</f>
        <v>Croissant</v>
      </c>
      <c r="F295" t="str">
        <f ca="1">_xlfn.XLOOKUP(C296,Master_Product!A:A,Master_Product!C:C)</f>
        <v>CAT005</v>
      </c>
      <c r="G295" t="str">
        <f ca="1">VLOOKUP(F295,Master_Category!A:B,2,FALSE)</f>
        <v>Powder</v>
      </c>
      <c r="H295" t="str">
        <f ca="1">_xlfn.XLOOKUP(D295,Master_Supplier!A:A,Master_Supplier!B:B)</f>
        <v>PT Gula Manis</v>
      </c>
      <c r="I295" t="str">
        <f ca="1">_xlfn.XLOOKUP(D295,Master_Supplier!A:A,Master_Supplier!E:E)</f>
        <v>Malang</v>
      </c>
      <c r="J295">
        <f ca="1">_xlfn.XLOOKUP(C295,Master_Product!A:A,Master_Product!E:E)</f>
        <v>12180</v>
      </c>
      <c r="K295">
        <v>100</v>
      </c>
      <c r="L295">
        <f ca="1">Table_StockIn[[#This Row],[buy_price]]*Table_StockIn[[#This Row],[quantity]]</f>
        <v>1218000</v>
      </c>
    </row>
    <row r="296" spans="1:12" x14ac:dyDescent="0.3">
      <c r="A296" t="str">
        <f t="shared" si="8"/>
        <v>PUR0295</v>
      </c>
      <c r="B296" s="1">
        <f t="shared" ca="1" si="9"/>
        <v>45733</v>
      </c>
      <c r="C296" t="str" cm="1">
        <f t="array" aca="1" ref="C296" ca="1">INDEX(Master_Product!$A$2:$A$101,RANDBETWEEN(1,100))</f>
        <v>PRD086</v>
      </c>
      <c r="D296" t="str">
        <f ca="1">_xlfn.XLOOKUP(C296,Master_Product!A:A,Master_Product!D:D)</f>
        <v>SUP010</v>
      </c>
      <c r="E296" t="str">
        <f ca="1">_xlfn.XLOOKUP(C296,Master_Product!A:A,Master_Product!B:B)</f>
        <v>Quis Product</v>
      </c>
      <c r="F296" t="str">
        <f ca="1">_xlfn.XLOOKUP(C297,Master_Product!A:A,Master_Product!C:C)</f>
        <v>CAT005</v>
      </c>
      <c r="G296" t="str">
        <f ca="1">VLOOKUP(F296,Master_Category!A:B,2,FALSE)</f>
        <v>Powder</v>
      </c>
      <c r="H296" t="str">
        <f ca="1">_xlfn.XLOOKUP(D296,Master_Supplier!A:A,Master_Supplier!B:B)</f>
        <v>PT Gula Manis</v>
      </c>
      <c r="I296" t="str">
        <f ca="1">_xlfn.XLOOKUP(D296,Master_Supplier!A:A,Master_Supplier!E:E)</f>
        <v>Malang</v>
      </c>
      <c r="J296">
        <f ca="1">_xlfn.XLOOKUP(C296,Master_Product!A:A,Master_Product!E:E)</f>
        <v>24142</v>
      </c>
      <c r="K296">
        <v>100</v>
      </c>
      <c r="L296">
        <f ca="1">Table_StockIn[[#This Row],[buy_price]]*Table_StockIn[[#This Row],[quantity]]</f>
        <v>2414200</v>
      </c>
    </row>
    <row r="297" spans="1:12" x14ac:dyDescent="0.3">
      <c r="A297" t="str">
        <f t="shared" si="8"/>
        <v>PUR0296</v>
      </c>
      <c r="B297" s="1">
        <f t="shared" ca="1" si="9"/>
        <v>45832</v>
      </c>
      <c r="C297" t="str" cm="1">
        <f t="array" aca="1" ref="C297" ca="1">INDEX(Master_Product!$A$2:$A$101,RANDBETWEEN(1,100))</f>
        <v>PRD062</v>
      </c>
      <c r="D297" t="str">
        <f ca="1">_xlfn.XLOOKUP(C297,Master_Product!A:A,Master_Product!D:D)</f>
        <v>SUP023</v>
      </c>
      <c r="E297" t="str">
        <f ca="1">_xlfn.XLOOKUP(C297,Master_Product!A:A,Master_Product!B:B)</f>
        <v>Porro Product</v>
      </c>
      <c r="F297" t="str">
        <f ca="1">_xlfn.XLOOKUP(C298,Master_Product!A:A,Master_Product!C:C)</f>
        <v>CAT005</v>
      </c>
      <c r="G297" t="str">
        <f ca="1">VLOOKUP(F297,Master_Category!A:B,2,FALSE)</f>
        <v>Powder</v>
      </c>
      <c r="H297" t="str">
        <f ca="1">_xlfn.XLOOKUP(D297,Master_Supplier!A:A,Master_Supplier!B:B)</f>
        <v>PT Mesin Kopi Indonesia</v>
      </c>
      <c r="I297" t="str">
        <f ca="1">_xlfn.XLOOKUP(D297,Master_Supplier!A:A,Master_Supplier!E:E)</f>
        <v>Surabaya</v>
      </c>
      <c r="J297">
        <f ca="1">_xlfn.XLOOKUP(C297,Master_Product!A:A,Master_Product!E:E)</f>
        <v>45662</v>
      </c>
      <c r="K297">
        <v>100</v>
      </c>
      <c r="L297">
        <f ca="1">Table_StockIn[[#This Row],[buy_price]]*Table_StockIn[[#This Row],[quantity]]</f>
        <v>4566200</v>
      </c>
    </row>
    <row r="298" spans="1:12" x14ac:dyDescent="0.3">
      <c r="A298" t="str">
        <f t="shared" si="8"/>
        <v>PUR0297</v>
      </c>
      <c r="B298" s="1">
        <f t="shared" ca="1" si="9"/>
        <v>45953</v>
      </c>
      <c r="C298" t="str" cm="1">
        <f t="array" aca="1" ref="C298" ca="1">INDEX(Master_Product!$A$2:$A$101,RANDBETWEEN(1,100))</f>
        <v>PRD018</v>
      </c>
      <c r="D298" t="str">
        <f ca="1">_xlfn.XLOOKUP(C298,Master_Product!A:A,Master_Product!D:D)</f>
        <v>SUP023</v>
      </c>
      <c r="E298" t="str">
        <f ca="1">_xlfn.XLOOKUP(C298,Master_Product!A:A,Master_Product!B:B)</f>
        <v>Taro Powder</v>
      </c>
      <c r="F298" t="str">
        <f ca="1">_xlfn.XLOOKUP(C299,Master_Product!A:A,Master_Product!C:C)</f>
        <v>CAT001</v>
      </c>
      <c r="G298" t="str">
        <f ca="1">VLOOKUP(F298,Master_Category!A:B,2,FALSE)</f>
        <v>Coffee Bean</v>
      </c>
      <c r="H298" t="str">
        <f ca="1">_xlfn.XLOOKUP(D298,Master_Supplier!A:A,Master_Supplier!B:B)</f>
        <v>PT Mesin Kopi Indonesia</v>
      </c>
      <c r="I298" t="str">
        <f ca="1">_xlfn.XLOOKUP(D298,Master_Supplier!A:A,Master_Supplier!E:E)</f>
        <v>Surabaya</v>
      </c>
      <c r="J298">
        <f ca="1">_xlfn.XLOOKUP(C298,Master_Product!A:A,Master_Product!E:E)</f>
        <v>8794</v>
      </c>
      <c r="K298">
        <v>30</v>
      </c>
      <c r="L298">
        <f ca="1">Table_StockIn[[#This Row],[buy_price]]*Table_StockIn[[#This Row],[quantity]]</f>
        <v>263820</v>
      </c>
    </row>
    <row r="299" spans="1:12" x14ac:dyDescent="0.3">
      <c r="A299" t="str">
        <f t="shared" si="8"/>
        <v>PUR0298</v>
      </c>
      <c r="B299" s="1">
        <f t="shared" ca="1" si="9"/>
        <v>45784</v>
      </c>
      <c r="C299" t="str" cm="1">
        <f t="array" aca="1" ref="C299" ca="1">INDEX(Master_Product!$A$2:$A$101,RANDBETWEEN(1,100))</f>
        <v>PRD004</v>
      </c>
      <c r="D299" t="str">
        <f ca="1">_xlfn.XLOOKUP(C299,Master_Product!A:A,Master_Product!D:D)</f>
        <v>SUP021</v>
      </c>
      <c r="E299" t="str">
        <f ca="1">_xlfn.XLOOKUP(C299,Master_Product!A:A,Master_Product!B:B)</f>
        <v>Robusta Lampung</v>
      </c>
      <c r="F299" t="str">
        <f ca="1">_xlfn.XLOOKUP(C300,Master_Product!A:A,Master_Product!C:C)</f>
        <v>CAT010</v>
      </c>
      <c r="G299" t="str">
        <f ca="1">VLOOKUP(F299,Master_Category!A:B,2,FALSE)</f>
        <v>Cleaning</v>
      </c>
      <c r="H299" t="str">
        <f ca="1">_xlfn.XLOOKUP(D299,Master_Supplier!A:A,Master_Supplier!B:B)</f>
        <v>PT Coffee Packaging</v>
      </c>
      <c r="I299" t="str">
        <f ca="1">_xlfn.XLOOKUP(D299,Master_Supplier!A:A,Master_Supplier!E:E)</f>
        <v>Depok</v>
      </c>
      <c r="J299">
        <f ca="1">_xlfn.XLOOKUP(C299,Master_Product!A:A,Master_Product!E:E)</f>
        <v>19996</v>
      </c>
      <c r="K299">
        <v>30</v>
      </c>
      <c r="L299">
        <f ca="1">Table_StockIn[[#This Row],[buy_price]]*Table_StockIn[[#This Row],[quantity]]</f>
        <v>599880</v>
      </c>
    </row>
    <row r="300" spans="1:12" x14ac:dyDescent="0.3">
      <c r="A300" t="str">
        <f t="shared" si="8"/>
        <v>PUR0299</v>
      </c>
      <c r="B300" s="1">
        <f t="shared" ca="1" si="9"/>
        <v>45846</v>
      </c>
      <c r="C300" t="str" cm="1">
        <f t="array" aca="1" ref="C300" ca="1">INDEX(Master_Product!$A$2:$A$101,RANDBETWEEN(1,100))</f>
        <v>PRD038</v>
      </c>
      <c r="D300" t="str">
        <f ca="1">_xlfn.XLOOKUP(C300,Master_Product!A:A,Master_Product!D:D)</f>
        <v>SUP004</v>
      </c>
      <c r="E300" t="str">
        <f ca="1">_xlfn.XLOOKUP(C300,Master_Product!A:A,Master_Product!B:B)</f>
        <v>Porro Product</v>
      </c>
      <c r="F300" t="str">
        <f ca="1">_xlfn.XLOOKUP(C301,Master_Product!A:A,Master_Product!C:C)</f>
        <v>CAT004</v>
      </c>
      <c r="G300" t="str">
        <f ca="1">VLOOKUP(F300,Master_Category!A:B,2,FALSE)</f>
        <v>Syrup</v>
      </c>
      <c r="H300" t="str">
        <f ca="1">_xlfn.XLOOKUP(D300,Master_Supplier!A:A,Master_Supplier!B:B)</f>
        <v>PT Dairy Fresh</v>
      </c>
      <c r="I300" t="str">
        <f ca="1">_xlfn.XLOOKUP(D300,Master_Supplier!A:A,Master_Supplier!E:E)</f>
        <v>Depok</v>
      </c>
      <c r="J300">
        <f ca="1">_xlfn.XLOOKUP(C300,Master_Product!A:A,Master_Product!E:E)</f>
        <v>16551</v>
      </c>
      <c r="K300">
        <v>40</v>
      </c>
      <c r="L300">
        <f ca="1">Table_StockIn[[#This Row],[buy_price]]*Table_StockIn[[#This Row],[quantity]]</f>
        <v>662040</v>
      </c>
    </row>
    <row r="301" spans="1:12" x14ac:dyDescent="0.3">
      <c r="A301" t="str">
        <f t="shared" si="8"/>
        <v>PUR0300</v>
      </c>
      <c r="B301" s="1">
        <f t="shared" ca="1" si="9"/>
        <v>45978</v>
      </c>
      <c r="C301" t="str" cm="1">
        <f t="array" aca="1" ref="C301" ca="1">INDEX(Master_Product!$A$2:$A$101,RANDBETWEEN(1,100))</f>
        <v>PRD090</v>
      </c>
      <c r="D301" t="str">
        <f ca="1">_xlfn.XLOOKUP(C301,Master_Product!A:A,Master_Product!D:D)</f>
        <v>SUP008</v>
      </c>
      <c r="E301" t="str">
        <f ca="1">_xlfn.XLOOKUP(C301,Master_Product!A:A,Master_Product!B:B)</f>
        <v>Esse Product</v>
      </c>
      <c r="F301" t="str">
        <f ca="1">_xlfn.XLOOKUP(C302,Master_Product!A:A,Master_Product!C:C)</f>
        <v>CAT004</v>
      </c>
      <c r="G301" t="str">
        <f ca="1">VLOOKUP(F301,Master_Category!A:B,2,FALSE)</f>
        <v>Syrup</v>
      </c>
      <c r="H301" t="str">
        <f ca="1">_xlfn.XLOOKUP(D301,Master_Supplier!A:A,Master_Supplier!B:B)</f>
        <v>PT Packaging Solution</v>
      </c>
      <c r="I301" t="str">
        <f ca="1">_xlfn.XLOOKUP(D301,Master_Supplier!A:A,Master_Supplier!E:E)</f>
        <v>Yogyakarta</v>
      </c>
      <c r="J301">
        <f ca="1">_xlfn.XLOOKUP(C301,Master_Product!A:A,Master_Product!E:E)</f>
        <v>19573</v>
      </c>
      <c r="K301">
        <v>40</v>
      </c>
      <c r="L301">
        <f ca="1">Table_StockIn[[#This Row],[buy_price]]*Table_StockIn[[#This Row],[quantity]]</f>
        <v>782920</v>
      </c>
    </row>
    <row r="302" spans="1:12" x14ac:dyDescent="0.3">
      <c r="A302" t="str">
        <f t="shared" si="8"/>
        <v>PUR0301</v>
      </c>
      <c r="B302" s="1">
        <f t="shared" ca="1" si="9"/>
        <v>45774</v>
      </c>
      <c r="C302" t="str" cm="1">
        <f t="array" aca="1" ref="C302" ca="1">INDEX(Master_Product!$A$2:$A$101,RANDBETWEEN(1,100))</f>
        <v>PRD012</v>
      </c>
      <c r="D302" t="str">
        <f ca="1">_xlfn.XLOOKUP(C302,Master_Product!A:A,Master_Product!D:D)</f>
        <v>SUP024</v>
      </c>
      <c r="E302" t="str">
        <f ca="1">_xlfn.XLOOKUP(C302,Master_Product!A:A,Master_Product!B:B)</f>
        <v>Hazelnut Syrup</v>
      </c>
      <c r="F302" t="str">
        <f ca="1">_xlfn.XLOOKUP(C303,Master_Product!A:A,Master_Product!C:C)</f>
        <v>CAT005</v>
      </c>
      <c r="G302" t="str">
        <f ca="1">VLOOKUP(F302,Master_Category!A:B,2,FALSE)</f>
        <v>Powder</v>
      </c>
      <c r="H302" t="str">
        <f ca="1">_xlfn.XLOOKUP(D302,Master_Supplier!A:A,Master_Supplier!B:B)</f>
        <v>PT Coffee Chemical</v>
      </c>
      <c r="I302" t="str">
        <f ca="1">_xlfn.XLOOKUP(D302,Master_Supplier!A:A,Master_Supplier!E:E)</f>
        <v>Depok</v>
      </c>
      <c r="J302">
        <f ca="1">_xlfn.XLOOKUP(C302,Master_Product!A:A,Master_Product!E:E)</f>
        <v>60435</v>
      </c>
      <c r="K302">
        <v>80</v>
      </c>
      <c r="L302">
        <f ca="1">Table_StockIn[[#This Row],[buy_price]]*Table_StockIn[[#This Row],[quantity]]</f>
        <v>4834800</v>
      </c>
    </row>
    <row r="303" spans="1:12" x14ac:dyDescent="0.3">
      <c r="A303" t="str">
        <f t="shared" si="8"/>
        <v>PUR0302</v>
      </c>
      <c r="B303" s="1">
        <f t="shared" ca="1" si="9"/>
        <v>45967</v>
      </c>
      <c r="C303" t="str" cm="1">
        <f t="array" aca="1" ref="C303" ca="1">INDEX(Master_Product!$A$2:$A$101,RANDBETWEEN(1,100))</f>
        <v>PRD072</v>
      </c>
      <c r="D303" t="str">
        <f ca="1">_xlfn.XLOOKUP(C303,Master_Product!A:A,Master_Product!D:D)</f>
        <v>SUP012</v>
      </c>
      <c r="E303" t="str">
        <f ca="1">_xlfn.XLOOKUP(C303,Master_Product!A:A,Master_Product!B:B)</f>
        <v>Quidem Product</v>
      </c>
      <c r="F303" t="str">
        <f ca="1">_xlfn.XLOOKUP(C304,Master_Product!A:A,Master_Product!C:C)</f>
        <v>CAT005</v>
      </c>
      <c r="G303" t="str">
        <f ca="1">VLOOKUP(F303,Master_Category!A:B,2,FALSE)</f>
        <v>Powder</v>
      </c>
      <c r="H303" t="str">
        <f ca="1">_xlfn.XLOOKUP(D303,Master_Supplier!A:A,Master_Supplier!B:B)</f>
        <v>PT Tea Indonesia</v>
      </c>
      <c r="I303" t="str">
        <f ca="1">_xlfn.XLOOKUP(D303,Master_Supplier!A:A,Master_Supplier!E:E)</f>
        <v>Jakarta</v>
      </c>
      <c r="J303">
        <f ca="1">_xlfn.XLOOKUP(C303,Master_Product!A:A,Master_Product!E:E)</f>
        <v>62366</v>
      </c>
      <c r="K303">
        <v>80</v>
      </c>
      <c r="L303">
        <f ca="1">Table_StockIn[[#This Row],[buy_price]]*Table_StockIn[[#This Row],[quantity]]</f>
        <v>4989280</v>
      </c>
    </row>
    <row r="304" spans="1:12" x14ac:dyDescent="0.3">
      <c r="A304" t="str">
        <f t="shared" si="8"/>
        <v>PUR0303</v>
      </c>
      <c r="B304" s="1">
        <f t="shared" ca="1" si="9"/>
        <v>46006</v>
      </c>
      <c r="C304" t="str" cm="1">
        <f t="array" aca="1" ref="C304" ca="1">INDEX(Master_Product!$A$2:$A$101,RANDBETWEEN(1,100))</f>
        <v>PRD049</v>
      </c>
      <c r="D304" t="str">
        <f ca="1">_xlfn.XLOOKUP(C304,Master_Product!A:A,Master_Product!D:D)</f>
        <v>SUP015</v>
      </c>
      <c r="E304" t="str">
        <f ca="1">_xlfn.XLOOKUP(C304,Master_Product!A:A,Master_Product!B:B)</f>
        <v>Deleniti Product</v>
      </c>
      <c r="F304" t="str">
        <f ca="1">_xlfn.XLOOKUP(C305,Master_Product!A:A,Master_Product!C:C)</f>
        <v>CAT009</v>
      </c>
      <c r="G304" t="str">
        <f ca="1">VLOOKUP(F304,Master_Category!A:B,2,FALSE)</f>
        <v>Machine Supply</v>
      </c>
      <c r="H304" t="str">
        <f ca="1">_xlfn.XLOOKUP(D304,Master_Supplier!A:A,Master_Supplier!B:B)</f>
        <v>CV Kopi Indonesia</v>
      </c>
      <c r="I304" t="str">
        <f ca="1">_xlfn.XLOOKUP(D304,Master_Supplier!A:A,Master_Supplier!E:E)</f>
        <v>Depok</v>
      </c>
      <c r="J304">
        <f ca="1">_xlfn.XLOOKUP(C304,Master_Product!A:A,Master_Product!E:E)</f>
        <v>71497</v>
      </c>
      <c r="K304">
        <v>80</v>
      </c>
      <c r="L304">
        <f ca="1">Table_StockIn[[#This Row],[buy_price]]*Table_StockIn[[#This Row],[quantity]]</f>
        <v>5719760</v>
      </c>
    </row>
    <row r="305" spans="1:12" x14ac:dyDescent="0.3">
      <c r="A305" t="str">
        <f t="shared" si="8"/>
        <v>PUR0304</v>
      </c>
      <c r="B305" s="1">
        <f t="shared" ca="1" si="9"/>
        <v>45817</v>
      </c>
      <c r="C305" t="str" cm="1">
        <f t="array" aca="1" ref="C305" ca="1">INDEX(Master_Product!$A$2:$A$101,RANDBETWEEN(1,100))</f>
        <v>PRD071</v>
      </c>
      <c r="D305" t="str">
        <f ca="1">_xlfn.XLOOKUP(C305,Master_Product!A:A,Master_Product!D:D)</f>
        <v>SUP006</v>
      </c>
      <c r="E305" t="str">
        <f ca="1">_xlfn.XLOOKUP(C305,Master_Product!A:A,Master_Product!B:B)</f>
        <v>Et Product</v>
      </c>
      <c r="F305" t="str">
        <f ca="1">_xlfn.XLOOKUP(C306,Master_Product!A:A,Master_Product!C:C)</f>
        <v>CAT010</v>
      </c>
      <c r="G305" t="str">
        <f ca="1">VLOOKUP(F305,Master_Category!A:B,2,FALSE)</f>
        <v>Cleaning</v>
      </c>
      <c r="H305" t="str">
        <f ca="1">_xlfn.XLOOKUP(D305,Master_Supplier!A:A,Master_Supplier!B:B)</f>
        <v>CV Java Coffee</v>
      </c>
      <c r="I305" t="str">
        <f ca="1">_xlfn.XLOOKUP(D305,Master_Supplier!A:A,Master_Supplier!E:E)</f>
        <v>Bogor</v>
      </c>
      <c r="J305">
        <f ca="1">_xlfn.XLOOKUP(C305,Master_Product!A:A,Master_Product!E:E)</f>
        <v>54377</v>
      </c>
      <c r="K305">
        <v>40</v>
      </c>
      <c r="L305">
        <f ca="1">Table_StockIn[[#This Row],[buy_price]]*Table_StockIn[[#This Row],[quantity]]</f>
        <v>2175080</v>
      </c>
    </row>
    <row r="306" spans="1:12" x14ac:dyDescent="0.3">
      <c r="A306" t="str">
        <f t="shared" si="8"/>
        <v>PUR0305</v>
      </c>
      <c r="B306" s="1">
        <f t="shared" ca="1" si="9"/>
        <v>45775</v>
      </c>
      <c r="C306" t="str" cm="1">
        <f t="array" aca="1" ref="C306" ca="1">INDEX(Master_Product!$A$2:$A$101,RANDBETWEEN(1,100))</f>
        <v>PRD038</v>
      </c>
      <c r="D306" t="str">
        <f ca="1">_xlfn.XLOOKUP(C306,Master_Product!A:A,Master_Product!D:D)</f>
        <v>SUP004</v>
      </c>
      <c r="E306" t="str">
        <f ca="1">_xlfn.XLOOKUP(C306,Master_Product!A:A,Master_Product!B:B)</f>
        <v>Porro Product</v>
      </c>
      <c r="F306" t="str">
        <f ca="1">_xlfn.XLOOKUP(C307,Master_Product!A:A,Master_Product!C:C)</f>
        <v>CAT005</v>
      </c>
      <c r="G306" t="str">
        <f ca="1">VLOOKUP(F306,Master_Category!A:B,2,FALSE)</f>
        <v>Powder</v>
      </c>
      <c r="H306" t="str">
        <f ca="1">_xlfn.XLOOKUP(D306,Master_Supplier!A:A,Master_Supplier!B:B)</f>
        <v>PT Dairy Fresh</v>
      </c>
      <c r="I306" t="str">
        <f ca="1">_xlfn.XLOOKUP(D306,Master_Supplier!A:A,Master_Supplier!E:E)</f>
        <v>Depok</v>
      </c>
      <c r="J306">
        <f ca="1">_xlfn.XLOOKUP(C306,Master_Product!A:A,Master_Product!E:E)</f>
        <v>16551</v>
      </c>
      <c r="K306">
        <v>100</v>
      </c>
      <c r="L306">
        <f ca="1">Table_StockIn[[#This Row],[buy_price]]*Table_StockIn[[#This Row],[quantity]]</f>
        <v>1655100</v>
      </c>
    </row>
    <row r="307" spans="1:12" x14ac:dyDescent="0.3">
      <c r="A307" t="str">
        <f t="shared" si="8"/>
        <v>PUR0306</v>
      </c>
      <c r="B307" s="1">
        <f t="shared" ca="1" si="9"/>
        <v>45845</v>
      </c>
      <c r="C307" t="str" cm="1">
        <f t="array" aca="1" ref="C307" ca="1">INDEX(Master_Product!$A$2:$A$101,RANDBETWEEN(1,100))</f>
        <v>PRD098</v>
      </c>
      <c r="D307" t="str">
        <f ca="1">_xlfn.XLOOKUP(C307,Master_Product!A:A,Master_Product!D:D)</f>
        <v>SUP002</v>
      </c>
      <c r="E307" t="str">
        <f ca="1">_xlfn.XLOOKUP(C307,Master_Product!A:A,Master_Product!B:B)</f>
        <v>Fuga Product</v>
      </c>
      <c r="F307" t="str">
        <f ca="1">_xlfn.XLOOKUP(C308,Master_Product!A:A,Master_Product!C:C)</f>
        <v>CAT002</v>
      </c>
      <c r="G307" t="str">
        <f ca="1">VLOOKUP(F307,Master_Category!A:B,2,FALSE)</f>
        <v>Tea</v>
      </c>
      <c r="H307" t="e">
        <f ca="1">_xlfn.XLOOKUP(D307,Master_Supplier!A:A,Master_Supplier!B:B)</f>
        <v>#N/A</v>
      </c>
      <c r="I307" t="e">
        <f ca="1">_xlfn.XLOOKUP(D307,Master_Supplier!A:A,Master_Supplier!E:E)</f>
        <v>#N/A</v>
      </c>
      <c r="J307">
        <f ca="1">_xlfn.XLOOKUP(C307,Master_Product!A:A,Master_Product!E:E)</f>
        <v>56177</v>
      </c>
      <c r="K307">
        <v>30</v>
      </c>
      <c r="L307">
        <f ca="1">Table_StockIn[[#This Row],[buy_price]]*Table_StockIn[[#This Row],[quantity]]</f>
        <v>1685310</v>
      </c>
    </row>
    <row r="308" spans="1:12" x14ac:dyDescent="0.3">
      <c r="A308" t="str">
        <f t="shared" si="8"/>
        <v>PUR0307</v>
      </c>
      <c r="B308" s="1">
        <f t="shared" ca="1" si="9"/>
        <v>45966</v>
      </c>
      <c r="C308" t="str" cm="1">
        <f t="array" aca="1" ref="C308" ca="1">INDEX(Master_Product!$A$2:$A$101,RANDBETWEEN(1,100))</f>
        <v>PRD007</v>
      </c>
      <c r="D308" t="str">
        <f ca="1">_xlfn.XLOOKUP(C308,Master_Product!A:A,Master_Product!D:D)</f>
        <v>SUP022</v>
      </c>
      <c r="E308" t="str">
        <f ca="1">_xlfn.XLOOKUP(C308,Master_Product!A:A,Master_Product!B:B)</f>
        <v>Earl Grey</v>
      </c>
      <c r="F308" t="str">
        <f ca="1">_xlfn.XLOOKUP(C309,Master_Product!A:A,Master_Product!C:C)</f>
        <v>CAT010</v>
      </c>
      <c r="G308" t="str">
        <f ca="1">VLOOKUP(F308,Master_Category!A:B,2,FALSE)</f>
        <v>Cleaning</v>
      </c>
      <c r="H308" t="str">
        <f ca="1">_xlfn.XLOOKUP(D308,Master_Supplier!A:A,Master_Supplier!B:B)</f>
        <v>CV Biji Nusantara</v>
      </c>
      <c r="I308" t="str">
        <f ca="1">_xlfn.XLOOKUP(D308,Master_Supplier!A:A,Master_Supplier!E:E)</f>
        <v>Yogyakarta</v>
      </c>
      <c r="J308">
        <f ca="1">_xlfn.XLOOKUP(C308,Master_Product!A:A,Master_Product!E:E)</f>
        <v>45966</v>
      </c>
      <c r="K308">
        <v>30</v>
      </c>
      <c r="L308">
        <f ca="1">Table_StockIn[[#This Row],[buy_price]]*Table_StockIn[[#This Row],[quantity]]</f>
        <v>1378980</v>
      </c>
    </row>
    <row r="309" spans="1:12" x14ac:dyDescent="0.3">
      <c r="A309" t="str">
        <f t="shared" si="8"/>
        <v>PUR0308</v>
      </c>
      <c r="B309" s="1">
        <f t="shared" ca="1" si="9"/>
        <v>45843</v>
      </c>
      <c r="C309" t="str" cm="1">
        <f t="array" aca="1" ref="C309" ca="1">INDEX(Master_Product!$A$2:$A$101,RANDBETWEEN(1,100))</f>
        <v>PRD034</v>
      </c>
      <c r="D309" t="str">
        <f ca="1">_xlfn.XLOOKUP(C309,Master_Product!A:A,Master_Product!D:D)</f>
        <v>SUP030</v>
      </c>
      <c r="E309" t="str">
        <f ca="1">_xlfn.XLOOKUP(C309,Master_Product!A:A,Master_Product!B:B)</f>
        <v>Sanitizer</v>
      </c>
      <c r="F309" t="str">
        <f ca="1">_xlfn.XLOOKUP(C310,Master_Product!A:A,Master_Product!C:C)</f>
        <v>CAT003</v>
      </c>
      <c r="G309" t="str">
        <f ca="1">VLOOKUP(F309,Master_Category!A:B,2,FALSE)</f>
        <v>Milk</v>
      </c>
      <c r="H309" t="str">
        <f ca="1">_xlfn.XLOOKUP(D309,Master_Supplier!A:A,Master_Supplier!B:B)</f>
        <v>PT Smart Packaging</v>
      </c>
      <c r="I309" t="str">
        <f ca="1">_xlfn.XLOOKUP(D309,Master_Supplier!A:A,Master_Supplier!E:E)</f>
        <v>Surabaya</v>
      </c>
      <c r="J309">
        <f ca="1">_xlfn.XLOOKUP(C309,Master_Product!A:A,Master_Product!E:E)</f>
        <v>62176</v>
      </c>
      <c r="K309">
        <v>100</v>
      </c>
      <c r="L309">
        <f ca="1">Table_StockIn[[#This Row],[buy_price]]*Table_StockIn[[#This Row],[quantity]]</f>
        <v>6217600</v>
      </c>
    </row>
    <row r="310" spans="1:12" x14ac:dyDescent="0.3">
      <c r="A310" t="str">
        <f t="shared" si="8"/>
        <v>PUR0309</v>
      </c>
      <c r="B310" s="1">
        <f t="shared" ca="1" si="9"/>
        <v>45949</v>
      </c>
      <c r="C310" t="str" cm="1">
        <f t="array" aca="1" ref="C310" ca="1">INDEX(Master_Product!$A$2:$A$101,RANDBETWEEN(1,100))</f>
        <v>PRD048</v>
      </c>
      <c r="D310" t="str">
        <f ca="1">_xlfn.XLOOKUP(C310,Master_Product!A:A,Master_Product!D:D)</f>
        <v>SUP019</v>
      </c>
      <c r="E310" t="str">
        <f ca="1">_xlfn.XLOOKUP(C310,Master_Product!A:A,Master_Product!B:B)</f>
        <v>Placeat Product</v>
      </c>
      <c r="F310" t="str">
        <f ca="1">_xlfn.XLOOKUP(C311,Master_Product!A:A,Master_Product!C:C)</f>
        <v>CAT001</v>
      </c>
      <c r="G310" t="str">
        <f ca="1">VLOOKUP(F310,Master_Category!A:B,2,FALSE)</f>
        <v>Coffee Bean</v>
      </c>
      <c r="H310" t="str">
        <f ca="1">_xlfn.XLOOKUP(D310,Master_Supplier!A:A,Master_Supplier!B:B)</f>
        <v>PT Indo Beverage</v>
      </c>
      <c r="I310" t="str">
        <f ca="1">_xlfn.XLOOKUP(D310,Master_Supplier!A:A,Master_Supplier!E:E)</f>
        <v>Jakarta</v>
      </c>
      <c r="J310">
        <f ca="1">_xlfn.XLOOKUP(C310,Master_Product!A:A,Master_Product!E:E)</f>
        <v>44691</v>
      </c>
      <c r="K310">
        <v>100</v>
      </c>
      <c r="L310">
        <f ca="1">Table_StockIn[[#This Row],[buy_price]]*Table_StockIn[[#This Row],[quantity]]</f>
        <v>4469100</v>
      </c>
    </row>
    <row r="311" spans="1:12" x14ac:dyDescent="0.3">
      <c r="A311" t="str">
        <f t="shared" si="8"/>
        <v>PUR0310</v>
      </c>
      <c r="B311" s="1">
        <f t="shared" ca="1" si="9"/>
        <v>46002</v>
      </c>
      <c r="C311" t="str" cm="1">
        <f t="array" aca="1" ref="C311" ca="1">INDEX(Master_Product!$A$2:$A$101,RANDBETWEEN(1,100))</f>
        <v>PRD099</v>
      </c>
      <c r="D311" t="str">
        <f ca="1">_xlfn.XLOOKUP(C311,Master_Product!A:A,Master_Product!D:D)</f>
        <v>SUP001</v>
      </c>
      <c r="E311" t="str">
        <f ca="1">_xlfn.XLOOKUP(C311,Master_Product!A:A,Master_Product!B:B)</f>
        <v>Laudantium Product</v>
      </c>
      <c r="F311" t="str">
        <f ca="1">_xlfn.XLOOKUP(C312,Master_Product!A:A,Master_Product!C:C)</f>
        <v>CAT010</v>
      </c>
      <c r="G311" t="str">
        <f ca="1">VLOOKUP(F311,Master_Category!A:B,2,FALSE)</f>
        <v>Cleaning</v>
      </c>
      <c r="H311" t="e">
        <f ca="1">_xlfn.XLOOKUP(D311,Master_Supplier!A:A,Master_Supplier!B:B)</f>
        <v>#N/A</v>
      </c>
      <c r="I311" t="e">
        <f ca="1">_xlfn.XLOOKUP(D311,Master_Supplier!A:A,Master_Supplier!E:E)</f>
        <v>#N/A</v>
      </c>
      <c r="J311">
        <f ca="1">_xlfn.XLOOKUP(C311,Master_Product!A:A,Master_Product!E:E)</f>
        <v>53929</v>
      </c>
      <c r="K311">
        <v>80</v>
      </c>
      <c r="L311">
        <f ca="1">Table_StockIn[[#This Row],[buy_price]]*Table_StockIn[[#This Row],[quantity]]</f>
        <v>4314320</v>
      </c>
    </row>
    <row r="312" spans="1:12" x14ac:dyDescent="0.3">
      <c r="A312" t="str">
        <f t="shared" si="8"/>
        <v>PUR0311</v>
      </c>
      <c r="B312" s="1">
        <f t="shared" ca="1" si="9"/>
        <v>45766</v>
      </c>
      <c r="C312" t="str" cm="1">
        <f t="array" aca="1" ref="C312" ca="1">INDEX(Master_Product!$A$2:$A$101,RANDBETWEEN(1,100))</f>
        <v>PRD035</v>
      </c>
      <c r="D312" t="str">
        <f ca="1">_xlfn.XLOOKUP(C312,Master_Product!A:A,Master_Product!D:D)</f>
        <v>SUP023</v>
      </c>
      <c r="E312" t="str">
        <f ca="1">_xlfn.XLOOKUP(C312,Master_Product!A:A,Master_Product!B:B)</f>
        <v>Dishwashing Liquid</v>
      </c>
      <c r="F312" t="str">
        <f ca="1">_xlfn.XLOOKUP(C313,Master_Product!A:A,Master_Product!C:C)</f>
        <v>CAT002</v>
      </c>
      <c r="G312" t="str">
        <f ca="1">VLOOKUP(F312,Master_Category!A:B,2,FALSE)</f>
        <v>Tea</v>
      </c>
      <c r="H312" t="str">
        <f ca="1">_xlfn.XLOOKUP(D312,Master_Supplier!A:A,Master_Supplier!B:B)</f>
        <v>PT Mesin Kopi Indonesia</v>
      </c>
      <c r="I312" t="str">
        <f ca="1">_xlfn.XLOOKUP(D312,Master_Supplier!A:A,Master_Supplier!E:E)</f>
        <v>Surabaya</v>
      </c>
      <c r="J312">
        <f ca="1">_xlfn.XLOOKUP(C312,Master_Product!A:A,Master_Product!E:E)</f>
        <v>61267</v>
      </c>
      <c r="K312">
        <v>50</v>
      </c>
      <c r="L312">
        <f ca="1">Table_StockIn[[#This Row],[buy_price]]*Table_StockIn[[#This Row],[quantity]]</f>
        <v>3063350</v>
      </c>
    </row>
    <row r="313" spans="1:12" x14ac:dyDescent="0.3">
      <c r="A313" t="str">
        <f t="shared" si="8"/>
        <v>PUR0312</v>
      </c>
      <c r="B313" s="1">
        <f t="shared" ca="1" si="9"/>
        <v>45661</v>
      </c>
      <c r="C313" t="str" cm="1">
        <f t="array" aca="1" ref="C313" ca="1">INDEX(Master_Product!$A$2:$A$101,RANDBETWEEN(1,100))</f>
        <v>PRD052</v>
      </c>
      <c r="D313" t="str">
        <f ca="1">_xlfn.XLOOKUP(C313,Master_Product!A:A,Master_Product!D:D)</f>
        <v>SUP019</v>
      </c>
      <c r="E313" t="str">
        <f ca="1">_xlfn.XLOOKUP(C313,Master_Product!A:A,Master_Product!B:B)</f>
        <v>Ratione Product</v>
      </c>
      <c r="F313" t="str">
        <f ca="1">_xlfn.XLOOKUP(C314,Master_Product!A:A,Master_Product!C:C)</f>
        <v>CAT009</v>
      </c>
      <c r="G313" t="str">
        <f ca="1">VLOOKUP(F313,Master_Category!A:B,2,FALSE)</f>
        <v>Machine Supply</v>
      </c>
      <c r="H313" t="str">
        <f ca="1">_xlfn.XLOOKUP(D313,Master_Supplier!A:A,Master_Supplier!B:B)</f>
        <v>PT Indo Beverage</v>
      </c>
      <c r="I313" t="str">
        <f ca="1">_xlfn.XLOOKUP(D313,Master_Supplier!A:A,Master_Supplier!E:E)</f>
        <v>Jakarta</v>
      </c>
      <c r="J313">
        <f ca="1">_xlfn.XLOOKUP(C313,Master_Product!A:A,Master_Product!E:E)</f>
        <v>63947</v>
      </c>
      <c r="K313">
        <v>40</v>
      </c>
      <c r="L313">
        <f ca="1">Table_StockIn[[#This Row],[buy_price]]*Table_StockIn[[#This Row],[quantity]]</f>
        <v>2557880</v>
      </c>
    </row>
    <row r="314" spans="1:12" x14ac:dyDescent="0.3">
      <c r="A314" t="str">
        <f t="shared" si="8"/>
        <v>PUR0313</v>
      </c>
      <c r="B314" s="1">
        <f t="shared" ca="1" si="9"/>
        <v>45944</v>
      </c>
      <c r="C314" t="str" cm="1">
        <f t="array" aca="1" ref="C314" ca="1">INDEX(Master_Product!$A$2:$A$101,RANDBETWEEN(1,100))</f>
        <v>PRD076</v>
      </c>
      <c r="D314" t="str">
        <f ca="1">_xlfn.XLOOKUP(C314,Master_Product!A:A,Master_Product!D:D)</f>
        <v>SUP017</v>
      </c>
      <c r="E314" t="str">
        <f ca="1">_xlfn.XLOOKUP(C314,Master_Product!A:A,Master_Product!B:B)</f>
        <v>Recusandae Product</v>
      </c>
      <c r="F314" t="str">
        <f ca="1">_xlfn.XLOOKUP(C315,Master_Product!A:A,Master_Product!C:C)</f>
        <v>CAT006</v>
      </c>
      <c r="G314" t="str">
        <f ca="1">VLOOKUP(F314,Master_Category!A:B,2,FALSE)</f>
        <v>Topping</v>
      </c>
      <c r="H314" t="str">
        <f ca="1">_xlfn.XLOOKUP(D314,Master_Supplier!A:A,Master_Supplier!B:B)</f>
        <v>PT Premium Beans</v>
      </c>
      <c r="I314" t="str">
        <f ca="1">_xlfn.XLOOKUP(D314,Master_Supplier!A:A,Master_Supplier!E:E)</f>
        <v>Yogyakarta</v>
      </c>
      <c r="J314">
        <f ca="1">_xlfn.XLOOKUP(C314,Master_Product!A:A,Master_Product!E:E)</f>
        <v>41932</v>
      </c>
      <c r="K314">
        <v>40</v>
      </c>
      <c r="L314">
        <f ca="1">Table_StockIn[[#This Row],[buy_price]]*Table_StockIn[[#This Row],[quantity]]</f>
        <v>1677280</v>
      </c>
    </row>
    <row r="315" spans="1:12" x14ac:dyDescent="0.3">
      <c r="A315" t="str">
        <f t="shared" si="8"/>
        <v>PUR0314</v>
      </c>
      <c r="B315" s="1">
        <f t="shared" ca="1" si="9"/>
        <v>45844</v>
      </c>
      <c r="C315" t="str" cm="1">
        <f t="array" aca="1" ref="C315" ca="1">INDEX(Master_Product!$A$2:$A$101,RANDBETWEEN(1,100))</f>
        <v>PRD067</v>
      </c>
      <c r="D315" t="str">
        <f ca="1">_xlfn.XLOOKUP(C315,Master_Product!A:A,Master_Product!D:D)</f>
        <v>SUP016</v>
      </c>
      <c r="E315" t="str">
        <f ca="1">_xlfn.XLOOKUP(C315,Master_Product!A:A,Master_Product!B:B)</f>
        <v>Est Product</v>
      </c>
      <c r="F315" t="str">
        <f ca="1">_xlfn.XLOOKUP(C316,Master_Product!A:A,Master_Product!C:C)</f>
        <v>CAT004</v>
      </c>
      <c r="G315" t="str">
        <f ca="1">VLOOKUP(F315,Master_Category!A:B,2,FALSE)</f>
        <v>Syrup</v>
      </c>
      <c r="H315" t="str">
        <f ca="1">_xlfn.XLOOKUP(D315,Master_Supplier!A:A,Master_Supplier!B:B)</f>
        <v>PT Espresso Supply</v>
      </c>
      <c r="I315" t="str">
        <f ca="1">_xlfn.XLOOKUP(D315,Master_Supplier!A:A,Master_Supplier!E:E)</f>
        <v>Depok</v>
      </c>
      <c r="J315">
        <f ca="1">_xlfn.XLOOKUP(C315,Master_Product!A:A,Master_Product!E:E)</f>
        <v>49791</v>
      </c>
      <c r="K315">
        <v>30</v>
      </c>
      <c r="L315">
        <f ca="1">Table_StockIn[[#This Row],[buy_price]]*Table_StockIn[[#This Row],[quantity]]</f>
        <v>1493730</v>
      </c>
    </row>
    <row r="316" spans="1:12" x14ac:dyDescent="0.3">
      <c r="A316" t="str">
        <f t="shared" si="8"/>
        <v>PUR0315</v>
      </c>
      <c r="B316" s="1">
        <f t="shared" ca="1" si="9"/>
        <v>45934</v>
      </c>
      <c r="C316" t="str" cm="1">
        <f t="array" aca="1" ref="C316" ca="1">INDEX(Master_Product!$A$2:$A$101,RANDBETWEEN(1,100))</f>
        <v>PRD013</v>
      </c>
      <c r="D316" t="str">
        <f ca="1">_xlfn.XLOOKUP(C316,Master_Product!A:A,Master_Product!D:D)</f>
        <v>SUP019</v>
      </c>
      <c r="E316" t="str">
        <f ca="1">_xlfn.XLOOKUP(C316,Master_Product!A:A,Master_Product!B:B)</f>
        <v>Caramel Syrup</v>
      </c>
      <c r="F316" t="str">
        <f ca="1">_xlfn.XLOOKUP(C317,Master_Product!A:A,Master_Product!C:C)</f>
        <v>CAT003</v>
      </c>
      <c r="G316" t="str">
        <f ca="1">VLOOKUP(F316,Master_Category!A:B,2,FALSE)</f>
        <v>Milk</v>
      </c>
      <c r="H316" t="str">
        <f ca="1">_xlfn.XLOOKUP(D316,Master_Supplier!A:A,Master_Supplier!B:B)</f>
        <v>PT Indo Beverage</v>
      </c>
      <c r="I316" t="str">
        <f ca="1">_xlfn.XLOOKUP(D316,Master_Supplier!A:A,Master_Supplier!E:E)</f>
        <v>Jakarta</v>
      </c>
      <c r="J316">
        <f ca="1">_xlfn.XLOOKUP(C316,Master_Product!A:A,Master_Product!E:E)</f>
        <v>45953</v>
      </c>
      <c r="K316">
        <v>40</v>
      </c>
      <c r="L316">
        <f ca="1">Table_StockIn[[#This Row],[buy_price]]*Table_StockIn[[#This Row],[quantity]]</f>
        <v>1838120</v>
      </c>
    </row>
    <row r="317" spans="1:12" x14ac:dyDescent="0.3">
      <c r="A317" t="str">
        <f t="shared" si="8"/>
        <v>PUR0316</v>
      </c>
      <c r="B317" s="1">
        <f t="shared" ca="1" si="9"/>
        <v>45856</v>
      </c>
      <c r="C317" t="str" cm="1">
        <f t="array" aca="1" ref="C317" ca="1">INDEX(Master_Product!$A$2:$A$101,RANDBETWEEN(1,100))</f>
        <v>PRD063</v>
      </c>
      <c r="D317" t="str">
        <f ca="1">_xlfn.XLOOKUP(C317,Master_Product!A:A,Master_Product!D:D)</f>
        <v>SUP003</v>
      </c>
      <c r="E317" t="str">
        <f ca="1">_xlfn.XLOOKUP(C317,Master_Product!A:A,Master_Product!B:B)</f>
        <v>Doloremque Product</v>
      </c>
      <c r="F317" t="str">
        <f ca="1">_xlfn.XLOOKUP(C318,Master_Product!A:A,Master_Product!C:C)</f>
        <v>CAT002</v>
      </c>
      <c r="G317" t="str">
        <f ca="1">VLOOKUP(F317,Master_Category!A:B,2,FALSE)</f>
        <v>Tea</v>
      </c>
      <c r="H317" t="str">
        <f ca="1">_xlfn.XLOOKUP(D317,Master_Supplier!A:A,Master_Supplier!B:B)</f>
        <v>CV Barista Indonesia</v>
      </c>
      <c r="I317" t="str">
        <f ca="1">_xlfn.XLOOKUP(D317,Master_Supplier!A:A,Master_Supplier!E:E)</f>
        <v>Bekasi</v>
      </c>
      <c r="J317">
        <f ca="1">_xlfn.XLOOKUP(C317,Master_Product!A:A,Master_Product!E:E)</f>
        <v>21901</v>
      </c>
      <c r="K317">
        <v>40</v>
      </c>
      <c r="L317">
        <f ca="1">Table_StockIn[[#This Row],[buy_price]]*Table_StockIn[[#This Row],[quantity]]</f>
        <v>876040</v>
      </c>
    </row>
    <row r="318" spans="1:12" x14ac:dyDescent="0.3">
      <c r="A318" t="str">
        <f t="shared" si="8"/>
        <v>PUR0317</v>
      </c>
      <c r="B318" s="1">
        <f t="shared" ca="1" si="9"/>
        <v>45825</v>
      </c>
      <c r="C318" t="str" cm="1">
        <f t="array" aca="1" ref="C318" ca="1">INDEX(Master_Product!$A$2:$A$101,RANDBETWEEN(1,100))</f>
        <v>PRD007</v>
      </c>
      <c r="D318" t="str">
        <f ca="1">_xlfn.XLOOKUP(C318,Master_Product!A:A,Master_Product!D:D)</f>
        <v>SUP022</v>
      </c>
      <c r="E318" t="str">
        <f ca="1">_xlfn.XLOOKUP(C318,Master_Product!A:A,Master_Product!B:B)</f>
        <v>Earl Grey</v>
      </c>
      <c r="F318" t="str">
        <f ca="1">_xlfn.XLOOKUP(C319,Master_Product!A:A,Master_Product!C:C)</f>
        <v>CAT005</v>
      </c>
      <c r="G318" t="str">
        <f ca="1">VLOOKUP(F318,Master_Category!A:B,2,FALSE)</f>
        <v>Powder</v>
      </c>
      <c r="H318" t="str">
        <f ca="1">_xlfn.XLOOKUP(D318,Master_Supplier!A:A,Master_Supplier!B:B)</f>
        <v>CV Biji Nusantara</v>
      </c>
      <c r="I318" t="str">
        <f ca="1">_xlfn.XLOOKUP(D318,Master_Supplier!A:A,Master_Supplier!E:E)</f>
        <v>Yogyakarta</v>
      </c>
      <c r="J318">
        <f ca="1">_xlfn.XLOOKUP(C318,Master_Product!A:A,Master_Product!E:E)</f>
        <v>45966</v>
      </c>
      <c r="K318">
        <v>40</v>
      </c>
      <c r="L318">
        <f ca="1">Table_StockIn[[#This Row],[buy_price]]*Table_StockIn[[#This Row],[quantity]]</f>
        <v>1838640</v>
      </c>
    </row>
    <row r="319" spans="1:12" x14ac:dyDescent="0.3">
      <c r="A319" t="str">
        <f t="shared" si="8"/>
        <v>PUR0318</v>
      </c>
      <c r="B319" s="1">
        <f t="shared" ca="1" si="9"/>
        <v>45752</v>
      </c>
      <c r="C319" t="str" cm="1">
        <f t="array" aca="1" ref="C319" ca="1">INDEX(Master_Product!$A$2:$A$101,RANDBETWEEN(1,100))</f>
        <v>PRD017</v>
      </c>
      <c r="D319" t="str">
        <f ca="1">_xlfn.XLOOKUP(C319,Master_Product!A:A,Master_Product!D:D)</f>
        <v>SUP022</v>
      </c>
      <c r="E319" t="str">
        <f ca="1">_xlfn.XLOOKUP(C319,Master_Product!A:A,Master_Product!B:B)</f>
        <v>Chocolate Powder</v>
      </c>
      <c r="F319" t="str">
        <f ca="1">_xlfn.XLOOKUP(C320,Master_Product!A:A,Master_Product!C:C)</f>
        <v>CAT002</v>
      </c>
      <c r="G319" t="str">
        <f ca="1">VLOOKUP(F319,Master_Category!A:B,2,FALSE)</f>
        <v>Tea</v>
      </c>
      <c r="H319" t="str">
        <f ca="1">_xlfn.XLOOKUP(D319,Master_Supplier!A:A,Master_Supplier!B:B)</f>
        <v>CV Biji Nusantara</v>
      </c>
      <c r="I319" t="str">
        <f ca="1">_xlfn.XLOOKUP(D319,Master_Supplier!A:A,Master_Supplier!E:E)</f>
        <v>Yogyakarta</v>
      </c>
      <c r="J319">
        <f ca="1">_xlfn.XLOOKUP(C319,Master_Product!A:A,Master_Product!E:E)</f>
        <v>8441</v>
      </c>
      <c r="K319">
        <v>100</v>
      </c>
      <c r="L319">
        <f ca="1">Table_StockIn[[#This Row],[buy_price]]*Table_StockIn[[#This Row],[quantity]]</f>
        <v>844100</v>
      </c>
    </row>
    <row r="320" spans="1:12" x14ac:dyDescent="0.3">
      <c r="A320" t="str">
        <f t="shared" si="8"/>
        <v>PUR0319</v>
      </c>
      <c r="B320" s="1">
        <f t="shared" ca="1" si="9"/>
        <v>45804</v>
      </c>
      <c r="C320" t="str" cm="1">
        <f t="array" aca="1" ref="C320" ca="1">INDEX(Master_Product!$A$2:$A$101,RANDBETWEEN(1,100))</f>
        <v>PRD065</v>
      </c>
      <c r="D320" t="str">
        <f ca="1">_xlfn.XLOOKUP(C320,Master_Product!A:A,Master_Product!D:D)</f>
        <v>SUP022</v>
      </c>
      <c r="E320" t="str">
        <f ca="1">_xlfn.XLOOKUP(C320,Master_Product!A:A,Master_Product!B:B)</f>
        <v>Recusandae Product</v>
      </c>
      <c r="F320" t="str">
        <f ca="1">_xlfn.XLOOKUP(C321,Master_Product!A:A,Master_Product!C:C)</f>
        <v>CAT010</v>
      </c>
      <c r="G320" t="str">
        <f ca="1">VLOOKUP(F320,Master_Category!A:B,2,FALSE)</f>
        <v>Cleaning</v>
      </c>
      <c r="H320" t="str">
        <f ca="1">_xlfn.XLOOKUP(D320,Master_Supplier!A:A,Master_Supplier!B:B)</f>
        <v>CV Biji Nusantara</v>
      </c>
      <c r="I320" t="str">
        <f ca="1">_xlfn.XLOOKUP(D320,Master_Supplier!A:A,Master_Supplier!E:E)</f>
        <v>Yogyakarta</v>
      </c>
      <c r="J320">
        <f ca="1">_xlfn.XLOOKUP(C320,Master_Product!A:A,Master_Product!E:E)</f>
        <v>73995</v>
      </c>
      <c r="K320">
        <v>20</v>
      </c>
      <c r="L320">
        <f ca="1">Table_StockIn[[#This Row],[buy_price]]*Table_StockIn[[#This Row],[quantity]]</f>
        <v>1479900</v>
      </c>
    </row>
    <row r="321" spans="1:12" x14ac:dyDescent="0.3">
      <c r="A321" t="str">
        <f t="shared" si="8"/>
        <v>PUR0320</v>
      </c>
      <c r="B321" s="1">
        <f t="shared" ca="1" si="9"/>
        <v>45889</v>
      </c>
      <c r="C321" t="str" cm="1">
        <f t="array" aca="1" ref="C321" ca="1">INDEX(Master_Product!$A$2:$A$101,RANDBETWEEN(1,100))</f>
        <v>PRD039</v>
      </c>
      <c r="D321" t="str">
        <f ca="1">_xlfn.XLOOKUP(C321,Master_Product!A:A,Master_Product!D:D)</f>
        <v>SUP013</v>
      </c>
      <c r="E321" t="str">
        <f ca="1">_xlfn.XLOOKUP(C321,Master_Product!A:A,Master_Product!B:B)</f>
        <v>Illo Product</v>
      </c>
      <c r="F321" t="str">
        <f ca="1">_xlfn.XLOOKUP(C322,Master_Product!A:A,Master_Product!C:C)</f>
        <v>CAT001</v>
      </c>
      <c r="G321" t="str">
        <f ca="1">VLOOKUP(F321,Master_Category!A:B,2,FALSE)</f>
        <v>Coffee Bean</v>
      </c>
      <c r="H321" t="str">
        <f ca="1">_xlfn.XLOOKUP(D321,Master_Supplier!A:A,Master_Supplier!B:B)</f>
        <v>PT Coffee Trading</v>
      </c>
      <c r="I321" t="str">
        <f ca="1">_xlfn.XLOOKUP(D321,Master_Supplier!A:A,Master_Supplier!E:E)</f>
        <v>Jakarta</v>
      </c>
      <c r="J321">
        <f ca="1">_xlfn.XLOOKUP(C321,Master_Product!A:A,Master_Product!E:E)</f>
        <v>57487</v>
      </c>
      <c r="K321">
        <v>100</v>
      </c>
      <c r="L321">
        <f ca="1">Table_StockIn[[#This Row],[buy_price]]*Table_StockIn[[#This Row],[quantity]]</f>
        <v>5748700</v>
      </c>
    </row>
    <row r="322" spans="1:12" x14ac:dyDescent="0.3">
      <c r="A322" t="str">
        <f t="shared" si="8"/>
        <v>PUR0321</v>
      </c>
      <c r="B322" s="1">
        <f t="shared" ca="1" si="9"/>
        <v>45830</v>
      </c>
      <c r="C322" t="str" cm="1">
        <f t="array" aca="1" ref="C322" ca="1">INDEX(Master_Product!$A$2:$A$101,RANDBETWEEN(1,100))</f>
        <v>PRD003</v>
      </c>
      <c r="D322" t="str">
        <f ca="1">_xlfn.XLOOKUP(C322,Master_Product!A:A,Master_Product!D:D)</f>
        <v>SUP020</v>
      </c>
      <c r="E322" t="str">
        <f ca="1">_xlfn.XLOOKUP(C322,Master_Product!A:A,Master_Product!B:B)</f>
        <v>Arabica Toraja</v>
      </c>
      <c r="F322" t="str">
        <f ca="1">_xlfn.XLOOKUP(C323,Master_Product!A:A,Master_Product!C:C)</f>
        <v>CAT006</v>
      </c>
      <c r="G322" t="str">
        <f ca="1">VLOOKUP(F322,Master_Category!A:B,2,FALSE)</f>
        <v>Topping</v>
      </c>
      <c r="H322" t="str">
        <f ca="1">_xlfn.XLOOKUP(D322,Master_Supplier!A:A,Master_Supplier!B:B)</f>
        <v>PT Clean Solution</v>
      </c>
      <c r="I322" t="str">
        <f ca="1">_xlfn.XLOOKUP(D322,Master_Supplier!A:A,Master_Supplier!E:E)</f>
        <v>Yogyakarta</v>
      </c>
      <c r="J322">
        <f ca="1">_xlfn.XLOOKUP(C322,Master_Product!A:A,Master_Product!E:E)</f>
        <v>43652</v>
      </c>
      <c r="K322">
        <v>30</v>
      </c>
      <c r="L322">
        <f ca="1">Table_StockIn[[#This Row],[buy_price]]*Table_StockIn[[#This Row],[quantity]]</f>
        <v>1309560</v>
      </c>
    </row>
    <row r="323" spans="1:12" x14ac:dyDescent="0.3">
      <c r="A323" t="str">
        <f t="shared" ref="A323:A349" si="10">"PUR"&amp;TEXT(ROW()-1,"0000")</f>
        <v>PUR0322</v>
      </c>
      <c r="B323" s="1">
        <f t="shared" ref="B323:B349" ca="1" si="11">DATE(2025,1,1)+RANDBETWEEN(0,364)</f>
        <v>45703</v>
      </c>
      <c r="C323" t="str" cm="1">
        <f t="array" aca="1" ref="C323" ca="1">INDEX(Master_Product!$A$2:$A$101,RANDBETWEEN(1,100))</f>
        <v>PRD044</v>
      </c>
      <c r="D323" t="str">
        <f ca="1">_xlfn.XLOOKUP(C323,Master_Product!A:A,Master_Product!D:D)</f>
        <v>SUP021</v>
      </c>
      <c r="E323" t="str">
        <f ca="1">_xlfn.XLOOKUP(C323,Master_Product!A:A,Master_Product!B:B)</f>
        <v>Sit Product</v>
      </c>
      <c r="F323" t="str">
        <f ca="1">_xlfn.XLOOKUP(C324,Master_Product!A:A,Master_Product!C:C)</f>
        <v>CAT009</v>
      </c>
      <c r="G323" t="str">
        <f ca="1">VLOOKUP(F323,Master_Category!A:B,2,FALSE)</f>
        <v>Machine Supply</v>
      </c>
      <c r="H323" t="str">
        <f ca="1">_xlfn.XLOOKUP(D323,Master_Supplier!A:A,Master_Supplier!B:B)</f>
        <v>PT Coffee Packaging</v>
      </c>
      <c r="I323" t="str">
        <f ca="1">_xlfn.XLOOKUP(D323,Master_Supplier!A:A,Master_Supplier!E:E)</f>
        <v>Depok</v>
      </c>
      <c r="J323">
        <f ca="1">_xlfn.XLOOKUP(C323,Master_Product!A:A,Master_Product!E:E)</f>
        <v>25036</v>
      </c>
      <c r="K323">
        <v>20</v>
      </c>
      <c r="L323">
        <f ca="1">Table_StockIn[[#This Row],[buy_price]]*Table_StockIn[[#This Row],[quantity]]</f>
        <v>500720</v>
      </c>
    </row>
    <row r="324" spans="1:12" x14ac:dyDescent="0.3">
      <c r="A324" t="str">
        <f t="shared" si="10"/>
        <v>PUR0323</v>
      </c>
      <c r="B324" s="1">
        <f t="shared" ca="1" si="11"/>
        <v>45959</v>
      </c>
      <c r="C324" t="str" cm="1">
        <f t="array" aca="1" ref="C324" ca="1">INDEX(Master_Product!$A$2:$A$101,RANDBETWEEN(1,100))</f>
        <v>PRD061</v>
      </c>
      <c r="D324" t="str">
        <f ca="1">_xlfn.XLOOKUP(C324,Master_Product!A:A,Master_Product!D:D)</f>
        <v>SUP022</v>
      </c>
      <c r="E324" t="str">
        <f ca="1">_xlfn.XLOOKUP(C324,Master_Product!A:A,Master_Product!B:B)</f>
        <v>Numquam Product</v>
      </c>
      <c r="F324" t="str">
        <f ca="1">_xlfn.XLOOKUP(C325,Master_Product!A:A,Master_Product!C:C)</f>
        <v>CAT005</v>
      </c>
      <c r="G324" t="str">
        <f ca="1">VLOOKUP(F324,Master_Category!A:B,2,FALSE)</f>
        <v>Powder</v>
      </c>
      <c r="H324" t="str">
        <f ca="1">_xlfn.XLOOKUP(D324,Master_Supplier!A:A,Master_Supplier!B:B)</f>
        <v>CV Biji Nusantara</v>
      </c>
      <c r="I324" t="str">
        <f ca="1">_xlfn.XLOOKUP(D324,Master_Supplier!A:A,Master_Supplier!E:E)</f>
        <v>Yogyakarta</v>
      </c>
      <c r="J324">
        <f ca="1">_xlfn.XLOOKUP(C324,Master_Product!A:A,Master_Product!E:E)</f>
        <v>48694</v>
      </c>
      <c r="K324">
        <v>40</v>
      </c>
      <c r="L324">
        <f ca="1">Table_StockIn[[#This Row],[buy_price]]*Table_StockIn[[#This Row],[quantity]]</f>
        <v>1947760</v>
      </c>
    </row>
    <row r="325" spans="1:12" x14ac:dyDescent="0.3">
      <c r="A325" t="str">
        <f t="shared" si="10"/>
        <v>PUR0324</v>
      </c>
      <c r="B325" s="1">
        <f t="shared" ca="1" si="11"/>
        <v>45823</v>
      </c>
      <c r="C325" t="str" cm="1">
        <f t="array" aca="1" ref="C325" ca="1">INDEX(Master_Product!$A$2:$A$101,RANDBETWEEN(1,100))</f>
        <v>PRD042</v>
      </c>
      <c r="D325" t="str">
        <f ca="1">_xlfn.XLOOKUP(C325,Master_Product!A:A,Master_Product!D:D)</f>
        <v>SUP027</v>
      </c>
      <c r="E325" t="str">
        <f ca="1">_xlfn.XLOOKUP(C325,Master_Product!A:A,Master_Product!B:B)</f>
        <v>Ipsam Product</v>
      </c>
      <c r="F325" t="str">
        <f ca="1">_xlfn.XLOOKUP(C326,Master_Product!A:A,Master_Product!C:C)</f>
        <v>CAT004</v>
      </c>
      <c r="G325" t="str">
        <f ca="1">VLOOKUP(F325,Master_Category!A:B,2,FALSE)</f>
        <v>Syrup</v>
      </c>
      <c r="H325" t="str">
        <f ca="1">_xlfn.XLOOKUP(D325,Master_Supplier!A:A,Master_Supplier!B:B)</f>
        <v>CV Premium Supplier</v>
      </c>
      <c r="I325" t="str">
        <f ca="1">_xlfn.XLOOKUP(D325,Master_Supplier!A:A,Master_Supplier!E:E)</f>
        <v>Bekasi</v>
      </c>
      <c r="J325">
        <f ca="1">_xlfn.XLOOKUP(C325,Master_Product!A:A,Master_Product!E:E)</f>
        <v>50793</v>
      </c>
      <c r="K325">
        <v>20</v>
      </c>
      <c r="L325">
        <f ca="1">Table_StockIn[[#This Row],[buy_price]]*Table_StockIn[[#This Row],[quantity]]</f>
        <v>1015860</v>
      </c>
    </row>
    <row r="326" spans="1:12" x14ac:dyDescent="0.3">
      <c r="A326" t="str">
        <f t="shared" si="10"/>
        <v>PUR0325</v>
      </c>
      <c r="B326" s="1">
        <f t="shared" ca="1" si="11"/>
        <v>46010</v>
      </c>
      <c r="C326" t="str" cm="1">
        <f t="array" aca="1" ref="C326" ca="1">INDEX(Master_Product!$A$2:$A$101,RANDBETWEEN(1,100))</f>
        <v>PRD043</v>
      </c>
      <c r="D326" t="str">
        <f ca="1">_xlfn.XLOOKUP(C326,Master_Product!A:A,Master_Product!D:D)</f>
        <v>SUP009</v>
      </c>
      <c r="E326" t="str">
        <f ca="1">_xlfn.XLOOKUP(C326,Master_Product!A:A,Master_Product!B:B)</f>
        <v>Odio Product</v>
      </c>
      <c r="F326" t="str">
        <f ca="1">_xlfn.XLOOKUP(C327,Master_Product!A:A,Master_Product!C:C)</f>
        <v>CAT009</v>
      </c>
      <c r="G326" t="str">
        <f ca="1">VLOOKUP(F326,Master_Category!A:B,2,FALSE)</f>
        <v>Machine Supply</v>
      </c>
      <c r="H326" t="str">
        <f ca="1">_xlfn.XLOOKUP(D326,Master_Supplier!A:A,Master_Supplier!B:B)</f>
        <v>CV Nusantara Food</v>
      </c>
      <c r="I326" t="str">
        <f ca="1">_xlfn.XLOOKUP(D326,Master_Supplier!A:A,Master_Supplier!E:E)</f>
        <v>Bandung</v>
      </c>
      <c r="J326">
        <f ca="1">_xlfn.XLOOKUP(C326,Master_Product!A:A,Master_Product!E:E)</f>
        <v>35968</v>
      </c>
      <c r="K326">
        <v>30</v>
      </c>
      <c r="L326">
        <f ca="1">Table_StockIn[[#This Row],[buy_price]]*Table_StockIn[[#This Row],[quantity]]</f>
        <v>1079040</v>
      </c>
    </row>
    <row r="327" spans="1:12" x14ac:dyDescent="0.3">
      <c r="A327" t="str">
        <f t="shared" si="10"/>
        <v>PUR0326</v>
      </c>
      <c r="B327" s="1">
        <f t="shared" ca="1" si="11"/>
        <v>46018</v>
      </c>
      <c r="C327" t="str" cm="1">
        <f t="array" aca="1" ref="C327" ca="1">INDEX(Master_Product!$A$2:$A$101,RANDBETWEEN(1,100))</f>
        <v>PRD092</v>
      </c>
      <c r="D327" t="str">
        <f ca="1">_xlfn.XLOOKUP(C327,Master_Product!A:A,Master_Product!D:D)</f>
        <v>SUP029</v>
      </c>
      <c r="E327" t="str">
        <f ca="1">_xlfn.XLOOKUP(C327,Master_Product!A:A,Master_Product!B:B)</f>
        <v>Corporis Product</v>
      </c>
      <c r="F327" t="str">
        <f ca="1">_xlfn.XLOOKUP(C328,Master_Product!A:A,Master_Product!C:C)</f>
        <v>CAT009</v>
      </c>
      <c r="G327" t="str">
        <f ca="1">VLOOKUP(F327,Master_Category!A:B,2,FALSE)</f>
        <v>Machine Supply</v>
      </c>
      <c r="H327" t="e">
        <f ca="1">_xlfn.XLOOKUP(D327,Master_Supplier!A:A,Master_Supplier!B:B)</f>
        <v>#N/A</v>
      </c>
      <c r="I327" t="e">
        <f ca="1">_xlfn.XLOOKUP(D327,Master_Supplier!A:A,Master_Supplier!E:E)</f>
        <v>#N/A</v>
      </c>
      <c r="J327">
        <f ca="1">_xlfn.XLOOKUP(C327,Master_Product!A:A,Master_Product!E:E)</f>
        <v>13232</v>
      </c>
      <c r="K327">
        <v>40</v>
      </c>
      <c r="L327">
        <f ca="1">Table_StockIn[[#This Row],[buy_price]]*Table_StockIn[[#This Row],[quantity]]</f>
        <v>529280</v>
      </c>
    </row>
    <row r="328" spans="1:12" x14ac:dyDescent="0.3">
      <c r="A328" t="str">
        <f t="shared" si="10"/>
        <v>PUR0327</v>
      </c>
      <c r="B328" s="1">
        <f t="shared" ca="1" si="11"/>
        <v>45773</v>
      </c>
      <c r="C328" t="str" cm="1">
        <f t="array" aca="1" ref="C328" ca="1">INDEX(Master_Product!$A$2:$A$101,RANDBETWEEN(1,100))</f>
        <v>PRD083</v>
      </c>
      <c r="D328" t="str">
        <f ca="1">_xlfn.XLOOKUP(C328,Master_Product!A:A,Master_Product!D:D)</f>
        <v>SUP014</v>
      </c>
      <c r="E328" t="str">
        <f ca="1">_xlfn.XLOOKUP(C328,Master_Product!A:A,Master_Product!B:B)</f>
        <v>Fugiat Product</v>
      </c>
      <c r="F328" t="str">
        <f ca="1">_xlfn.XLOOKUP(C329,Master_Product!A:A,Master_Product!C:C)</f>
        <v>CAT001</v>
      </c>
      <c r="G328" t="str">
        <f ca="1">VLOOKUP(F328,Master_Category!A:B,2,FALSE)</f>
        <v>Coffee Bean</v>
      </c>
      <c r="H328" t="str">
        <f ca="1">_xlfn.XLOOKUP(D328,Master_Supplier!A:A,Master_Supplier!B:B)</f>
        <v>PT Food Ingredients</v>
      </c>
      <c r="I328" t="str">
        <f ca="1">_xlfn.XLOOKUP(D328,Master_Supplier!A:A,Master_Supplier!E:E)</f>
        <v>Bandung</v>
      </c>
      <c r="J328">
        <f ca="1">_xlfn.XLOOKUP(C328,Master_Product!A:A,Master_Product!E:E)</f>
        <v>50820</v>
      </c>
      <c r="K328">
        <v>20</v>
      </c>
      <c r="L328">
        <f ca="1">Table_StockIn[[#This Row],[buy_price]]*Table_StockIn[[#This Row],[quantity]]</f>
        <v>1016400</v>
      </c>
    </row>
    <row r="329" spans="1:12" x14ac:dyDescent="0.3">
      <c r="A329" t="str">
        <f t="shared" si="10"/>
        <v>PUR0328</v>
      </c>
      <c r="B329" s="1">
        <f t="shared" ca="1" si="11"/>
        <v>45671</v>
      </c>
      <c r="C329" t="str" cm="1">
        <f t="array" aca="1" ref="C329" ca="1">INDEX(Master_Product!$A$2:$A$101,RANDBETWEEN(1,100))</f>
        <v>PRD004</v>
      </c>
      <c r="D329" t="str">
        <f ca="1">_xlfn.XLOOKUP(C329,Master_Product!A:A,Master_Product!D:D)</f>
        <v>SUP021</v>
      </c>
      <c r="E329" t="str">
        <f ca="1">_xlfn.XLOOKUP(C329,Master_Product!A:A,Master_Product!B:B)</f>
        <v>Robusta Lampung</v>
      </c>
      <c r="F329" t="str">
        <f ca="1">_xlfn.XLOOKUP(C330,Master_Product!A:A,Master_Product!C:C)</f>
        <v>CAT004</v>
      </c>
      <c r="G329" t="str">
        <f ca="1">VLOOKUP(F329,Master_Category!A:B,2,FALSE)</f>
        <v>Syrup</v>
      </c>
      <c r="H329" t="str">
        <f ca="1">_xlfn.XLOOKUP(D329,Master_Supplier!A:A,Master_Supplier!B:B)</f>
        <v>PT Coffee Packaging</v>
      </c>
      <c r="I329" t="str">
        <f ca="1">_xlfn.XLOOKUP(D329,Master_Supplier!A:A,Master_Supplier!E:E)</f>
        <v>Depok</v>
      </c>
      <c r="J329">
        <f ca="1">_xlfn.XLOOKUP(C329,Master_Product!A:A,Master_Product!E:E)</f>
        <v>19996</v>
      </c>
      <c r="K329">
        <v>80</v>
      </c>
      <c r="L329">
        <f ca="1">Table_StockIn[[#This Row],[buy_price]]*Table_StockIn[[#This Row],[quantity]]</f>
        <v>1599680</v>
      </c>
    </row>
    <row r="330" spans="1:12" x14ac:dyDescent="0.3">
      <c r="A330" t="str">
        <f t="shared" si="10"/>
        <v>PUR0329</v>
      </c>
      <c r="B330" s="1">
        <f t="shared" ca="1" si="11"/>
        <v>45990</v>
      </c>
      <c r="C330" t="str" cm="1">
        <f t="array" aca="1" ref="C330" ca="1">INDEX(Master_Product!$A$2:$A$101,RANDBETWEEN(1,100))</f>
        <v>PRD014</v>
      </c>
      <c r="D330" t="str">
        <f ca="1">_xlfn.XLOOKUP(C330,Master_Product!A:A,Master_Product!D:D)</f>
        <v>SUP008</v>
      </c>
      <c r="E330" t="str">
        <f ca="1">_xlfn.XLOOKUP(C330,Master_Product!A:A,Master_Product!B:B)</f>
        <v>Vanilla Syrup</v>
      </c>
      <c r="F330" t="str">
        <f ca="1">_xlfn.XLOOKUP(C331,Master_Product!A:A,Master_Product!C:C)</f>
        <v>CAT005</v>
      </c>
      <c r="G330" t="str">
        <f ca="1">VLOOKUP(F330,Master_Category!A:B,2,FALSE)</f>
        <v>Powder</v>
      </c>
      <c r="H330" t="str">
        <f ca="1">_xlfn.XLOOKUP(D330,Master_Supplier!A:A,Master_Supplier!B:B)</f>
        <v>PT Packaging Solution</v>
      </c>
      <c r="I330" t="str">
        <f ca="1">_xlfn.XLOOKUP(D330,Master_Supplier!A:A,Master_Supplier!E:E)</f>
        <v>Yogyakarta</v>
      </c>
      <c r="J330">
        <f ca="1">_xlfn.XLOOKUP(C330,Master_Product!A:A,Master_Product!E:E)</f>
        <v>25280</v>
      </c>
      <c r="K330">
        <v>80</v>
      </c>
      <c r="L330">
        <f ca="1">Table_StockIn[[#This Row],[buy_price]]*Table_StockIn[[#This Row],[quantity]]</f>
        <v>2022400</v>
      </c>
    </row>
    <row r="331" spans="1:12" x14ac:dyDescent="0.3">
      <c r="A331" t="str">
        <f t="shared" si="10"/>
        <v>PUR0330</v>
      </c>
      <c r="B331" s="1">
        <f t="shared" ca="1" si="11"/>
        <v>45711</v>
      </c>
      <c r="C331" t="str" cm="1">
        <f t="array" aca="1" ref="C331" ca="1">INDEX(Master_Product!$A$2:$A$101,RANDBETWEEN(1,100))</f>
        <v>PRD019</v>
      </c>
      <c r="D331" t="str">
        <f ca="1">_xlfn.XLOOKUP(C331,Master_Product!A:A,Master_Product!D:D)</f>
        <v>SUP006</v>
      </c>
      <c r="E331" t="str">
        <f ca="1">_xlfn.XLOOKUP(C331,Master_Product!A:A,Master_Product!B:B)</f>
        <v>Red Velvet Powder</v>
      </c>
      <c r="F331" t="str">
        <f ca="1">_xlfn.XLOOKUP(C332,Master_Product!A:A,Master_Product!C:C)</f>
        <v>CAT010</v>
      </c>
      <c r="G331" t="str">
        <f ca="1">VLOOKUP(F331,Master_Category!A:B,2,FALSE)</f>
        <v>Cleaning</v>
      </c>
      <c r="H331" t="str">
        <f ca="1">_xlfn.XLOOKUP(D331,Master_Supplier!A:A,Master_Supplier!B:B)</f>
        <v>CV Java Coffee</v>
      </c>
      <c r="I331" t="str">
        <f ca="1">_xlfn.XLOOKUP(D331,Master_Supplier!A:A,Master_Supplier!E:E)</f>
        <v>Bogor</v>
      </c>
      <c r="J331">
        <f ca="1">_xlfn.XLOOKUP(C331,Master_Product!A:A,Master_Product!E:E)</f>
        <v>49541</v>
      </c>
      <c r="K331">
        <v>30</v>
      </c>
      <c r="L331">
        <f ca="1">Table_StockIn[[#This Row],[buy_price]]*Table_StockIn[[#This Row],[quantity]]</f>
        <v>1486230</v>
      </c>
    </row>
    <row r="332" spans="1:12" x14ac:dyDescent="0.3">
      <c r="A332" t="str">
        <f t="shared" si="10"/>
        <v>PUR0331</v>
      </c>
      <c r="B332" s="1">
        <f t="shared" ca="1" si="11"/>
        <v>45658</v>
      </c>
      <c r="C332" t="str" cm="1">
        <f t="array" aca="1" ref="C332" ca="1">INDEX(Master_Product!$A$2:$A$101,RANDBETWEEN(1,100))</f>
        <v>PRD073</v>
      </c>
      <c r="D332" t="str">
        <f ca="1">_xlfn.XLOOKUP(C332,Master_Product!A:A,Master_Product!D:D)</f>
        <v>SUP025</v>
      </c>
      <c r="E332" t="str">
        <f ca="1">_xlfn.XLOOKUP(C332,Master_Product!A:A,Master_Product!B:B)</f>
        <v>Illo Product</v>
      </c>
      <c r="F332" t="str">
        <f ca="1">_xlfn.XLOOKUP(C333,Master_Product!A:A,Master_Product!C:C)</f>
        <v>CAT009</v>
      </c>
      <c r="G332" t="str">
        <f ca="1">VLOOKUP(F332,Master_Category!A:B,2,FALSE)</f>
        <v>Machine Supply</v>
      </c>
      <c r="H332" t="str">
        <f ca="1">_xlfn.XLOOKUP(D332,Master_Supplier!A:A,Master_Supplier!B:B)</f>
        <v>PT Arabica Indonesia</v>
      </c>
      <c r="I332" t="str">
        <f ca="1">_xlfn.XLOOKUP(D332,Master_Supplier!A:A,Master_Supplier!E:E)</f>
        <v>Semarang</v>
      </c>
      <c r="J332">
        <f ca="1">_xlfn.XLOOKUP(C332,Master_Product!A:A,Master_Product!E:E)</f>
        <v>63222</v>
      </c>
      <c r="K332">
        <v>80</v>
      </c>
      <c r="L332">
        <f ca="1">Table_StockIn[[#This Row],[buy_price]]*Table_StockIn[[#This Row],[quantity]]</f>
        <v>5057760</v>
      </c>
    </row>
    <row r="333" spans="1:12" x14ac:dyDescent="0.3">
      <c r="A333" t="str">
        <f t="shared" si="10"/>
        <v>PUR0332</v>
      </c>
      <c r="B333" s="1">
        <f t="shared" ca="1" si="11"/>
        <v>46009</v>
      </c>
      <c r="C333" t="str" cm="1">
        <f t="array" aca="1" ref="C333" ca="1">INDEX(Master_Product!$A$2:$A$101,RANDBETWEEN(1,100))</f>
        <v>PRD061</v>
      </c>
      <c r="D333" t="str">
        <f ca="1">_xlfn.XLOOKUP(C333,Master_Product!A:A,Master_Product!D:D)</f>
        <v>SUP022</v>
      </c>
      <c r="E333" t="str">
        <f ca="1">_xlfn.XLOOKUP(C333,Master_Product!A:A,Master_Product!B:B)</f>
        <v>Numquam Product</v>
      </c>
      <c r="F333" t="str">
        <f ca="1">_xlfn.XLOOKUP(C334,Master_Product!A:A,Master_Product!C:C)</f>
        <v>CAT003</v>
      </c>
      <c r="G333" t="str">
        <f ca="1">VLOOKUP(F333,Master_Category!A:B,2,FALSE)</f>
        <v>Milk</v>
      </c>
      <c r="H333" t="str">
        <f ca="1">_xlfn.XLOOKUP(D333,Master_Supplier!A:A,Master_Supplier!B:B)</f>
        <v>CV Biji Nusantara</v>
      </c>
      <c r="I333" t="str">
        <f ca="1">_xlfn.XLOOKUP(D333,Master_Supplier!A:A,Master_Supplier!E:E)</f>
        <v>Yogyakarta</v>
      </c>
      <c r="J333">
        <f ca="1">_xlfn.XLOOKUP(C333,Master_Product!A:A,Master_Product!E:E)</f>
        <v>48694</v>
      </c>
      <c r="K333">
        <v>80</v>
      </c>
      <c r="L333">
        <f ca="1">Table_StockIn[[#This Row],[buy_price]]*Table_StockIn[[#This Row],[quantity]]</f>
        <v>3895520</v>
      </c>
    </row>
    <row r="334" spans="1:12" x14ac:dyDescent="0.3">
      <c r="A334" t="str">
        <f t="shared" si="10"/>
        <v>PUR0333</v>
      </c>
      <c r="B334" s="1">
        <f t="shared" ca="1" si="11"/>
        <v>45988</v>
      </c>
      <c r="C334" t="str" cm="1">
        <f t="array" aca="1" ref="C334" ca="1">INDEX(Master_Product!$A$2:$A$101,RANDBETWEEN(1,100))</f>
        <v>PRD010</v>
      </c>
      <c r="D334" t="str">
        <f ca="1">_xlfn.XLOOKUP(C334,Master_Product!A:A,Master_Product!D:D)</f>
        <v>SUP019</v>
      </c>
      <c r="E334" t="str">
        <f ca="1">_xlfn.XLOOKUP(C334,Master_Product!A:A,Master_Product!B:B)</f>
        <v>Oat Milk</v>
      </c>
      <c r="F334" t="str">
        <f ca="1">_xlfn.XLOOKUP(C335,Master_Product!A:A,Master_Product!C:C)</f>
        <v>CAT002</v>
      </c>
      <c r="G334" t="str">
        <f ca="1">VLOOKUP(F334,Master_Category!A:B,2,FALSE)</f>
        <v>Tea</v>
      </c>
      <c r="H334" t="str">
        <f ca="1">_xlfn.XLOOKUP(D334,Master_Supplier!A:A,Master_Supplier!B:B)</f>
        <v>PT Indo Beverage</v>
      </c>
      <c r="I334" t="str">
        <f ca="1">_xlfn.XLOOKUP(D334,Master_Supplier!A:A,Master_Supplier!E:E)</f>
        <v>Jakarta</v>
      </c>
      <c r="J334">
        <f ca="1">_xlfn.XLOOKUP(C334,Master_Product!A:A,Master_Product!E:E)</f>
        <v>22054</v>
      </c>
      <c r="K334">
        <v>80</v>
      </c>
      <c r="L334">
        <f ca="1">Table_StockIn[[#This Row],[buy_price]]*Table_StockIn[[#This Row],[quantity]]</f>
        <v>1764320</v>
      </c>
    </row>
    <row r="335" spans="1:12" x14ac:dyDescent="0.3">
      <c r="A335" t="str">
        <f t="shared" si="10"/>
        <v>PUR0334</v>
      </c>
      <c r="B335" s="1">
        <f t="shared" ca="1" si="11"/>
        <v>45751</v>
      </c>
      <c r="C335" t="str" cm="1">
        <f t="array" aca="1" ref="C335" ca="1">INDEX(Master_Product!$A$2:$A$101,RANDBETWEEN(1,100))</f>
        <v>PRD082</v>
      </c>
      <c r="D335" t="str">
        <f ca="1">_xlfn.XLOOKUP(C335,Master_Product!A:A,Master_Product!D:D)</f>
        <v>SUP008</v>
      </c>
      <c r="E335" t="str">
        <f ca="1">_xlfn.XLOOKUP(C335,Master_Product!A:A,Master_Product!B:B)</f>
        <v>Cum Product</v>
      </c>
      <c r="F335" t="str">
        <f ca="1">_xlfn.XLOOKUP(C336,Master_Product!A:A,Master_Product!C:C)</f>
        <v>CAT005</v>
      </c>
      <c r="G335" t="str">
        <f ca="1">VLOOKUP(F335,Master_Category!A:B,2,FALSE)</f>
        <v>Powder</v>
      </c>
      <c r="H335" t="str">
        <f ca="1">_xlfn.XLOOKUP(D335,Master_Supplier!A:A,Master_Supplier!B:B)</f>
        <v>PT Packaging Solution</v>
      </c>
      <c r="I335" t="str">
        <f ca="1">_xlfn.XLOOKUP(D335,Master_Supplier!A:A,Master_Supplier!E:E)</f>
        <v>Yogyakarta</v>
      </c>
      <c r="J335">
        <f ca="1">_xlfn.XLOOKUP(C335,Master_Product!A:A,Master_Product!E:E)</f>
        <v>17021</v>
      </c>
      <c r="K335">
        <v>50</v>
      </c>
      <c r="L335">
        <f ca="1">Table_StockIn[[#This Row],[buy_price]]*Table_StockIn[[#This Row],[quantity]]</f>
        <v>851050</v>
      </c>
    </row>
    <row r="336" spans="1:12" x14ac:dyDescent="0.3">
      <c r="A336" t="str">
        <f t="shared" si="10"/>
        <v>PUR0335</v>
      </c>
      <c r="B336" s="1">
        <f t="shared" ca="1" si="11"/>
        <v>45982</v>
      </c>
      <c r="C336" t="str" cm="1">
        <f t="array" aca="1" ref="C336" ca="1">INDEX(Master_Product!$A$2:$A$101,RANDBETWEEN(1,100))</f>
        <v>PRD018</v>
      </c>
      <c r="D336" t="str">
        <f ca="1">_xlfn.XLOOKUP(C336,Master_Product!A:A,Master_Product!D:D)</f>
        <v>SUP023</v>
      </c>
      <c r="E336" t="str">
        <f ca="1">_xlfn.XLOOKUP(C336,Master_Product!A:A,Master_Product!B:B)</f>
        <v>Taro Powder</v>
      </c>
      <c r="F336" t="str">
        <f ca="1">_xlfn.XLOOKUP(C337,Master_Product!A:A,Master_Product!C:C)</f>
        <v>CAT009</v>
      </c>
      <c r="G336" t="str">
        <f ca="1">VLOOKUP(F336,Master_Category!A:B,2,FALSE)</f>
        <v>Machine Supply</v>
      </c>
      <c r="H336" t="str">
        <f ca="1">_xlfn.XLOOKUP(D336,Master_Supplier!A:A,Master_Supplier!B:B)</f>
        <v>PT Mesin Kopi Indonesia</v>
      </c>
      <c r="I336" t="str">
        <f ca="1">_xlfn.XLOOKUP(D336,Master_Supplier!A:A,Master_Supplier!E:E)</f>
        <v>Surabaya</v>
      </c>
      <c r="J336">
        <f ca="1">_xlfn.XLOOKUP(C336,Master_Product!A:A,Master_Product!E:E)</f>
        <v>8794</v>
      </c>
      <c r="K336">
        <v>100</v>
      </c>
      <c r="L336">
        <f ca="1">Table_StockIn[[#This Row],[buy_price]]*Table_StockIn[[#This Row],[quantity]]</f>
        <v>879400</v>
      </c>
    </row>
    <row r="337" spans="1:12" x14ac:dyDescent="0.3">
      <c r="A337" t="str">
        <f t="shared" si="10"/>
        <v>PUR0336</v>
      </c>
      <c r="B337" s="1">
        <f t="shared" ca="1" si="11"/>
        <v>45825</v>
      </c>
      <c r="C337" t="str" cm="1">
        <f t="array" aca="1" ref="C337" ca="1">INDEX(Master_Product!$A$2:$A$101,RANDBETWEEN(1,100))</f>
        <v>PRD031</v>
      </c>
      <c r="D337" t="str">
        <f ca="1">_xlfn.XLOOKUP(C337,Master_Product!A:A,Master_Product!D:D)</f>
        <v>SUP014</v>
      </c>
      <c r="E337" t="str">
        <f ca="1">_xlfn.XLOOKUP(C337,Master_Product!A:A,Master_Product!B:B)</f>
        <v>Coffee Machine Cleaner</v>
      </c>
      <c r="F337" t="str">
        <f ca="1">_xlfn.XLOOKUP(C338,Master_Product!A:A,Master_Product!C:C)</f>
        <v>CAT007</v>
      </c>
      <c r="G337" t="str">
        <f ca="1">VLOOKUP(F337,Master_Category!A:B,2,FALSE)</f>
        <v>Cup &amp; Packaging</v>
      </c>
      <c r="H337" t="str">
        <f ca="1">_xlfn.XLOOKUP(D337,Master_Supplier!A:A,Master_Supplier!B:B)</f>
        <v>PT Food Ingredients</v>
      </c>
      <c r="I337" t="str">
        <f ca="1">_xlfn.XLOOKUP(D337,Master_Supplier!A:A,Master_Supplier!E:E)</f>
        <v>Bandung</v>
      </c>
      <c r="J337">
        <f ca="1">_xlfn.XLOOKUP(C337,Master_Product!A:A,Master_Product!E:E)</f>
        <v>6013</v>
      </c>
      <c r="K337">
        <v>50</v>
      </c>
      <c r="L337">
        <f ca="1">Table_StockIn[[#This Row],[buy_price]]*Table_StockIn[[#This Row],[quantity]]</f>
        <v>300650</v>
      </c>
    </row>
    <row r="338" spans="1:12" x14ac:dyDescent="0.3">
      <c r="A338" t="str">
        <f t="shared" si="10"/>
        <v>PUR0337</v>
      </c>
      <c r="B338" s="1">
        <f t="shared" ca="1" si="11"/>
        <v>45816</v>
      </c>
      <c r="C338" t="str" cm="1">
        <f t="array" aca="1" ref="C338" ca="1">INDEX(Master_Product!$A$2:$A$101,RANDBETWEEN(1,100))</f>
        <v>PRD024</v>
      </c>
      <c r="D338" t="str">
        <f ca="1">_xlfn.XLOOKUP(C338,Master_Product!A:A,Master_Product!D:D)</f>
        <v>SUP002</v>
      </c>
      <c r="E338" t="str">
        <f ca="1">_xlfn.XLOOKUP(C338,Master_Product!A:A,Master_Product!B:B)</f>
        <v>Cup 16 oz</v>
      </c>
      <c r="F338" t="str">
        <f ca="1">_xlfn.XLOOKUP(C339,Master_Product!A:A,Master_Product!C:C)</f>
        <v>CAT009</v>
      </c>
      <c r="G338" t="str">
        <f ca="1">VLOOKUP(F338,Master_Category!A:B,2,FALSE)</f>
        <v>Machine Supply</v>
      </c>
      <c r="H338" t="e">
        <f ca="1">_xlfn.XLOOKUP(D338,Master_Supplier!A:A,Master_Supplier!B:B)</f>
        <v>#N/A</v>
      </c>
      <c r="I338" t="e">
        <f ca="1">_xlfn.XLOOKUP(D338,Master_Supplier!A:A,Master_Supplier!E:E)</f>
        <v>#N/A</v>
      </c>
      <c r="J338">
        <f ca="1">_xlfn.XLOOKUP(C338,Master_Product!A:A,Master_Product!E:E)</f>
        <v>25632</v>
      </c>
      <c r="K338">
        <v>30</v>
      </c>
      <c r="L338">
        <f ca="1">Table_StockIn[[#This Row],[buy_price]]*Table_StockIn[[#This Row],[quantity]]</f>
        <v>768960</v>
      </c>
    </row>
    <row r="339" spans="1:12" x14ac:dyDescent="0.3">
      <c r="A339" t="str">
        <f t="shared" si="10"/>
        <v>PUR0338</v>
      </c>
      <c r="B339" s="1">
        <f t="shared" ca="1" si="11"/>
        <v>45852</v>
      </c>
      <c r="C339" t="str" cm="1">
        <f t="array" aca="1" ref="C339" ca="1">INDEX(Master_Product!$A$2:$A$101,RANDBETWEEN(1,100))</f>
        <v>PRD076</v>
      </c>
      <c r="D339" t="str">
        <f ca="1">_xlfn.XLOOKUP(C339,Master_Product!A:A,Master_Product!D:D)</f>
        <v>SUP017</v>
      </c>
      <c r="E339" t="str">
        <f ca="1">_xlfn.XLOOKUP(C339,Master_Product!A:A,Master_Product!B:B)</f>
        <v>Recusandae Product</v>
      </c>
      <c r="F339" t="str">
        <f ca="1">_xlfn.XLOOKUP(C340,Master_Product!A:A,Master_Product!C:C)</f>
        <v>CAT005</v>
      </c>
      <c r="G339" t="str">
        <f ca="1">VLOOKUP(F339,Master_Category!A:B,2,FALSE)</f>
        <v>Powder</v>
      </c>
      <c r="H339" t="str">
        <f ca="1">_xlfn.XLOOKUP(D339,Master_Supplier!A:A,Master_Supplier!B:B)</f>
        <v>PT Premium Beans</v>
      </c>
      <c r="I339" t="str">
        <f ca="1">_xlfn.XLOOKUP(D339,Master_Supplier!A:A,Master_Supplier!E:E)</f>
        <v>Yogyakarta</v>
      </c>
      <c r="J339">
        <f ca="1">_xlfn.XLOOKUP(C339,Master_Product!A:A,Master_Product!E:E)</f>
        <v>41932</v>
      </c>
      <c r="K339">
        <v>50</v>
      </c>
      <c r="L339">
        <f ca="1">Table_StockIn[[#This Row],[buy_price]]*Table_StockIn[[#This Row],[quantity]]</f>
        <v>2096600</v>
      </c>
    </row>
    <row r="340" spans="1:12" x14ac:dyDescent="0.3">
      <c r="A340" t="str">
        <f t="shared" si="10"/>
        <v>PUR0339</v>
      </c>
      <c r="B340" s="1">
        <f t="shared" ca="1" si="11"/>
        <v>45703</v>
      </c>
      <c r="C340" t="str" cm="1">
        <f t="array" aca="1" ref="C340" ca="1">INDEX(Master_Product!$A$2:$A$101,RANDBETWEEN(1,100))</f>
        <v>PRD080</v>
      </c>
      <c r="D340" t="str">
        <f ca="1">_xlfn.XLOOKUP(C340,Master_Product!A:A,Master_Product!D:D)</f>
        <v>SUP025</v>
      </c>
      <c r="E340" t="str">
        <f ca="1">_xlfn.XLOOKUP(C340,Master_Product!A:A,Master_Product!B:B)</f>
        <v>Culpa Product</v>
      </c>
      <c r="F340" t="str">
        <f ca="1">_xlfn.XLOOKUP(C341,Master_Product!A:A,Master_Product!C:C)</f>
        <v>CAT003</v>
      </c>
      <c r="G340" t="str">
        <f ca="1">VLOOKUP(F340,Master_Category!A:B,2,FALSE)</f>
        <v>Milk</v>
      </c>
      <c r="H340" t="str">
        <f ca="1">_xlfn.XLOOKUP(D340,Master_Supplier!A:A,Master_Supplier!B:B)</f>
        <v>PT Arabica Indonesia</v>
      </c>
      <c r="I340" t="str">
        <f ca="1">_xlfn.XLOOKUP(D340,Master_Supplier!A:A,Master_Supplier!E:E)</f>
        <v>Semarang</v>
      </c>
      <c r="J340">
        <f ca="1">_xlfn.XLOOKUP(C340,Master_Product!A:A,Master_Product!E:E)</f>
        <v>21341</v>
      </c>
      <c r="K340">
        <v>20</v>
      </c>
      <c r="L340">
        <f ca="1">Table_StockIn[[#This Row],[buy_price]]*Table_StockIn[[#This Row],[quantity]]</f>
        <v>426820</v>
      </c>
    </row>
    <row r="341" spans="1:12" x14ac:dyDescent="0.3">
      <c r="A341" t="str">
        <f t="shared" si="10"/>
        <v>PUR0340</v>
      </c>
      <c r="B341" s="1">
        <f t="shared" ca="1" si="11"/>
        <v>45963</v>
      </c>
      <c r="C341" t="str" cm="1">
        <f t="array" aca="1" ref="C341" ca="1">INDEX(Master_Product!$A$2:$A$101,RANDBETWEEN(1,100))</f>
        <v>PRD010</v>
      </c>
      <c r="D341" t="str">
        <f ca="1">_xlfn.XLOOKUP(C341,Master_Product!A:A,Master_Product!D:D)</f>
        <v>SUP019</v>
      </c>
      <c r="E341" t="str">
        <f ca="1">_xlfn.XLOOKUP(C341,Master_Product!A:A,Master_Product!B:B)</f>
        <v>Oat Milk</v>
      </c>
      <c r="F341" t="str">
        <f ca="1">_xlfn.XLOOKUP(C342,Master_Product!A:A,Master_Product!C:C)</f>
        <v>CAT009</v>
      </c>
      <c r="G341" t="str">
        <f ca="1">VLOOKUP(F341,Master_Category!A:B,2,FALSE)</f>
        <v>Machine Supply</v>
      </c>
      <c r="H341" t="str">
        <f ca="1">_xlfn.XLOOKUP(D341,Master_Supplier!A:A,Master_Supplier!B:B)</f>
        <v>PT Indo Beverage</v>
      </c>
      <c r="I341" t="str">
        <f ca="1">_xlfn.XLOOKUP(D341,Master_Supplier!A:A,Master_Supplier!E:E)</f>
        <v>Jakarta</v>
      </c>
      <c r="J341">
        <f ca="1">_xlfn.XLOOKUP(C341,Master_Product!A:A,Master_Product!E:E)</f>
        <v>22054</v>
      </c>
      <c r="K341">
        <v>40</v>
      </c>
      <c r="L341">
        <f ca="1">Table_StockIn[[#This Row],[buy_price]]*Table_StockIn[[#This Row],[quantity]]</f>
        <v>882160</v>
      </c>
    </row>
    <row r="342" spans="1:12" x14ac:dyDescent="0.3">
      <c r="A342" t="str">
        <f t="shared" si="10"/>
        <v>PUR0341</v>
      </c>
      <c r="B342" s="1">
        <f t="shared" ca="1" si="11"/>
        <v>45770</v>
      </c>
      <c r="C342" t="str" cm="1">
        <f t="array" aca="1" ref="C342" ca="1">INDEX(Master_Product!$A$2:$A$101,RANDBETWEEN(1,100))</f>
        <v>PRD059</v>
      </c>
      <c r="D342" t="str">
        <f ca="1">_xlfn.XLOOKUP(C342,Master_Product!A:A,Master_Product!D:D)</f>
        <v>SUP018</v>
      </c>
      <c r="E342" t="str">
        <f ca="1">_xlfn.XLOOKUP(C342,Master_Product!A:A,Master_Product!B:B)</f>
        <v>Nesciunt Product</v>
      </c>
      <c r="F342" t="str">
        <f ca="1">_xlfn.XLOOKUP(C343,Master_Product!A:A,Master_Product!C:C)</f>
        <v>CAT008</v>
      </c>
      <c r="G342" t="str">
        <f ca="1">VLOOKUP(F342,Master_Category!A:B,2,FALSE)</f>
        <v>Snack</v>
      </c>
      <c r="H342" t="str">
        <f ca="1">_xlfn.XLOOKUP(D342,Master_Supplier!A:A,Master_Supplier!B:B)</f>
        <v>PT Coffee Roastery</v>
      </c>
      <c r="I342" t="str">
        <f ca="1">_xlfn.XLOOKUP(D342,Master_Supplier!A:A,Master_Supplier!E:E)</f>
        <v>Malang</v>
      </c>
      <c r="J342">
        <f ca="1">_xlfn.XLOOKUP(C342,Master_Product!A:A,Master_Product!E:E)</f>
        <v>13639</v>
      </c>
      <c r="K342">
        <v>20</v>
      </c>
      <c r="L342">
        <f ca="1">Table_StockIn[[#This Row],[buy_price]]*Table_StockIn[[#This Row],[quantity]]</f>
        <v>272780</v>
      </c>
    </row>
    <row r="343" spans="1:12" x14ac:dyDescent="0.3">
      <c r="A343" t="str">
        <f t="shared" si="10"/>
        <v>PUR0342</v>
      </c>
      <c r="B343" s="1">
        <f t="shared" ca="1" si="11"/>
        <v>45689</v>
      </c>
      <c r="C343" t="str" cm="1">
        <f t="array" aca="1" ref="C343" ca="1">INDEX(Master_Product!$A$2:$A$101,RANDBETWEEN(1,100))</f>
        <v>PRD050</v>
      </c>
      <c r="D343" t="str">
        <f ca="1">_xlfn.XLOOKUP(C343,Master_Product!A:A,Master_Product!D:D)</f>
        <v>SUP010</v>
      </c>
      <c r="E343" t="str">
        <f ca="1">_xlfn.XLOOKUP(C343,Master_Product!A:A,Master_Product!B:B)</f>
        <v>Earum Product</v>
      </c>
      <c r="F343" t="str">
        <f ca="1">_xlfn.XLOOKUP(C344,Master_Product!A:A,Master_Product!C:C)</f>
        <v>CAT005</v>
      </c>
      <c r="G343" t="str">
        <f ca="1">VLOOKUP(F343,Master_Category!A:B,2,FALSE)</f>
        <v>Powder</v>
      </c>
      <c r="H343" t="str">
        <f ca="1">_xlfn.XLOOKUP(D343,Master_Supplier!A:A,Master_Supplier!B:B)</f>
        <v>PT Gula Manis</v>
      </c>
      <c r="I343" t="str">
        <f ca="1">_xlfn.XLOOKUP(D343,Master_Supplier!A:A,Master_Supplier!E:E)</f>
        <v>Malang</v>
      </c>
      <c r="J343">
        <f ca="1">_xlfn.XLOOKUP(C343,Master_Product!A:A,Master_Product!E:E)</f>
        <v>12456</v>
      </c>
      <c r="K343">
        <v>80</v>
      </c>
      <c r="L343">
        <f ca="1">Table_StockIn[[#This Row],[buy_price]]*Table_StockIn[[#This Row],[quantity]]</f>
        <v>996480</v>
      </c>
    </row>
    <row r="344" spans="1:12" x14ac:dyDescent="0.3">
      <c r="A344" t="str">
        <f t="shared" si="10"/>
        <v>PUR0343</v>
      </c>
      <c r="B344" s="1">
        <f t="shared" ca="1" si="11"/>
        <v>45964</v>
      </c>
      <c r="C344" t="str" cm="1">
        <f t="array" aca="1" ref="C344" ca="1">INDEX(Master_Product!$A$2:$A$101,RANDBETWEEN(1,100))</f>
        <v>PRD062</v>
      </c>
      <c r="D344" t="str">
        <f ca="1">_xlfn.XLOOKUP(C344,Master_Product!A:A,Master_Product!D:D)</f>
        <v>SUP023</v>
      </c>
      <c r="E344" t="str">
        <f ca="1">_xlfn.XLOOKUP(C344,Master_Product!A:A,Master_Product!B:B)</f>
        <v>Porro Product</v>
      </c>
      <c r="F344" t="str">
        <f ca="1">_xlfn.XLOOKUP(C345,Master_Product!A:A,Master_Product!C:C)</f>
        <v>CAT009</v>
      </c>
      <c r="G344" t="str">
        <f ca="1">VLOOKUP(F344,Master_Category!A:B,2,FALSE)</f>
        <v>Machine Supply</v>
      </c>
      <c r="H344" t="str">
        <f ca="1">_xlfn.XLOOKUP(D344,Master_Supplier!A:A,Master_Supplier!B:B)</f>
        <v>PT Mesin Kopi Indonesia</v>
      </c>
      <c r="I344" t="str">
        <f ca="1">_xlfn.XLOOKUP(D344,Master_Supplier!A:A,Master_Supplier!E:E)</f>
        <v>Surabaya</v>
      </c>
      <c r="J344">
        <f ca="1">_xlfn.XLOOKUP(C344,Master_Product!A:A,Master_Product!E:E)</f>
        <v>45662</v>
      </c>
      <c r="K344">
        <v>50</v>
      </c>
      <c r="L344">
        <f ca="1">Table_StockIn[[#This Row],[buy_price]]*Table_StockIn[[#This Row],[quantity]]</f>
        <v>2283100</v>
      </c>
    </row>
    <row r="345" spans="1:12" x14ac:dyDescent="0.3">
      <c r="A345" t="str">
        <f t="shared" si="10"/>
        <v>PUR0344</v>
      </c>
      <c r="B345" s="1">
        <f t="shared" ca="1" si="11"/>
        <v>45677</v>
      </c>
      <c r="C345" t="str" cm="1">
        <f t="array" aca="1" ref="C345" ca="1">INDEX(Master_Product!$A$2:$A$101,RANDBETWEEN(1,100))</f>
        <v>PRD074</v>
      </c>
      <c r="D345" t="str">
        <f ca="1">_xlfn.XLOOKUP(C345,Master_Product!A:A,Master_Product!D:D)</f>
        <v>SUP010</v>
      </c>
      <c r="E345" t="str">
        <f ca="1">_xlfn.XLOOKUP(C345,Master_Product!A:A,Master_Product!B:B)</f>
        <v>Dolores Product</v>
      </c>
      <c r="F345" t="str">
        <f ca="1">_xlfn.XLOOKUP(C346,Master_Product!A:A,Master_Product!C:C)</f>
        <v>CAT005</v>
      </c>
      <c r="G345" t="str">
        <f ca="1">VLOOKUP(F345,Master_Category!A:B,2,FALSE)</f>
        <v>Powder</v>
      </c>
      <c r="H345" t="str">
        <f ca="1">_xlfn.XLOOKUP(D345,Master_Supplier!A:A,Master_Supplier!B:B)</f>
        <v>PT Gula Manis</v>
      </c>
      <c r="I345" t="str">
        <f ca="1">_xlfn.XLOOKUP(D345,Master_Supplier!A:A,Master_Supplier!E:E)</f>
        <v>Malang</v>
      </c>
      <c r="J345">
        <f ca="1">_xlfn.XLOOKUP(C345,Master_Product!A:A,Master_Product!E:E)</f>
        <v>35671</v>
      </c>
      <c r="K345">
        <v>30</v>
      </c>
      <c r="L345">
        <f ca="1">Table_StockIn[[#This Row],[buy_price]]*Table_StockIn[[#This Row],[quantity]]</f>
        <v>1070130</v>
      </c>
    </row>
    <row r="346" spans="1:12" x14ac:dyDescent="0.3">
      <c r="A346" t="str">
        <f t="shared" si="10"/>
        <v>PUR0345</v>
      </c>
      <c r="B346" s="1">
        <f t="shared" ca="1" si="11"/>
        <v>45902</v>
      </c>
      <c r="C346" t="str" cm="1">
        <f t="array" aca="1" ref="C346" ca="1">INDEX(Master_Product!$A$2:$A$101,RANDBETWEEN(1,100))</f>
        <v>PRD046</v>
      </c>
      <c r="D346" t="str">
        <f ca="1">_xlfn.XLOOKUP(C346,Master_Product!A:A,Master_Product!D:D)</f>
        <v>SUP029</v>
      </c>
      <c r="E346" t="str">
        <f ca="1">_xlfn.XLOOKUP(C346,Master_Product!A:A,Master_Product!B:B)</f>
        <v>Magnam Product</v>
      </c>
      <c r="F346" t="str">
        <f ca="1">_xlfn.XLOOKUP(C347,Master_Product!A:A,Master_Product!C:C)</f>
        <v>CAT005</v>
      </c>
      <c r="G346" t="str">
        <f ca="1">VLOOKUP(F346,Master_Category!A:B,2,FALSE)</f>
        <v>Powder</v>
      </c>
      <c r="H346" t="e">
        <f ca="1">_xlfn.XLOOKUP(D346,Master_Supplier!A:A,Master_Supplier!B:B)</f>
        <v>#N/A</v>
      </c>
      <c r="I346" t="e">
        <f ca="1">_xlfn.XLOOKUP(D346,Master_Supplier!A:A,Master_Supplier!E:E)</f>
        <v>#N/A</v>
      </c>
      <c r="J346">
        <f ca="1">_xlfn.XLOOKUP(C346,Master_Product!A:A,Master_Product!E:E)</f>
        <v>63838</v>
      </c>
      <c r="K346">
        <v>30</v>
      </c>
      <c r="L346">
        <f ca="1">Table_StockIn[[#This Row],[buy_price]]*Table_StockIn[[#This Row],[quantity]]</f>
        <v>1915140</v>
      </c>
    </row>
    <row r="347" spans="1:12" x14ac:dyDescent="0.3">
      <c r="A347" t="str">
        <f t="shared" si="10"/>
        <v>PUR0346</v>
      </c>
      <c r="B347" s="1">
        <f t="shared" ca="1" si="11"/>
        <v>45738</v>
      </c>
      <c r="C347" t="str" cm="1">
        <f t="array" aca="1" ref="C347" ca="1">INDEX(Master_Product!$A$2:$A$101,RANDBETWEEN(1,100))</f>
        <v>PRD086</v>
      </c>
      <c r="D347" t="str">
        <f ca="1">_xlfn.XLOOKUP(C347,Master_Product!A:A,Master_Product!D:D)</f>
        <v>SUP010</v>
      </c>
      <c r="E347" t="str">
        <f ca="1">_xlfn.XLOOKUP(C347,Master_Product!A:A,Master_Product!B:B)</f>
        <v>Quis Product</v>
      </c>
      <c r="F347" t="str">
        <f ca="1">_xlfn.XLOOKUP(C348,Master_Product!A:A,Master_Product!C:C)</f>
        <v>CAT006</v>
      </c>
      <c r="G347" t="str">
        <f ca="1">VLOOKUP(F347,Master_Category!A:B,2,FALSE)</f>
        <v>Topping</v>
      </c>
      <c r="H347" t="str">
        <f ca="1">_xlfn.XLOOKUP(D347,Master_Supplier!A:A,Master_Supplier!B:B)</f>
        <v>PT Gula Manis</v>
      </c>
      <c r="I347" t="str">
        <f ca="1">_xlfn.XLOOKUP(D347,Master_Supplier!A:A,Master_Supplier!E:E)</f>
        <v>Malang</v>
      </c>
      <c r="J347">
        <f ca="1">_xlfn.XLOOKUP(C347,Master_Product!A:A,Master_Product!E:E)</f>
        <v>24142</v>
      </c>
      <c r="K347">
        <v>30</v>
      </c>
      <c r="L347">
        <f ca="1">Table_StockIn[[#This Row],[buy_price]]*Table_StockIn[[#This Row],[quantity]]</f>
        <v>724260</v>
      </c>
    </row>
    <row r="348" spans="1:12" x14ac:dyDescent="0.3">
      <c r="A348" t="str">
        <f t="shared" si="10"/>
        <v>PUR0347</v>
      </c>
      <c r="B348" s="1">
        <f t="shared" ca="1" si="11"/>
        <v>45688</v>
      </c>
      <c r="C348" t="str" cm="1">
        <f t="array" aca="1" ref="C348" ca="1">INDEX(Master_Product!$A$2:$A$101,RANDBETWEEN(1,100))</f>
        <v>PRD044</v>
      </c>
      <c r="D348" t="str">
        <f ca="1">_xlfn.XLOOKUP(C348,Master_Product!A:A,Master_Product!D:D)</f>
        <v>SUP021</v>
      </c>
      <c r="E348" t="str">
        <f ca="1">_xlfn.XLOOKUP(C348,Master_Product!A:A,Master_Product!B:B)</f>
        <v>Sit Product</v>
      </c>
      <c r="F348" t="str">
        <f ca="1">_xlfn.XLOOKUP(C349,Master_Product!A:A,Master_Product!C:C)</f>
        <v>CAT002</v>
      </c>
      <c r="G348" t="str">
        <f ca="1">VLOOKUP(F348,Master_Category!A:B,2,FALSE)</f>
        <v>Tea</v>
      </c>
      <c r="H348" t="str">
        <f ca="1">_xlfn.XLOOKUP(D348,Master_Supplier!A:A,Master_Supplier!B:B)</f>
        <v>PT Coffee Packaging</v>
      </c>
      <c r="I348" t="str">
        <f ca="1">_xlfn.XLOOKUP(D348,Master_Supplier!A:A,Master_Supplier!E:E)</f>
        <v>Depok</v>
      </c>
      <c r="J348">
        <f ca="1">_xlfn.XLOOKUP(C348,Master_Product!A:A,Master_Product!E:E)</f>
        <v>25036</v>
      </c>
      <c r="K348">
        <v>50</v>
      </c>
      <c r="L348">
        <f ca="1">Table_StockIn[[#This Row],[buy_price]]*Table_StockIn[[#This Row],[quantity]]</f>
        <v>1251800</v>
      </c>
    </row>
    <row r="349" spans="1:12" x14ac:dyDescent="0.3">
      <c r="A349" t="str">
        <f t="shared" si="10"/>
        <v>PUR0348</v>
      </c>
      <c r="B349" s="1">
        <f t="shared" ca="1" si="11"/>
        <v>45830</v>
      </c>
      <c r="C349" t="str" cm="1">
        <f t="array" aca="1" ref="C349" ca="1">INDEX(Master_Product!$A$2:$A$101,RANDBETWEEN(1,100))</f>
        <v>PRD096</v>
      </c>
      <c r="D349" t="str">
        <f ca="1">_xlfn.XLOOKUP(C349,Master_Product!A:A,Master_Product!D:D)</f>
        <v>SUP003</v>
      </c>
      <c r="E349" t="str">
        <f ca="1">_xlfn.XLOOKUP(C349,Master_Product!A:A,Master_Product!B:B)</f>
        <v>Aliquid Product</v>
      </c>
      <c r="F349">
        <f>_xlfn.XLOOKUP(C350,Master_Product!A:A,Master_Product!C:C)</f>
        <v>0</v>
      </c>
      <c r="G349" t="e">
        <f>VLOOKUP(F349,Master_Category!A:B,2,FALSE)</f>
        <v>#N/A</v>
      </c>
      <c r="H349" t="str">
        <f ca="1">_xlfn.XLOOKUP(D349,Master_Supplier!A:A,Master_Supplier!B:B)</f>
        <v>CV Barista Indonesia</v>
      </c>
      <c r="I349" t="str">
        <f ca="1">_xlfn.XLOOKUP(D349,Master_Supplier!A:A,Master_Supplier!E:E)</f>
        <v>Bekasi</v>
      </c>
      <c r="J349">
        <f ca="1">_xlfn.XLOOKUP(C349,Master_Product!A:A,Master_Product!E:E)</f>
        <v>73614</v>
      </c>
      <c r="K349">
        <v>30</v>
      </c>
      <c r="L349">
        <f ca="1">Table_StockIn[[#This Row],[buy_price]]*Table_StockIn[[#This Row],[quantity]]</f>
        <v>2208420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AE0FF-4269-4095-8447-63A54951F0C4}">
  <dimension ref="A1:P2"/>
  <sheetViews>
    <sheetView workbookViewId="0">
      <selection activeCell="O1" sqref="O1"/>
    </sheetView>
  </sheetViews>
  <sheetFormatPr defaultRowHeight="14.4" x14ac:dyDescent="0.3"/>
  <cols>
    <col min="1" max="1" width="9.44140625" customWidth="1"/>
    <col min="2" max="2" width="11.6640625" customWidth="1"/>
    <col min="3" max="3" width="13.33203125" customWidth="1"/>
    <col min="4" max="4" width="12.109375" customWidth="1"/>
    <col min="5" max="5" width="10" customWidth="1"/>
    <col min="6" max="6" width="11.33203125" customWidth="1"/>
    <col min="7" max="7" width="14.66406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81</v>
      </c>
      <c r="E1" t="s">
        <v>82</v>
      </c>
      <c r="F1" t="s">
        <v>41</v>
      </c>
      <c r="G1" t="s">
        <v>3</v>
      </c>
      <c r="H1" t="s">
        <v>30</v>
      </c>
      <c r="I1" t="s">
        <v>700</v>
      </c>
      <c r="J1" t="s">
        <v>33</v>
      </c>
      <c r="K1" t="s">
        <v>32</v>
      </c>
      <c r="L1" t="s">
        <v>4</v>
      </c>
      <c r="M1" t="s">
        <v>5</v>
      </c>
      <c r="N1" t="s">
        <v>6</v>
      </c>
      <c r="O1" t="s">
        <v>7</v>
      </c>
      <c r="P1" t="s">
        <v>8</v>
      </c>
    </row>
    <row r="2" spans="1:16" x14ac:dyDescent="0.3">
      <c r="B2" s="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Master_Product</vt:lpstr>
      <vt:lpstr>Master_Supplier</vt:lpstr>
      <vt:lpstr>Master_Customer</vt:lpstr>
      <vt:lpstr>Master_Category</vt:lpstr>
      <vt:lpstr>Inventory_Summary</vt:lpstr>
      <vt:lpstr>PivotData</vt:lpstr>
      <vt:lpstr>Stock_In</vt:lpstr>
      <vt:lpstr>Stock_Out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akhmal novanda</dc:creator>
  <cp:lastModifiedBy>akhmal novanda</cp:lastModifiedBy>
  <dcterms:created xsi:type="dcterms:W3CDTF">2015-06-05T18:17:20Z</dcterms:created>
  <dcterms:modified xsi:type="dcterms:W3CDTF">2026-07-31T13:54:23Z</dcterms:modified>
</cp:coreProperties>
</file>